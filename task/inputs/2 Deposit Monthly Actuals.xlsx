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cjwork/holodeck-archive/task/inputs/"/>
    </mc:Choice>
  </mc:AlternateContent>
  <xr:revisionPtr revIDLastSave="0" documentId="8_{8880680A-7709-6646-964F-C489D80FFA17}" xr6:coauthVersionLast="47" xr6:coauthVersionMax="47" xr10:uidLastSave="{00000000-0000-0000-0000-000000000000}"/>
  <bookViews>
    <workbookView xWindow="8980" yWindow="-28800" windowWidth="36000" windowHeight="21280" activeTab="1" xr2:uid="{00000000-000D-0000-FFFF-FFFF00000000}"/>
  </bookViews>
  <sheets>
    <sheet name="Deposit Actuals" sheetId="1" r:id="rId1"/>
    <sheet name="Sources &amp; Chec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0" i="2" l="1"/>
  <c r="G90" i="2"/>
  <c r="I90" i="2" s="1"/>
  <c r="F90" i="2"/>
  <c r="H89" i="2"/>
  <c r="G89" i="2"/>
  <c r="F89" i="2"/>
  <c r="I89" i="2" s="1"/>
  <c r="J90" i="2" s="1"/>
  <c r="F191" i="1" s="1"/>
  <c r="H88" i="2"/>
  <c r="G88" i="2"/>
  <c r="F88" i="2"/>
  <c r="H87" i="2"/>
  <c r="G87" i="2"/>
  <c r="I87" i="2" s="1"/>
  <c r="Q32" i="2" s="1"/>
  <c r="F87" i="2"/>
  <c r="H86" i="2"/>
  <c r="G86" i="2"/>
  <c r="F86" i="2"/>
  <c r="I86" i="2" s="1"/>
  <c r="I85" i="2"/>
  <c r="J86" i="2" s="1"/>
  <c r="H85" i="2"/>
  <c r="G85" i="2"/>
  <c r="F85" i="2"/>
  <c r="H84" i="2"/>
  <c r="G84" i="2"/>
  <c r="I84" i="2" s="1"/>
  <c r="F84" i="2"/>
  <c r="H83" i="2"/>
  <c r="G83" i="2"/>
  <c r="F83" i="2"/>
  <c r="I83" i="2" s="1"/>
  <c r="J84" i="2" s="1"/>
  <c r="F155" i="1" s="1"/>
  <c r="I82" i="2"/>
  <c r="J82" i="2" s="1"/>
  <c r="F143" i="1" s="1"/>
  <c r="H82" i="2"/>
  <c r="G82" i="2"/>
  <c r="F82" i="2"/>
  <c r="H81" i="2"/>
  <c r="G81" i="2"/>
  <c r="I81" i="2" s="1"/>
  <c r="Q26" i="2" s="1"/>
  <c r="F81" i="2"/>
  <c r="H80" i="2"/>
  <c r="G80" i="2"/>
  <c r="F80" i="2"/>
  <c r="I80" i="2" s="1"/>
  <c r="J79" i="2"/>
  <c r="F125" i="1" s="1"/>
  <c r="H79" i="2"/>
  <c r="I79" i="2" s="1"/>
  <c r="G79" i="2"/>
  <c r="F79" i="2"/>
  <c r="H78" i="2"/>
  <c r="G78" i="2"/>
  <c r="I78" i="2" s="1"/>
  <c r="Q23" i="2" s="1"/>
  <c r="F78" i="2"/>
  <c r="H77" i="2"/>
  <c r="G77" i="2"/>
  <c r="F77" i="2"/>
  <c r="I77" i="2" s="1"/>
  <c r="J78" i="2" s="1"/>
  <c r="F119" i="1" s="1"/>
  <c r="H76" i="2"/>
  <c r="G76" i="2"/>
  <c r="F76" i="2"/>
  <c r="H75" i="2"/>
  <c r="G75" i="2"/>
  <c r="I75" i="2" s="1"/>
  <c r="F75" i="2"/>
  <c r="I74" i="2"/>
  <c r="J75" i="2" s="1"/>
  <c r="F101" i="1" s="1"/>
  <c r="H74" i="2"/>
  <c r="G74" i="2"/>
  <c r="F74" i="2"/>
  <c r="H73" i="2"/>
  <c r="G73" i="2"/>
  <c r="F73" i="2"/>
  <c r="J72" i="2"/>
  <c r="F83" i="1" s="1"/>
  <c r="H72" i="2"/>
  <c r="G72" i="2"/>
  <c r="I72" i="2" s="1"/>
  <c r="Q17" i="2" s="1"/>
  <c r="F72" i="2"/>
  <c r="H71" i="2"/>
  <c r="I71" i="2" s="1"/>
  <c r="G71" i="2"/>
  <c r="F71" i="2"/>
  <c r="H70" i="2"/>
  <c r="G70" i="2"/>
  <c r="F70" i="2"/>
  <c r="I69" i="2"/>
  <c r="Q14" i="2" s="1"/>
  <c r="H69" i="2"/>
  <c r="G69" i="2"/>
  <c r="F69" i="2"/>
  <c r="I68" i="2"/>
  <c r="H68" i="2"/>
  <c r="G68" i="2"/>
  <c r="F68" i="2"/>
  <c r="H67" i="2"/>
  <c r="G67" i="2"/>
  <c r="F67" i="2"/>
  <c r="H66" i="2"/>
  <c r="G66" i="2"/>
  <c r="I66" i="2" s="1"/>
  <c r="F66" i="2"/>
  <c r="H65" i="2"/>
  <c r="I65" i="2" s="1"/>
  <c r="G65" i="2"/>
  <c r="F65" i="2"/>
  <c r="H64" i="2"/>
  <c r="G64" i="2"/>
  <c r="F64" i="2"/>
  <c r="H63" i="2"/>
  <c r="G63" i="2"/>
  <c r="I63" i="2" s="1"/>
  <c r="J63" i="2" s="1"/>
  <c r="F29" i="1" s="1"/>
  <c r="F63" i="2"/>
  <c r="H62" i="2"/>
  <c r="G62" i="2"/>
  <c r="F62" i="2"/>
  <c r="I62" i="2" s="1"/>
  <c r="H61" i="2"/>
  <c r="G61" i="2"/>
  <c r="F61" i="2"/>
  <c r="I61" i="2" s="1"/>
  <c r="G55" i="2"/>
  <c r="F55" i="2"/>
  <c r="G54" i="2"/>
  <c r="F54" i="2"/>
  <c r="G53" i="2"/>
  <c r="F53" i="2"/>
  <c r="G52" i="2"/>
  <c r="F52" i="2"/>
  <c r="G51" i="2"/>
  <c r="F51" i="2"/>
  <c r="G50" i="2"/>
  <c r="F50" i="2"/>
  <c r="P49" i="2"/>
  <c r="O49" i="2"/>
  <c r="Q49" i="2" s="1"/>
  <c r="N49" i="2"/>
  <c r="G49" i="2"/>
  <c r="F49" i="2"/>
  <c r="P48" i="2"/>
  <c r="Q48" i="2" s="1"/>
  <c r="O48" i="2"/>
  <c r="N48" i="2"/>
  <c r="G48" i="2"/>
  <c r="F48" i="2"/>
  <c r="Q47" i="2"/>
  <c r="P47" i="2"/>
  <c r="O47" i="2"/>
  <c r="N47" i="2"/>
  <c r="G47" i="2"/>
  <c r="F47" i="2"/>
  <c r="P46" i="2"/>
  <c r="Q46" i="2" s="1"/>
  <c r="O46" i="2"/>
  <c r="N46" i="2"/>
  <c r="G46" i="2"/>
  <c r="F46" i="2"/>
  <c r="P45" i="2"/>
  <c r="Q45" i="2" s="1"/>
  <c r="O45" i="2"/>
  <c r="N45" i="2"/>
  <c r="G45" i="2"/>
  <c r="F45" i="2"/>
  <c r="P44" i="2"/>
  <c r="O44" i="2"/>
  <c r="Q44" i="2" s="1"/>
  <c r="N44" i="2"/>
  <c r="G44" i="2"/>
  <c r="F44" i="2"/>
  <c r="P43" i="2"/>
  <c r="O43" i="2"/>
  <c r="Q43" i="2" s="1"/>
  <c r="N43" i="2"/>
  <c r="G43" i="2"/>
  <c r="F43" i="2"/>
  <c r="P42" i="2"/>
  <c r="O42" i="2"/>
  <c r="Q42" i="2" s="1"/>
  <c r="N42" i="2"/>
  <c r="G42" i="2"/>
  <c r="F42" i="2"/>
  <c r="P41" i="2"/>
  <c r="Q41" i="2" s="1"/>
  <c r="O41" i="2"/>
  <c r="N41" i="2"/>
  <c r="G41" i="2"/>
  <c r="F151" i="1" s="1"/>
  <c r="F41" i="2"/>
  <c r="P40" i="2"/>
  <c r="O40" i="2"/>
  <c r="Q40" i="2" s="1"/>
  <c r="N40" i="2"/>
  <c r="G40" i="2"/>
  <c r="F40" i="2"/>
  <c r="G39" i="2"/>
  <c r="F39" i="2"/>
  <c r="G38" i="2"/>
  <c r="F123" i="1" s="1"/>
  <c r="F38" i="2"/>
  <c r="G37" i="2"/>
  <c r="F37" i="2"/>
  <c r="G36" i="2"/>
  <c r="F121" i="1" s="1"/>
  <c r="F36" i="2"/>
  <c r="Q35" i="2"/>
  <c r="N35" i="2"/>
  <c r="G35" i="2"/>
  <c r="F35" i="2"/>
  <c r="Q34" i="2"/>
  <c r="N34" i="2"/>
  <c r="G34" i="2"/>
  <c r="F34" i="2"/>
  <c r="Q33" i="2"/>
  <c r="N33" i="2"/>
  <c r="G33" i="2"/>
  <c r="F33" i="2"/>
  <c r="N32" i="2"/>
  <c r="G32" i="2"/>
  <c r="F110" i="1" s="1"/>
  <c r="K110" i="1" s="1"/>
  <c r="F32" i="2"/>
  <c r="Q31" i="2"/>
  <c r="N31" i="2"/>
  <c r="G31" i="2"/>
  <c r="F31" i="2"/>
  <c r="Q30" i="2"/>
  <c r="N30" i="2"/>
  <c r="G30" i="2"/>
  <c r="F30" i="2"/>
  <c r="Q29" i="2"/>
  <c r="P29" i="2"/>
  <c r="N29" i="2"/>
  <c r="G29" i="2"/>
  <c r="F29" i="2"/>
  <c r="Q28" i="2"/>
  <c r="N28" i="2"/>
  <c r="G28" i="2"/>
  <c r="F28" i="2"/>
  <c r="Q27" i="2"/>
  <c r="N27" i="2"/>
  <c r="G27" i="2"/>
  <c r="F27" i="2"/>
  <c r="N26" i="2"/>
  <c r="G26" i="2"/>
  <c r="F26" i="2"/>
  <c r="Q25" i="2"/>
  <c r="N25" i="2"/>
  <c r="G25" i="2"/>
  <c r="F25" i="2"/>
  <c r="Q24" i="2"/>
  <c r="N24" i="2"/>
  <c r="G24" i="2"/>
  <c r="F24" i="2"/>
  <c r="N23" i="2"/>
  <c r="G23" i="2"/>
  <c r="F23" i="2"/>
  <c r="Q22" i="2"/>
  <c r="N22" i="2"/>
  <c r="G22" i="2"/>
  <c r="F22" i="2"/>
  <c r="Q21" i="2"/>
  <c r="N21" i="2"/>
  <c r="G21" i="2"/>
  <c r="F67" i="1" s="1"/>
  <c r="F21" i="2"/>
  <c r="Q20" i="2"/>
  <c r="N20" i="2"/>
  <c r="G20" i="2"/>
  <c r="F20" i="2"/>
  <c r="Q19" i="2"/>
  <c r="N19" i="2"/>
  <c r="G19" i="2"/>
  <c r="F19" i="2"/>
  <c r="Q18" i="2"/>
  <c r="N18" i="2"/>
  <c r="G18" i="2"/>
  <c r="F18" i="2"/>
  <c r="N17" i="2"/>
  <c r="G17" i="2"/>
  <c r="F17" i="2"/>
  <c r="Q16" i="2"/>
  <c r="N16" i="2"/>
  <c r="G16" i="2"/>
  <c r="F16" i="2"/>
  <c r="Q15" i="2"/>
  <c r="N15" i="2"/>
  <c r="G15" i="2"/>
  <c r="F15" i="2"/>
  <c r="N14" i="2"/>
  <c r="G14" i="2"/>
  <c r="F14" i="2"/>
  <c r="Q13" i="2"/>
  <c r="N13" i="2"/>
  <c r="G13" i="2"/>
  <c r="F13" i="2"/>
  <c r="Q12" i="2"/>
  <c r="N12" i="2"/>
  <c r="G12" i="2"/>
  <c r="F12" i="2"/>
  <c r="N11" i="2"/>
  <c r="G11" i="2"/>
  <c r="F11" i="2"/>
  <c r="Q10" i="2"/>
  <c r="N10" i="2"/>
  <c r="G10" i="2"/>
  <c r="F10" i="2"/>
  <c r="Q9" i="2"/>
  <c r="N9" i="2"/>
  <c r="G9" i="2"/>
  <c r="F9" i="2"/>
  <c r="N8" i="2"/>
  <c r="G8" i="2"/>
  <c r="F8" i="2"/>
  <c r="Q7" i="2"/>
  <c r="N7" i="2"/>
  <c r="G7" i="2"/>
  <c r="F7" i="2"/>
  <c r="Q6" i="2"/>
  <c r="N6" i="2"/>
  <c r="G6" i="2"/>
  <c r="F6" i="2"/>
  <c r="H191" i="1"/>
  <c r="G191" i="1"/>
  <c r="H189" i="1"/>
  <c r="G189" i="1"/>
  <c r="F189" i="1"/>
  <c r="L188" i="1"/>
  <c r="K188" i="1"/>
  <c r="J188" i="1"/>
  <c r="H188" i="1"/>
  <c r="G188" i="1"/>
  <c r="F188" i="1"/>
  <c r="H187" i="1"/>
  <c r="H190" i="1" s="1"/>
  <c r="G187" i="1"/>
  <c r="F187" i="1"/>
  <c r="H185" i="1"/>
  <c r="G185" i="1"/>
  <c r="H184" i="1"/>
  <c r="P34" i="2" s="1"/>
  <c r="H183" i="1"/>
  <c r="F183" i="1"/>
  <c r="L182" i="1"/>
  <c r="K182" i="1"/>
  <c r="H182" i="1"/>
  <c r="G182" i="1" s="1"/>
  <c r="F182" i="1"/>
  <c r="H181" i="1"/>
  <c r="H179" i="1"/>
  <c r="G179" i="1"/>
  <c r="H177" i="1"/>
  <c r="G177" i="1" s="1"/>
  <c r="F177" i="1"/>
  <c r="J176" i="1"/>
  <c r="H176" i="1"/>
  <c r="F176" i="1"/>
  <c r="H175" i="1"/>
  <c r="H173" i="1"/>
  <c r="G173" i="1"/>
  <c r="H171" i="1"/>
  <c r="H170" i="1"/>
  <c r="G170" i="1"/>
  <c r="F170" i="1"/>
  <c r="H169" i="1"/>
  <c r="H172" i="1" s="1"/>
  <c r="P32" i="2" s="1"/>
  <c r="G169" i="1"/>
  <c r="F169" i="1"/>
  <c r="H167" i="1"/>
  <c r="G167" i="1"/>
  <c r="F167" i="1"/>
  <c r="H165" i="1"/>
  <c r="K164" i="1"/>
  <c r="J164" i="1"/>
  <c r="H164" i="1"/>
  <c r="F164" i="1"/>
  <c r="K170" i="1" s="1"/>
  <c r="H163" i="1"/>
  <c r="F163" i="1"/>
  <c r="H161" i="1"/>
  <c r="G161" i="1"/>
  <c r="H159" i="1"/>
  <c r="K158" i="1"/>
  <c r="J158" i="1"/>
  <c r="H158" i="1"/>
  <c r="G158" i="1"/>
  <c r="F158" i="1"/>
  <c r="H157" i="1"/>
  <c r="F157" i="1"/>
  <c r="H155" i="1"/>
  <c r="G155" i="1"/>
  <c r="H154" i="1"/>
  <c r="H156" i="1" s="1"/>
  <c r="H153" i="1"/>
  <c r="L152" i="1"/>
  <c r="K152" i="1"/>
  <c r="J152" i="1"/>
  <c r="H152" i="1"/>
  <c r="G152" i="1" s="1"/>
  <c r="F152" i="1"/>
  <c r="K151" i="1"/>
  <c r="J151" i="1"/>
  <c r="H151" i="1"/>
  <c r="H150" i="1"/>
  <c r="H149" i="1"/>
  <c r="G149" i="1"/>
  <c r="H148" i="1"/>
  <c r="H147" i="1"/>
  <c r="H146" i="1"/>
  <c r="F146" i="1"/>
  <c r="J146" i="1" s="1"/>
  <c r="H145" i="1"/>
  <c r="F145" i="1"/>
  <c r="H143" i="1"/>
  <c r="G143" i="1"/>
  <c r="H141" i="1"/>
  <c r="H140" i="1"/>
  <c r="F140" i="1"/>
  <c r="L139" i="1"/>
  <c r="H139" i="1"/>
  <c r="F139" i="1"/>
  <c r="H137" i="1"/>
  <c r="G137" i="1"/>
  <c r="H135" i="1"/>
  <c r="H134" i="1"/>
  <c r="G134" i="1" s="1"/>
  <c r="F134" i="1"/>
  <c r="H133" i="1"/>
  <c r="F133" i="1"/>
  <c r="H131" i="1"/>
  <c r="G131" i="1"/>
  <c r="H129" i="1"/>
  <c r="H128" i="1"/>
  <c r="H130" i="1" s="1"/>
  <c r="G128" i="1"/>
  <c r="F128" i="1"/>
  <c r="K134" i="1" s="1"/>
  <c r="H127" i="1"/>
  <c r="F127" i="1"/>
  <c r="H125" i="1"/>
  <c r="G125" i="1"/>
  <c r="H124" i="1"/>
  <c r="H123" i="1"/>
  <c r="H122" i="1"/>
  <c r="F122" i="1"/>
  <c r="J122" i="1" s="1"/>
  <c r="K121" i="1"/>
  <c r="J121" i="1"/>
  <c r="H121" i="1"/>
  <c r="G121" i="1" s="1"/>
  <c r="H119" i="1"/>
  <c r="G119" i="1"/>
  <c r="H117" i="1"/>
  <c r="H118" i="1" s="1"/>
  <c r="F117" i="1"/>
  <c r="H116" i="1"/>
  <c r="G116" i="1"/>
  <c r="F116" i="1"/>
  <c r="K115" i="1"/>
  <c r="J115" i="1"/>
  <c r="H115" i="1"/>
  <c r="G115" i="1" s="1"/>
  <c r="F115" i="1"/>
  <c r="H113" i="1"/>
  <c r="G113" i="1"/>
  <c r="H111" i="1"/>
  <c r="F111" i="1"/>
  <c r="J110" i="1"/>
  <c r="H110" i="1"/>
  <c r="K109" i="1"/>
  <c r="J109" i="1"/>
  <c r="H109" i="1"/>
  <c r="G109" i="1" s="1"/>
  <c r="F109" i="1"/>
  <c r="H107" i="1"/>
  <c r="G107" i="1"/>
  <c r="H105" i="1"/>
  <c r="F105" i="1"/>
  <c r="H104" i="1"/>
  <c r="G104" i="1"/>
  <c r="F104" i="1"/>
  <c r="L176" i="1" s="1"/>
  <c r="H103" i="1"/>
  <c r="G103" i="1" s="1"/>
  <c r="F103" i="1"/>
  <c r="H101" i="1"/>
  <c r="G101" i="1"/>
  <c r="H99" i="1"/>
  <c r="H98" i="1"/>
  <c r="H97" i="1"/>
  <c r="H95" i="1"/>
  <c r="G95" i="1"/>
  <c r="H93" i="1"/>
  <c r="H92" i="1"/>
  <c r="H91" i="1"/>
  <c r="H94" i="1" s="1"/>
  <c r="H89" i="1"/>
  <c r="G89" i="1"/>
  <c r="H87" i="1"/>
  <c r="F87" i="1"/>
  <c r="J87" i="1" s="1"/>
  <c r="H86" i="1"/>
  <c r="H85" i="1"/>
  <c r="F85" i="1"/>
  <c r="J85" i="1" s="1"/>
  <c r="L84" i="1"/>
  <c r="L83" i="1"/>
  <c r="H83" i="1"/>
  <c r="G83" i="1"/>
  <c r="L82" i="1"/>
  <c r="L81" i="1"/>
  <c r="H81" i="1"/>
  <c r="F81" i="1"/>
  <c r="K87" i="1" s="1"/>
  <c r="L80" i="1"/>
  <c r="H80" i="1"/>
  <c r="F80" i="1"/>
  <c r="L79" i="1"/>
  <c r="H79" i="1"/>
  <c r="F79" i="1"/>
  <c r="G79" i="1" s="1"/>
  <c r="L78" i="1"/>
  <c r="L77" i="1"/>
  <c r="H77" i="1"/>
  <c r="G77" i="1"/>
  <c r="L76" i="1"/>
  <c r="H76" i="1"/>
  <c r="L75" i="1"/>
  <c r="H75" i="1"/>
  <c r="L74" i="1"/>
  <c r="K74" i="1"/>
  <c r="J74" i="1"/>
  <c r="H74" i="1"/>
  <c r="G74" i="1"/>
  <c r="F74" i="1"/>
  <c r="L73" i="1"/>
  <c r="H73" i="1"/>
  <c r="L72" i="1"/>
  <c r="L71" i="1"/>
  <c r="H71" i="1"/>
  <c r="G71" i="1"/>
  <c r="L70" i="1"/>
  <c r="L69" i="1"/>
  <c r="H69" i="1"/>
  <c r="L68" i="1"/>
  <c r="H68" i="1"/>
  <c r="H70" i="1" s="1"/>
  <c r="F68" i="1"/>
  <c r="L140" i="1" s="1"/>
  <c r="L67" i="1"/>
  <c r="H67" i="1"/>
  <c r="L66" i="1"/>
  <c r="L65" i="1"/>
  <c r="H65" i="1"/>
  <c r="G65" i="1"/>
  <c r="L64" i="1"/>
  <c r="L63" i="1"/>
  <c r="K63" i="1"/>
  <c r="J63" i="1"/>
  <c r="H63" i="1"/>
  <c r="G63" i="1" s="1"/>
  <c r="F63" i="1"/>
  <c r="L62" i="1"/>
  <c r="H62" i="1"/>
  <c r="F62" i="1"/>
  <c r="L61" i="1"/>
  <c r="H61" i="1"/>
  <c r="H64" i="1" s="1"/>
  <c r="L60" i="1"/>
  <c r="L59" i="1"/>
  <c r="H59" i="1"/>
  <c r="G59" i="1"/>
  <c r="L58" i="1"/>
  <c r="H58" i="1"/>
  <c r="L57" i="1"/>
  <c r="K57" i="1"/>
  <c r="J57" i="1"/>
  <c r="H57" i="1"/>
  <c r="G57" i="1"/>
  <c r="F57" i="1"/>
  <c r="L56" i="1"/>
  <c r="H56" i="1"/>
  <c r="F56" i="1"/>
  <c r="L55" i="1"/>
  <c r="H55" i="1"/>
  <c r="L54" i="1"/>
  <c r="H54" i="1"/>
  <c r="L53" i="1"/>
  <c r="H53" i="1"/>
  <c r="G53" i="1"/>
  <c r="L52" i="1"/>
  <c r="L51" i="1"/>
  <c r="H51" i="1"/>
  <c r="G51" i="1"/>
  <c r="F51" i="1"/>
  <c r="L50" i="1"/>
  <c r="H50" i="1"/>
  <c r="G50" i="1" s="1"/>
  <c r="F50" i="1"/>
  <c r="L49" i="1"/>
  <c r="H49" i="1"/>
  <c r="H52" i="1" s="1"/>
  <c r="L48" i="1"/>
  <c r="L47" i="1"/>
  <c r="H47" i="1"/>
  <c r="G47" i="1"/>
  <c r="L46" i="1"/>
  <c r="L45" i="1"/>
  <c r="H45" i="1"/>
  <c r="L44" i="1"/>
  <c r="H44" i="1"/>
  <c r="G44" i="1"/>
  <c r="F44" i="1"/>
  <c r="L43" i="1"/>
  <c r="H43" i="1"/>
  <c r="L42" i="1"/>
  <c r="L41" i="1"/>
  <c r="H41" i="1"/>
  <c r="G41" i="1"/>
  <c r="L40" i="1"/>
  <c r="L39" i="1"/>
  <c r="H39" i="1"/>
  <c r="L38" i="1"/>
  <c r="H38" i="1"/>
  <c r="F38" i="1"/>
  <c r="G38" i="1" s="1"/>
  <c r="L37" i="1"/>
  <c r="H37" i="1"/>
  <c r="L36" i="1"/>
  <c r="L35" i="1"/>
  <c r="H35" i="1"/>
  <c r="G35" i="1"/>
  <c r="L34" i="1"/>
  <c r="H34" i="1"/>
  <c r="L33" i="1"/>
  <c r="H33" i="1"/>
  <c r="L32" i="1"/>
  <c r="H32" i="1"/>
  <c r="F32" i="1"/>
  <c r="L31" i="1"/>
  <c r="H31" i="1"/>
  <c r="L30" i="1"/>
  <c r="L29" i="1"/>
  <c r="H29" i="1"/>
  <c r="G29" i="1"/>
  <c r="L28" i="1"/>
  <c r="H28" i="1"/>
  <c r="L27" i="1"/>
  <c r="H27" i="1"/>
  <c r="L26" i="1"/>
  <c r="K26" i="1"/>
  <c r="H26" i="1"/>
  <c r="G26" i="1" s="1"/>
  <c r="F26" i="1"/>
  <c r="L25" i="1"/>
  <c r="H25" i="1"/>
  <c r="L24" i="1"/>
  <c r="L23" i="1"/>
  <c r="H23" i="1"/>
  <c r="G23" i="1"/>
  <c r="L22" i="1"/>
  <c r="L21" i="1"/>
  <c r="H21" i="1"/>
  <c r="L20" i="1"/>
  <c r="H20" i="1"/>
  <c r="G20" i="1" s="1"/>
  <c r="F20" i="1"/>
  <c r="L19" i="1"/>
  <c r="H19" i="1"/>
  <c r="H22" i="1" s="1"/>
  <c r="L18" i="1"/>
  <c r="K18" i="1"/>
  <c r="J18" i="1"/>
  <c r="L17" i="1"/>
  <c r="K17" i="1"/>
  <c r="J17" i="1"/>
  <c r="H17" i="1"/>
  <c r="G17" i="1"/>
  <c r="L16" i="1"/>
  <c r="K16" i="1"/>
  <c r="J16" i="1"/>
  <c r="L15" i="1"/>
  <c r="K15" i="1"/>
  <c r="J15" i="1"/>
  <c r="H15" i="1"/>
  <c r="L14" i="1"/>
  <c r="K14" i="1"/>
  <c r="J14" i="1"/>
  <c r="H14" i="1"/>
  <c r="F14" i="1"/>
  <c r="L13" i="1"/>
  <c r="K13" i="1"/>
  <c r="J13" i="1"/>
  <c r="H13" i="1"/>
  <c r="F13" i="1"/>
  <c r="E8" i="1"/>
  <c r="Q11" i="2" l="1"/>
  <c r="J66" i="2"/>
  <c r="F47" i="1" s="1"/>
  <c r="H66" i="1"/>
  <c r="P14" i="2"/>
  <c r="J101" i="1"/>
  <c r="H192" i="1"/>
  <c r="P35" i="2"/>
  <c r="P7" i="2"/>
  <c r="H24" i="1"/>
  <c r="P19" i="2"/>
  <c r="H96" i="1"/>
  <c r="P23" i="2"/>
  <c r="G118" i="1"/>
  <c r="H120" i="1"/>
  <c r="H132" i="1"/>
  <c r="P25" i="2"/>
  <c r="P24" i="2"/>
  <c r="H126" i="1"/>
  <c r="G85" i="1"/>
  <c r="F136" i="1"/>
  <c r="G133" i="1"/>
  <c r="L155" i="1"/>
  <c r="G81" i="1"/>
  <c r="F69" i="1"/>
  <c r="F75" i="1"/>
  <c r="L101" i="1"/>
  <c r="L85" i="1"/>
  <c r="H100" i="1"/>
  <c r="L110" i="1"/>
  <c r="J183" i="1"/>
  <c r="K189" i="1"/>
  <c r="J189" i="1"/>
  <c r="G13" i="1"/>
  <c r="K117" i="1"/>
  <c r="J111" i="1"/>
  <c r="L183" i="1"/>
  <c r="G147" i="1"/>
  <c r="H174" i="1"/>
  <c r="G183" i="1"/>
  <c r="F43" i="1"/>
  <c r="F37" i="1"/>
  <c r="F31" i="1"/>
  <c r="J64" i="2"/>
  <c r="F35" i="1" s="1"/>
  <c r="I64" i="2"/>
  <c r="J65" i="2" s="1"/>
  <c r="F41" i="1" s="1"/>
  <c r="J125" i="1"/>
  <c r="E6" i="1"/>
  <c r="H16" i="1"/>
  <c r="H40" i="1"/>
  <c r="K85" i="1"/>
  <c r="G111" i="1"/>
  <c r="J133" i="1"/>
  <c r="H178" i="1"/>
  <c r="J81" i="2"/>
  <c r="F137" i="1" s="1"/>
  <c r="J80" i="2"/>
  <c r="F131" i="1" s="1"/>
  <c r="J83" i="2"/>
  <c r="F149" i="1" s="1"/>
  <c r="K149" i="1" s="1"/>
  <c r="G68" i="1"/>
  <c r="J116" i="1"/>
  <c r="F118" i="1"/>
  <c r="G139" i="1"/>
  <c r="Q8" i="2"/>
  <c r="F98" i="1"/>
  <c r="F92" i="1"/>
  <c r="F86" i="1"/>
  <c r="K86" i="1" s="1"/>
  <c r="H78" i="1"/>
  <c r="P16" i="2"/>
  <c r="J26" i="1"/>
  <c r="K32" i="1"/>
  <c r="G43" i="1"/>
  <c r="G92" i="1"/>
  <c r="G122" i="1"/>
  <c r="F148" i="1"/>
  <c r="G145" i="1"/>
  <c r="F166" i="1"/>
  <c r="K169" i="1"/>
  <c r="J163" i="1"/>
  <c r="F45" i="1"/>
  <c r="F39" i="1"/>
  <c r="G39" i="1" s="1"/>
  <c r="F33" i="1"/>
  <c r="L157" i="1"/>
  <c r="F147" i="1"/>
  <c r="F153" i="1"/>
  <c r="G153" i="1" s="1"/>
  <c r="F141" i="1"/>
  <c r="F159" i="1"/>
  <c r="F165" i="1"/>
  <c r="P9" i="2"/>
  <c r="H36" i="1"/>
  <c r="P13" i="2"/>
  <c r="H60" i="1"/>
  <c r="P12" i="2"/>
  <c r="J62" i="1"/>
  <c r="L134" i="1"/>
  <c r="G62" i="1"/>
  <c r="G87" i="1"/>
  <c r="J139" i="1"/>
  <c r="P28" i="2"/>
  <c r="G148" i="1"/>
  <c r="F25" i="1"/>
  <c r="F19" i="1"/>
  <c r="K19" i="1" s="1"/>
  <c r="K62" i="1"/>
  <c r="J56" i="1"/>
  <c r="L128" i="1"/>
  <c r="J68" i="1"/>
  <c r="L189" i="1"/>
  <c r="J123" i="1"/>
  <c r="J117" i="1"/>
  <c r="K123" i="1"/>
  <c r="K125" i="1"/>
  <c r="K139" i="1"/>
  <c r="J62" i="2"/>
  <c r="F23" i="1" s="1"/>
  <c r="J61" i="2"/>
  <c r="F17" i="1" s="1"/>
  <c r="K38" i="1"/>
  <c r="J32" i="1"/>
  <c r="G32" i="1"/>
  <c r="G56" i="1"/>
  <c r="H46" i="1"/>
  <c r="L104" i="1"/>
  <c r="H160" i="1"/>
  <c r="H186" i="1"/>
  <c r="J69" i="2"/>
  <c r="F65" i="1" s="1"/>
  <c r="D7" i="1"/>
  <c r="P8" i="2"/>
  <c r="H30" i="1"/>
  <c r="K44" i="1"/>
  <c r="J38" i="1"/>
  <c r="P15" i="2"/>
  <c r="G70" i="1"/>
  <c r="F82" i="1"/>
  <c r="L151" i="1"/>
  <c r="F171" i="1"/>
  <c r="H82" i="1"/>
  <c r="L191" i="1"/>
  <c r="G117" i="1"/>
  <c r="L92" i="1"/>
  <c r="J20" i="1"/>
  <c r="L129" i="1"/>
  <c r="K111" i="1"/>
  <c r="L177" i="1"/>
  <c r="J127" i="1"/>
  <c r="K133" i="1"/>
  <c r="J145" i="1"/>
  <c r="I70" i="2"/>
  <c r="J71" i="2" s="1"/>
  <c r="F77" i="1" s="1"/>
  <c r="G75" i="1"/>
  <c r="L159" i="1"/>
  <c r="L86" i="1"/>
  <c r="H72" i="1"/>
  <c r="J73" i="2"/>
  <c r="F89" i="1" s="1"/>
  <c r="I73" i="2"/>
  <c r="J74" i="2" s="1"/>
  <c r="F95" i="1" s="1"/>
  <c r="K68" i="1"/>
  <c r="J128" i="1"/>
  <c r="F124" i="1"/>
  <c r="K128" i="1"/>
  <c r="F61" i="1"/>
  <c r="F55" i="1"/>
  <c r="F49" i="1"/>
  <c r="F93" i="1"/>
  <c r="F99" i="1"/>
  <c r="J105" i="1" s="1"/>
  <c r="L146" i="1"/>
  <c r="K80" i="1"/>
  <c r="J80" i="1"/>
  <c r="H88" i="1"/>
  <c r="G105" i="1"/>
  <c r="K122" i="1"/>
  <c r="G127" i="1"/>
  <c r="K145" i="1"/>
  <c r="J169" i="1"/>
  <c r="F190" i="1"/>
  <c r="G67" i="1"/>
  <c r="I67" i="2"/>
  <c r="J68" i="2" s="1"/>
  <c r="F59" i="1" s="1"/>
  <c r="L116" i="1"/>
  <c r="K50" i="1"/>
  <c r="J44" i="1"/>
  <c r="H136" i="1"/>
  <c r="H142" i="1"/>
  <c r="F27" i="1"/>
  <c r="F21" i="1"/>
  <c r="F15" i="1"/>
  <c r="G15" i="1" s="1"/>
  <c r="F91" i="1"/>
  <c r="K91" i="1" s="1"/>
  <c r="F97" i="1"/>
  <c r="K127" i="1"/>
  <c r="K157" i="1"/>
  <c r="G151" i="1"/>
  <c r="I88" i="2"/>
  <c r="F70" i="1"/>
  <c r="G14" i="1"/>
  <c r="K20" i="1"/>
  <c r="K56" i="1"/>
  <c r="L122" i="1"/>
  <c r="J50" i="1"/>
  <c r="J67" i="1"/>
  <c r="J134" i="1"/>
  <c r="G140" i="1"/>
  <c r="G146" i="1"/>
  <c r="F160" i="1"/>
  <c r="J157" i="1"/>
  <c r="J182" i="1"/>
  <c r="J140" i="1"/>
  <c r="K146" i="1"/>
  <c r="H166" i="1"/>
  <c r="G163" i="1"/>
  <c r="K116" i="1"/>
  <c r="G110" i="1"/>
  <c r="G123" i="1"/>
  <c r="F106" i="1"/>
  <c r="J103" i="1"/>
  <c r="H106" i="1"/>
  <c r="L187" i="1"/>
  <c r="L123" i="1"/>
  <c r="K140" i="1"/>
  <c r="G157" i="1"/>
  <c r="K163" i="1"/>
  <c r="G176" i="1"/>
  <c r="J85" i="2"/>
  <c r="F161" i="1" s="1"/>
  <c r="F129" i="1"/>
  <c r="J170" i="1"/>
  <c r="K176" i="1"/>
  <c r="J87" i="2"/>
  <c r="F173" i="1" s="1"/>
  <c r="L173" i="1" s="1"/>
  <c r="L135" i="1"/>
  <c r="F73" i="1"/>
  <c r="J79" i="1" s="1"/>
  <c r="H112" i="1"/>
  <c r="F112" i="1"/>
  <c r="F135" i="1"/>
  <c r="F175" i="1"/>
  <c r="G175" i="1" s="1"/>
  <c r="F181" i="1"/>
  <c r="I76" i="2"/>
  <c r="J77" i="2" s="1"/>
  <c r="F113" i="1" s="1"/>
  <c r="G80" i="1"/>
  <c r="G164" i="1"/>
  <c r="K183" i="1"/>
  <c r="J89" i="2" l="1"/>
  <c r="F185" i="1" s="1"/>
  <c r="J88" i="2"/>
  <c r="F179" i="1" s="1"/>
  <c r="J23" i="1"/>
  <c r="L95" i="1"/>
  <c r="K29" i="1"/>
  <c r="O21" i="2"/>
  <c r="J106" i="1"/>
  <c r="K112" i="1"/>
  <c r="I137" i="1"/>
  <c r="K143" i="1"/>
  <c r="J137" i="1"/>
  <c r="P18" i="2"/>
  <c r="H90" i="1"/>
  <c r="L149" i="1"/>
  <c r="K83" i="1"/>
  <c r="F88" i="1"/>
  <c r="J7" i="1" s="1"/>
  <c r="J159" i="1"/>
  <c r="F8" i="1"/>
  <c r="K165" i="1"/>
  <c r="G159" i="1"/>
  <c r="J92" i="1"/>
  <c r="K98" i="1"/>
  <c r="L164" i="1"/>
  <c r="F40" i="1"/>
  <c r="J37" i="1"/>
  <c r="L109" i="1"/>
  <c r="K43" i="1"/>
  <c r="G37" i="1"/>
  <c r="L185" i="1"/>
  <c r="K119" i="1"/>
  <c r="J119" i="1"/>
  <c r="L154" i="1"/>
  <c r="O17" i="2"/>
  <c r="F84" i="1"/>
  <c r="J76" i="2"/>
  <c r="F107" i="1" s="1"/>
  <c r="F108" i="1" s="1"/>
  <c r="P30" i="2"/>
  <c r="H162" i="1"/>
  <c r="G160" i="1"/>
  <c r="J8" i="1"/>
  <c r="J166" i="1"/>
  <c r="O31" i="2"/>
  <c r="F168" i="1"/>
  <c r="J131" i="1"/>
  <c r="K137" i="1"/>
  <c r="K41" i="1"/>
  <c r="J35" i="1"/>
  <c r="G120" i="1"/>
  <c r="G192" i="1"/>
  <c r="J181" i="1"/>
  <c r="K187" i="1"/>
  <c r="G181" i="1"/>
  <c r="L181" i="1"/>
  <c r="F184" i="1"/>
  <c r="J129" i="1"/>
  <c r="G129" i="1"/>
  <c r="K135" i="1"/>
  <c r="F130" i="1"/>
  <c r="O30" i="2"/>
  <c r="R30" i="2" s="1"/>
  <c r="F162" i="1"/>
  <c r="I159" i="1" s="1"/>
  <c r="K166" i="1"/>
  <c r="H8" i="1"/>
  <c r="J161" i="1"/>
  <c r="K167" i="1"/>
  <c r="K129" i="1"/>
  <c r="G99" i="1"/>
  <c r="G141" i="1"/>
  <c r="J141" i="1"/>
  <c r="K147" i="1"/>
  <c r="K104" i="1"/>
  <c r="L98" i="1"/>
  <c r="J104" i="1"/>
  <c r="L170" i="1"/>
  <c r="J98" i="1"/>
  <c r="P33" i="2"/>
  <c r="G178" i="1"/>
  <c r="H180" i="1"/>
  <c r="F46" i="1"/>
  <c r="J43" i="1"/>
  <c r="K49" i="1"/>
  <c r="L115" i="1"/>
  <c r="J153" i="1"/>
  <c r="K159" i="1"/>
  <c r="F154" i="1"/>
  <c r="O28" i="2"/>
  <c r="R28" i="2" s="1"/>
  <c r="K154" i="1"/>
  <c r="F150" i="1"/>
  <c r="I148" i="1" s="1"/>
  <c r="K161" i="1"/>
  <c r="L131" i="1"/>
  <c r="J59" i="1"/>
  <c r="K65" i="1"/>
  <c r="O24" i="2"/>
  <c r="R24" i="2" s="1"/>
  <c r="F126" i="1"/>
  <c r="J124" i="1"/>
  <c r="I124" i="1"/>
  <c r="I165" i="1"/>
  <c r="G165" i="1"/>
  <c r="K171" i="1"/>
  <c r="J165" i="1"/>
  <c r="J86" i="1"/>
  <c r="K92" i="1"/>
  <c r="L158" i="1"/>
  <c r="G86" i="1"/>
  <c r="E7" i="1"/>
  <c r="L103" i="1"/>
  <c r="K37" i="1"/>
  <c r="J31" i="1"/>
  <c r="F34" i="1"/>
  <c r="G31" i="1"/>
  <c r="O26" i="2"/>
  <c r="F138" i="1"/>
  <c r="J136" i="1"/>
  <c r="I136" i="1"/>
  <c r="L175" i="1"/>
  <c r="F178" i="1"/>
  <c r="L178" i="1" s="1"/>
  <c r="K175" i="1"/>
  <c r="K181" i="1"/>
  <c r="J175" i="1"/>
  <c r="J67" i="2"/>
  <c r="F53" i="1" s="1"/>
  <c r="J167" i="1"/>
  <c r="J70" i="2"/>
  <c r="F71" i="1" s="1"/>
  <c r="J77" i="1" s="1"/>
  <c r="K73" i="1"/>
  <c r="P11" i="2"/>
  <c r="G46" i="1"/>
  <c r="H48" i="1"/>
  <c r="I135" i="1"/>
  <c r="J135" i="1"/>
  <c r="G135" i="1"/>
  <c r="K141" i="1"/>
  <c r="J97" i="1"/>
  <c r="K103" i="1"/>
  <c r="G97" i="1"/>
  <c r="L169" i="1"/>
  <c r="F100" i="1"/>
  <c r="G100" i="1" s="1"/>
  <c r="K101" i="1"/>
  <c r="J95" i="1"/>
  <c r="L167" i="1"/>
  <c r="I147" i="1"/>
  <c r="K153" i="1"/>
  <c r="J147" i="1"/>
  <c r="P20" i="2"/>
  <c r="H102" i="1"/>
  <c r="J155" i="1"/>
  <c r="O22" i="2"/>
  <c r="J112" i="1"/>
  <c r="K118" i="1"/>
  <c r="L184" i="1"/>
  <c r="F114" i="1"/>
  <c r="I112" i="1" s="1"/>
  <c r="L163" i="1"/>
  <c r="K97" i="1"/>
  <c r="F94" i="1"/>
  <c r="J91" i="1"/>
  <c r="J187" i="1"/>
  <c r="J29" i="1"/>
  <c r="L161" i="1"/>
  <c r="J89" i="1"/>
  <c r="K95" i="1"/>
  <c r="K35" i="1"/>
  <c r="F142" i="1"/>
  <c r="G98" i="1"/>
  <c r="G40" i="1"/>
  <c r="H42" i="1"/>
  <c r="P10" i="2"/>
  <c r="G126" i="1"/>
  <c r="J47" i="1"/>
  <c r="K53" i="1"/>
  <c r="L119" i="1"/>
  <c r="K179" i="1"/>
  <c r="J173" i="1"/>
  <c r="K173" i="1"/>
  <c r="P27" i="2"/>
  <c r="H144" i="1"/>
  <c r="L121" i="1"/>
  <c r="F52" i="1"/>
  <c r="K55" i="1"/>
  <c r="J49" i="1"/>
  <c r="G49" i="1"/>
  <c r="K89" i="1"/>
  <c r="J171" i="1"/>
  <c r="K177" i="1"/>
  <c r="G171" i="1"/>
  <c r="J177" i="1"/>
  <c r="F172" i="1"/>
  <c r="J45" i="1"/>
  <c r="L117" i="1"/>
  <c r="G45" i="1"/>
  <c r="J51" i="1"/>
  <c r="K51" i="1"/>
  <c r="K131" i="1"/>
  <c r="J75" i="1"/>
  <c r="L147" i="1"/>
  <c r="K81" i="1"/>
  <c r="J6" i="1"/>
  <c r="H18" i="1"/>
  <c r="G16" i="1"/>
  <c r="P6" i="2"/>
  <c r="G124" i="1"/>
  <c r="J27" i="1"/>
  <c r="L99" i="1"/>
  <c r="G27" i="1"/>
  <c r="K33" i="1"/>
  <c r="H138" i="1"/>
  <c r="G136" i="1"/>
  <c r="P26" i="2"/>
  <c r="J55" i="1"/>
  <c r="G55" i="1"/>
  <c r="L127" i="1"/>
  <c r="K61" i="1"/>
  <c r="F58" i="1"/>
  <c r="L137" i="1"/>
  <c r="J65" i="1"/>
  <c r="J81" i="1"/>
  <c r="J69" i="1"/>
  <c r="K75" i="1"/>
  <c r="G69" i="1"/>
  <c r="L141" i="1"/>
  <c r="K69" i="1"/>
  <c r="J143" i="1"/>
  <c r="F28" i="1"/>
  <c r="L97" i="1"/>
  <c r="J25" i="1"/>
  <c r="K31" i="1"/>
  <c r="G25" i="1"/>
  <c r="P22" i="2"/>
  <c r="H114" i="1"/>
  <c r="G112" i="1"/>
  <c r="F6" i="1"/>
  <c r="L87" i="1"/>
  <c r="K21" i="1"/>
  <c r="O35" i="2"/>
  <c r="R35" i="2" s="1"/>
  <c r="F192" i="1"/>
  <c r="I190" i="1"/>
  <c r="F76" i="1"/>
  <c r="J73" i="1"/>
  <c r="L145" i="1"/>
  <c r="K79" i="1"/>
  <c r="G73" i="1"/>
  <c r="G21" i="1"/>
  <c r="K27" i="1"/>
  <c r="L93" i="1"/>
  <c r="J21" i="1"/>
  <c r="J99" i="1"/>
  <c r="K105" i="1"/>
  <c r="L171" i="1"/>
  <c r="H84" i="1"/>
  <c r="G84" i="1" s="1"/>
  <c r="G82" i="1"/>
  <c r="P17" i="2"/>
  <c r="L105" i="1"/>
  <c r="K39" i="1"/>
  <c r="G33" i="1"/>
  <c r="J33" i="1"/>
  <c r="J118" i="1"/>
  <c r="L190" i="1"/>
  <c r="I118" i="1"/>
  <c r="K124" i="1"/>
  <c r="O23" i="2"/>
  <c r="R23" i="2" s="1"/>
  <c r="F120" i="1"/>
  <c r="H168" i="1"/>
  <c r="G168" i="1" s="1"/>
  <c r="G166" i="1"/>
  <c r="P31" i="2"/>
  <c r="K99" i="1"/>
  <c r="L165" i="1"/>
  <c r="J93" i="1"/>
  <c r="K93" i="1"/>
  <c r="J83" i="1"/>
  <c r="F7" i="1"/>
  <c r="L153" i="1"/>
  <c r="L111" i="1"/>
  <c r="J39" i="1"/>
  <c r="K45" i="1"/>
  <c r="H108" i="1"/>
  <c r="G106" i="1"/>
  <c r="P21" i="2"/>
  <c r="J70" i="1"/>
  <c r="O15" i="2"/>
  <c r="R15" i="2" s="1"/>
  <c r="L133" i="1"/>
  <c r="K67" i="1"/>
  <c r="F64" i="1"/>
  <c r="J61" i="1"/>
  <c r="G61" i="1"/>
  <c r="G91" i="1"/>
  <c r="G93" i="1"/>
  <c r="H6" i="1"/>
  <c r="K23" i="1"/>
  <c r="L89" i="1"/>
  <c r="K25" i="1"/>
  <c r="L91" i="1"/>
  <c r="F22" i="1"/>
  <c r="J19" i="1"/>
  <c r="G19" i="1"/>
  <c r="D8" i="1"/>
  <c r="F16" i="1"/>
  <c r="I149" i="1"/>
  <c r="K155" i="1"/>
  <c r="J149" i="1"/>
  <c r="K47" i="1"/>
  <c r="J41" i="1"/>
  <c r="L113" i="1"/>
  <c r="D6" i="1"/>
  <c r="G190" i="1"/>
  <c r="K114" i="1" l="1"/>
  <c r="I104" i="1"/>
  <c r="I108" i="1"/>
  <c r="I105" i="1"/>
  <c r="I103" i="1"/>
  <c r="I106" i="1"/>
  <c r="G18" i="1"/>
  <c r="J142" i="1"/>
  <c r="I142" i="1"/>
  <c r="K148" i="1"/>
  <c r="O27" i="2"/>
  <c r="R27" i="2" s="1"/>
  <c r="F144" i="1"/>
  <c r="I113" i="1"/>
  <c r="F132" i="1"/>
  <c r="J130" i="1"/>
  <c r="I130" i="1"/>
  <c r="O25" i="2"/>
  <c r="R25" i="2" s="1"/>
  <c r="K136" i="1"/>
  <c r="G130" i="1"/>
  <c r="I138" i="1"/>
  <c r="K144" i="1"/>
  <c r="I134" i="1"/>
  <c r="J138" i="1"/>
  <c r="I133" i="1"/>
  <c r="O16" i="2"/>
  <c r="R16" i="2" s="1"/>
  <c r="F78" i="1"/>
  <c r="L148" i="1"/>
  <c r="J76" i="1"/>
  <c r="G76" i="1"/>
  <c r="K82" i="1"/>
  <c r="I76" i="1"/>
  <c r="G138" i="1"/>
  <c r="H7" i="1"/>
  <c r="K142" i="1"/>
  <c r="L118" i="1"/>
  <c r="O11" i="2"/>
  <c r="R11" i="2" s="1"/>
  <c r="K52" i="1"/>
  <c r="J46" i="1"/>
  <c r="F48" i="1"/>
  <c r="L107" i="1"/>
  <c r="R21" i="2"/>
  <c r="J120" i="1"/>
  <c r="I120" i="1"/>
  <c r="L192" i="1"/>
  <c r="K126" i="1"/>
  <c r="I116" i="1"/>
  <c r="I115" i="1"/>
  <c r="I119" i="1"/>
  <c r="I117" i="1"/>
  <c r="R26" i="2"/>
  <c r="G180" i="1"/>
  <c r="J82" i="1"/>
  <c r="J71" i="1"/>
  <c r="K77" i="1"/>
  <c r="L143" i="1"/>
  <c r="J148" i="1"/>
  <c r="J84" i="1"/>
  <c r="I84" i="1"/>
  <c r="K90" i="1"/>
  <c r="L156" i="1"/>
  <c r="I80" i="1"/>
  <c r="I79" i="1"/>
  <c r="I83" i="1"/>
  <c r="I81" i="1"/>
  <c r="J150" i="1"/>
  <c r="I150" i="1"/>
  <c r="G150" i="1"/>
  <c r="I146" i="1"/>
  <c r="I145" i="1"/>
  <c r="R17" i="2"/>
  <c r="O10" i="2"/>
  <c r="R10" i="2" s="1"/>
  <c r="K46" i="1"/>
  <c r="J40" i="1"/>
  <c r="F42" i="1"/>
  <c r="L112" i="1"/>
  <c r="I40" i="1"/>
  <c r="K7" i="1"/>
  <c r="G90" i="1"/>
  <c r="O32" i="2"/>
  <c r="R32" i="2" s="1"/>
  <c r="J172" i="1"/>
  <c r="I172" i="1"/>
  <c r="F174" i="1"/>
  <c r="K178" i="1"/>
  <c r="G172" i="1"/>
  <c r="G144" i="1"/>
  <c r="G8" i="1"/>
  <c r="K168" i="1"/>
  <c r="J162" i="1"/>
  <c r="I162" i="1"/>
  <c r="I158" i="1"/>
  <c r="I157" i="1"/>
  <c r="O14" i="2"/>
  <c r="R14" i="2" s="1"/>
  <c r="J64" i="1"/>
  <c r="K70" i="1"/>
  <c r="L136" i="1"/>
  <c r="F66" i="1"/>
  <c r="I64" i="1"/>
  <c r="G64" i="1"/>
  <c r="I188" i="1"/>
  <c r="I192" i="1"/>
  <c r="I189" i="1"/>
  <c r="I187" i="1"/>
  <c r="I191" i="1"/>
  <c r="I161" i="1"/>
  <c r="R31" i="2"/>
  <c r="K88" i="1"/>
  <c r="J114" i="1"/>
  <c r="I114" i="1"/>
  <c r="K120" i="1"/>
  <c r="I110" i="1"/>
  <c r="I109" i="1"/>
  <c r="I111" i="1"/>
  <c r="O34" i="2"/>
  <c r="R34" i="2" s="1"/>
  <c r="K190" i="1"/>
  <c r="J184" i="1"/>
  <c r="F186" i="1"/>
  <c r="K8" i="1" s="1"/>
  <c r="I184" i="1"/>
  <c r="G184" i="1"/>
  <c r="O8" i="2"/>
  <c r="R8" i="2" s="1"/>
  <c r="K34" i="1"/>
  <c r="J28" i="1"/>
  <c r="F30" i="1"/>
  <c r="I28" i="1"/>
  <c r="L100" i="1"/>
  <c r="G28" i="1"/>
  <c r="O13" i="2"/>
  <c r="R13" i="2" s="1"/>
  <c r="K64" i="1"/>
  <c r="J58" i="1"/>
  <c r="F60" i="1"/>
  <c r="I58" i="1"/>
  <c r="L130" i="1"/>
  <c r="G58" i="1"/>
  <c r="O12" i="2"/>
  <c r="R12" i="2" s="1"/>
  <c r="K58" i="1"/>
  <c r="J52" i="1"/>
  <c r="F54" i="1"/>
  <c r="I52" i="1" s="1"/>
  <c r="L124" i="1"/>
  <c r="G52" i="1"/>
  <c r="K130" i="1"/>
  <c r="K160" i="1"/>
  <c r="I154" i="1"/>
  <c r="J154" i="1"/>
  <c r="G154" i="1"/>
  <c r="O29" i="2"/>
  <c r="R29" i="2" s="1"/>
  <c r="F156" i="1"/>
  <c r="I160" i="1"/>
  <c r="I82" i="1"/>
  <c r="G162" i="1"/>
  <c r="G114" i="1"/>
  <c r="G108" i="1"/>
  <c r="O18" i="2"/>
  <c r="R18" i="2" s="1"/>
  <c r="J88" i="1"/>
  <c r="I88" i="1"/>
  <c r="L160" i="1"/>
  <c r="K94" i="1"/>
  <c r="G7" i="1"/>
  <c r="F90" i="1"/>
  <c r="O20" i="2"/>
  <c r="R20" i="2" s="1"/>
  <c r="L172" i="1"/>
  <c r="J100" i="1"/>
  <c r="F102" i="1"/>
  <c r="J108" i="1" s="1"/>
  <c r="K106" i="1"/>
  <c r="O7" i="2"/>
  <c r="R7" i="2" s="1"/>
  <c r="L94" i="1"/>
  <c r="J22" i="1"/>
  <c r="K28" i="1"/>
  <c r="F24" i="1"/>
  <c r="K6" i="1" s="1"/>
  <c r="G22" i="1"/>
  <c r="O9" i="2"/>
  <c r="R9" i="2" s="1"/>
  <c r="K40" i="1"/>
  <c r="J34" i="1"/>
  <c r="F36" i="1"/>
  <c r="I34" i="1" s="1"/>
  <c r="L106" i="1"/>
  <c r="G34" i="1"/>
  <c r="J190" i="1"/>
  <c r="K71" i="1"/>
  <c r="G102" i="1"/>
  <c r="K59" i="1"/>
  <c r="L125" i="1"/>
  <c r="J53" i="1"/>
  <c r="I53" i="1"/>
  <c r="J168" i="1"/>
  <c r="I168" i="1"/>
  <c r="K174" i="1"/>
  <c r="I164" i="1"/>
  <c r="I167" i="1"/>
  <c r="I163" i="1"/>
  <c r="L142" i="1"/>
  <c r="F72" i="1"/>
  <c r="K100" i="1"/>
  <c r="L166" i="1"/>
  <c r="J94" i="1"/>
  <c r="F96" i="1"/>
  <c r="O19" i="2"/>
  <c r="R19" i="2" s="1"/>
  <c r="I94" i="1"/>
  <c r="G94" i="1"/>
  <c r="J126" i="1"/>
  <c r="I126" i="1"/>
  <c r="K132" i="1"/>
  <c r="I125" i="1"/>
  <c r="I122" i="1"/>
  <c r="I121" i="1"/>
  <c r="I123" i="1"/>
  <c r="J160" i="1"/>
  <c r="K172" i="1"/>
  <c r="G88" i="1"/>
  <c r="I179" i="1"/>
  <c r="K185" i="1"/>
  <c r="J179" i="1"/>
  <c r="O6" i="2"/>
  <c r="R6" i="2" s="1"/>
  <c r="L88" i="1"/>
  <c r="G6" i="1"/>
  <c r="F18" i="1"/>
  <c r="I16" i="1" s="1"/>
  <c r="K22" i="1"/>
  <c r="I107" i="1"/>
  <c r="J107" i="1"/>
  <c r="K113" i="1"/>
  <c r="L179" i="1"/>
  <c r="K107" i="1"/>
  <c r="R22" i="2"/>
  <c r="K76" i="1"/>
  <c r="G142" i="1"/>
  <c r="K184" i="1"/>
  <c r="F180" i="1"/>
  <c r="I178" i="1"/>
  <c r="O33" i="2"/>
  <c r="R33" i="2" s="1"/>
  <c r="J178" i="1"/>
  <c r="I166" i="1"/>
  <c r="J113" i="1"/>
  <c r="J185" i="1"/>
  <c r="K191" i="1"/>
  <c r="J191" i="1"/>
  <c r="L120" i="1" l="1"/>
  <c r="K54" i="1"/>
  <c r="J48" i="1"/>
  <c r="I48" i="1"/>
  <c r="I44" i="1"/>
  <c r="I45" i="1"/>
  <c r="I47" i="1"/>
  <c r="I43" i="1"/>
  <c r="J24" i="1"/>
  <c r="I24" i="1"/>
  <c r="L96" i="1"/>
  <c r="K30" i="1"/>
  <c r="I20" i="1"/>
  <c r="I23" i="1"/>
  <c r="I21" i="1"/>
  <c r="G24" i="1"/>
  <c r="I19" i="1"/>
  <c r="K102" i="1"/>
  <c r="I96" i="1"/>
  <c r="L168" i="1"/>
  <c r="J96" i="1"/>
  <c r="I92" i="1"/>
  <c r="I93" i="1"/>
  <c r="I91" i="1"/>
  <c r="I95" i="1"/>
  <c r="G96" i="1"/>
  <c r="G48" i="1"/>
  <c r="K72" i="1"/>
  <c r="I66" i="1"/>
  <c r="J66" i="1"/>
  <c r="L138" i="1"/>
  <c r="I63" i="1"/>
  <c r="I62" i="1"/>
  <c r="G66" i="1"/>
  <c r="I65" i="1"/>
  <c r="I61" i="1"/>
  <c r="J174" i="1"/>
  <c r="K180" i="1"/>
  <c r="I174" i="1"/>
  <c r="I170" i="1"/>
  <c r="I169" i="1"/>
  <c r="G174" i="1"/>
  <c r="I171" i="1"/>
  <c r="I173" i="1"/>
  <c r="K48" i="1"/>
  <c r="J42" i="1"/>
  <c r="I42" i="1"/>
  <c r="L114" i="1"/>
  <c r="I38" i="1"/>
  <c r="I41" i="1"/>
  <c r="I37" i="1"/>
  <c r="I39" i="1"/>
  <c r="I185" i="1"/>
  <c r="K36" i="1"/>
  <c r="J30" i="1"/>
  <c r="I30" i="1"/>
  <c r="L102" i="1"/>
  <c r="I26" i="1"/>
  <c r="I29" i="1"/>
  <c r="I27" i="1"/>
  <c r="I25" i="1"/>
  <c r="G30" i="1"/>
  <c r="I180" i="1"/>
  <c r="I176" i="1"/>
  <c r="K186" i="1"/>
  <c r="J180" i="1"/>
  <c r="I177" i="1"/>
  <c r="I175" i="1"/>
  <c r="I132" i="1"/>
  <c r="J132" i="1"/>
  <c r="K138" i="1"/>
  <c r="I128" i="1"/>
  <c r="I127" i="1"/>
  <c r="G132" i="1"/>
  <c r="I131" i="1"/>
  <c r="I129" i="1"/>
  <c r="I182" i="1"/>
  <c r="K192" i="1"/>
  <c r="J186" i="1"/>
  <c r="I186" i="1"/>
  <c r="I183" i="1"/>
  <c r="I181" i="1"/>
  <c r="G186" i="1"/>
  <c r="J60" i="1"/>
  <c r="I57" i="1"/>
  <c r="I60" i="1"/>
  <c r="L132" i="1"/>
  <c r="K66" i="1"/>
  <c r="I56" i="1"/>
  <c r="I59" i="1"/>
  <c r="G60" i="1"/>
  <c r="I55" i="1"/>
  <c r="I8" i="1"/>
  <c r="L144" i="1"/>
  <c r="I72" i="1"/>
  <c r="J72" i="1"/>
  <c r="I68" i="1"/>
  <c r="K78" i="1"/>
  <c r="I67" i="1"/>
  <c r="I70" i="1"/>
  <c r="G72" i="1"/>
  <c r="I69" i="1"/>
  <c r="L174" i="1"/>
  <c r="K108" i="1"/>
  <c r="J102" i="1"/>
  <c r="I102" i="1"/>
  <c r="I101" i="1"/>
  <c r="I97" i="1"/>
  <c r="I98" i="1"/>
  <c r="I99" i="1"/>
  <c r="I100" i="1"/>
  <c r="L180" i="1"/>
  <c r="I22" i="1"/>
  <c r="J192" i="1"/>
  <c r="K60" i="1"/>
  <c r="J54" i="1"/>
  <c r="I50" i="1"/>
  <c r="G54" i="1"/>
  <c r="L126" i="1"/>
  <c r="I51" i="1"/>
  <c r="I54" i="1"/>
  <c r="I49" i="1"/>
  <c r="L186" i="1"/>
  <c r="L90" i="1"/>
  <c r="I6" i="1"/>
  <c r="I18" i="1"/>
  <c r="K24" i="1"/>
  <c r="I13" i="1"/>
  <c r="I14" i="1"/>
  <c r="I15" i="1"/>
  <c r="I17" i="1"/>
  <c r="K42" i="1"/>
  <c r="J36" i="1"/>
  <c r="L108" i="1"/>
  <c r="I36" i="1"/>
  <c r="I32" i="1"/>
  <c r="I31" i="1"/>
  <c r="I33" i="1"/>
  <c r="G36" i="1"/>
  <c r="I35" i="1"/>
  <c r="G42" i="1"/>
  <c r="J90" i="1"/>
  <c r="K96" i="1"/>
  <c r="L162" i="1"/>
  <c r="I90" i="1"/>
  <c r="I7" i="1"/>
  <c r="I85" i="1"/>
  <c r="I87" i="1"/>
  <c r="I89" i="1"/>
  <c r="I86" i="1"/>
  <c r="I152" i="1"/>
  <c r="K162" i="1"/>
  <c r="J156" i="1"/>
  <c r="I156" i="1"/>
  <c r="G156" i="1"/>
  <c r="I155" i="1"/>
  <c r="I151" i="1"/>
  <c r="I153" i="1"/>
  <c r="K156" i="1"/>
  <c r="I71" i="1"/>
  <c r="I46" i="1"/>
  <c r="L150" i="1"/>
  <c r="J78" i="1"/>
  <c r="I78" i="1"/>
  <c r="K84" i="1"/>
  <c r="I74" i="1"/>
  <c r="I77" i="1"/>
  <c r="I75" i="1"/>
  <c r="I73" i="1"/>
  <c r="G78" i="1"/>
  <c r="J144" i="1"/>
  <c r="I144" i="1"/>
  <c r="K150" i="1"/>
  <c r="I143" i="1"/>
  <c r="I140" i="1"/>
  <c r="I139" i="1"/>
  <c r="I141" i="1"/>
</calcChain>
</file>

<file path=xl/sharedStrings.xml><?xml version="1.0" encoding="utf-8"?>
<sst xmlns="http://schemas.openxmlformats.org/spreadsheetml/2006/main" count="1344" uniqueCount="102">
  <si>
    <t>Capital One deposit rate and balance actuals</t>
  </si>
  <si>
    <t>Monthly actuals from Jan-2024 through Jun-2026. Balances and monthly interest expense are in $ millions; rates are annualized.</t>
  </si>
  <si>
    <t>Period</t>
  </si>
  <si>
    <t>Start Month</t>
  </si>
  <si>
    <t>Through Month</t>
  </si>
  <si>
    <t>Checking Avg Balance</t>
  </si>
  <si>
    <t>Savings Avg Balance</t>
  </si>
  <si>
    <t>Time Deposits Avg Balance</t>
  </si>
  <si>
    <t>Total IB Avg Balance</t>
  </si>
  <si>
    <t>NIB Avg Balance</t>
  </si>
  <si>
    <t>Total Deposits Avg Balance</t>
  </si>
  <si>
    <t>IB Average Rate</t>
  </si>
  <si>
    <t>Total Deposit Cost</t>
  </si>
  <si>
    <t>2024</t>
  </si>
  <si>
    <t>2025</t>
  </si>
  <si>
    <t>H1 2026</t>
  </si>
  <si>
    <t>Month</t>
  </si>
  <si>
    <t>Year</t>
  </si>
  <si>
    <t>Quarter</t>
  </si>
  <si>
    <t>Deposit Type</t>
  </si>
  <si>
    <t>Interest Bearing</t>
  </si>
  <si>
    <t>Average Balance ($mm)</t>
  </si>
  <si>
    <t>Annualized Rate</t>
  </si>
  <si>
    <t>Monthly Interest Expense ($mm)</t>
  </si>
  <si>
    <t>Share of Total Deposits</t>
  </si>
  <si>
    <t>MoM Balance Change ($mm)</t>
  </si>
  <si>
    <t>MoM Balance Change (%)</t>
  </si>
  <si>
    <t>YoY Balance Change (%)</t>
  </si>
  <si>
    <t>Source Period</t>
  </si>
  <si>
    <t>Source Method</t>
  </si>
  <si>
    <t>Data Status</t>
  </si>
  <si>
    <t>Q1</t>
  </si>
  <si>
    <t>Checking</t>
  </si>
  <si>
    <t>Yes</t>
  </si>
  <si>
    <t>2024Q1</t>
  </si>
  <si>
    <t>Quarter balance and expense mix applied to controlled totals</t>
  </si>
  <si>
    <t>Allocated from reported quarter actual</t>
  </si>
  <si>
    <t>Savings</t>
  </si>
  <si>
    <t>Time deposits</t>
  </si>
  <si>
    <t>Total interest-bearing deposits</t>
  </si>
  <si>
    <t>Controlled monthly imputation</t>
  </si>
  <si>
    <t>Controlled monthly actual estimate</t>
  </si>
  <si>
    <t>Non-interest-bearing deposits</t>
  </si>
  <si>
    <t>No</t>
  </si>
  <si>
    <t>Quarterly average and EOP controlled interpolation</t>
  </si>
  <si>
    <t>Total deposits</t>
  </si>
  <si>
    <t>Mixed</t>
  </si>
  <si>
    <t>Interest-bearing plus non-interest-bearing deposits</t>
  </si>
  <si>
    <t>Calculated monthly total</t>
  </si>
  <si>
    <t>Q2</t>
  </si>
  <si>
    <t>2024Q2</t>
  </si>
  <si>
    <t>Q3</t>
  </si>
  <si>
    <t>2024Q3</t>
  </si>
  <si>
    <t>Q4</t>
  </si>
  <si>
    <t>2024Q4</t>
  </si>
  <si>
    <t>Allocated from derived Q4 actual</t>
  </si>
  <si>
    <t>Controlled monthly estimate using derived Q4</t>
  </si>
  <si>
    <t>2025Q1</t>
  </si>
  <si>
    <t>2025Q2</t>
  </si>
  <si>
    <t>2025Q3</t>
  </si>
  <si>
    <t>2025Q4</t>
  </si>
  <si>
    <t>2026Q1</t>
  </si>
  <si>
    <t>2026Q2</t>
  </si>
  <si>
    <t>Deposit rate and balance sources</t>
  </si>
  <si>
    <t>Quarterly average balances and interest expense come from Capital One filings. Monthly interest-bearing totals come from the controlled workbook.</t>
  </si>
  <si>
    <t>Reported Average Balance ($mm)</t>
  </si>
  <si>
    <t>Reported Interest Expense ($mm)</t>
  </si>
  <si>
    <t>Reported Average Rate</t>
  </si>
  <si>
    <t>Effective Rate</t>
  </si>
  <si>
    <t>Share of Interest-Bearing Balance</t>
  </si>
  <si>
    <t>Disclosure Basis</t>
  </si>
  <si>
    <t>IB Balance Difference</t>
  </si>
  <si>
    <t>IB Expense Difference</t>
  </si>
  <si>
    <t>NIB Quarter-End Difference</t>
  </si>
  <si>
    <t>Status</t>
  </si>
  <si>
    <t>Reported three-month average</t>
  </si>
  <si>
    <t>Derived Q4 = full year less nine months</t>
  </si>
  <si>
    <t>Product Balance Difference</t>
  </si>
  <si>
    <t>Product Interest Difference</t>
  </si>
  <si>
    <t>Monthly controlled inputs and non-interest-bearing balance build</t>
  </si>
  <si>
    <t>Controlled IB Average Balance ($mm)</t>
  </si>
  <si>
    <t>Controlled IB Interest Expense ($mm)</t>
  </si>
  <si>
    <t>Controlled IB Rate</t>
  </si>
  <si>
    <t>Prior Quarter-End NIB Balance ($mm)</t>
  </si>
  <si>
    <t>Current Quarter-End NIB Balance ($mm)</t>
  </si>
  <si>
    <t>Reported Quarterly NIB Average ($mm)</t>
  </si>
  <si>
    <t>Derived Month-End NIB Balance ($mm)</t>
  </si>
  <si>
    <t>Derived Monthly NIB Average ($mm)</t>
  </si>
  <si>
    <t>Non-interest-bearing quarter-end anchors</t>
  </si>
  <si>
    <t>Period End</t>
  </si>
  <si>
    <t>Non-Interest-Bearing EOP Balance ($mm)</t>
  </si>
  <si>
    <t>Source Form</t>
  </si>
  <si>
    <t>10-K</t>
  </si>
  <si>
    <t>10-Q</t>
  </si>
  <si>
    <t>Methodology</t>
  </si>
  <si>
    <t>Checking, savings, and time-deposit monthly balances use each reported quarter's average balance mix applied to the controlled monthly interest-bearing total.</t>
  </si>
  <si>
    <t>Monthly product interest expense uses each reported quarter's interest-expense mix applied to the controlled monthly total. Monthly product rates are recalculated from allocated expense and balance, preserving both reported quarterly product expense and the controlled monthly total.</t>
  </si>
  <si>
    <t>Q4 average balances equal (full-year average times 12 less nine-month average times 9) divided by 3. Q4 interest expense equals full-year less nine-month expense.</t>
  </si>
  <si>
    <t>Non-interest-bearing monthly balances use reported quarterly averages and reported quarter-end balances. The month-end path follows the controlled workbook's four-point average method; monthly averages are two-point averages.</t>
  </si>
  <si>
    <t>Total interest-bearing deposits equal checking plus savings plus time deposits. Total deposits equal interest-bearing plus non-interest-bearing deposits.</t>
  </si>
  <si>
    <t>Monthly product splits and non-interest-bearing balances are controlled estimates because Capital One reports these measures quarterly, not monthly.</t>
  </si>
  <si>
    <t>Source basis: Capital One Forms 10-K and 10-Q, including average-balance and deposit-composition disclosures, plus the controlled monthly deposit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</si>
</sst>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;\(#,##0.0\);\-"/>
    <numFmt numFmtId="165" formatCode="0.0%"/>
    <numFmt numFmtId="166" formatCode="0.00;\(0.00\);0.00"/>
  </numFmts>
  <fonts count="7">
    <font>
      <sz val="11"/>
      <name val="Carlito"/>
    </font>
    <font>
      <b/>
      <sz val="14"/>
      <color rgb="FF003B70"/>
      <name val="Arial"/>
      <family val="2"/>
    </font>
    <font>
      <i/>
      <sz val="9"/>
      <color rgb="FF66788A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72CE"/>
      <name val="Arial"/>
      <family val="2"/>
    </font>
    <font>
      <b/>
      <sz val="10"/>
      <color rgb="FF003B7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3B70"/>
      </patternFill>
    </fill>
    <fill>
      <patternFill patternType="solid">
        <fgColor rgb="FFF4F7FA"/>
      </patternFill>
    </fill>
    <fill>
      <patternFill patternType="solid">
        <fgColor rgb="FFDCE6F1"/>
      </patternFill>
    </fill>
    <fill>
      <patternFill patternType="solid">
        <fgColor rgb="FFE8F0F7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C4123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C41230"/>
      </left>
      <right/>
      <top/>
      <bottom style="thin">
        <color rgb="FF003B70"/>
      </bottom>
      <diagonal/>
    </border>
    <border>
      <left/>
      <right/>
      <top/>
      <bottom style="thin">
        <color rgb="FF003B70"/>
      </bottom>
      <diagonal/>
    </border>
    <border>
      <left/>
      <right/>
      <top/>
      <bottom style="thin">
        <color rgb="FFDCE6F1"/>
      </bottom>
      <diagonal/>
    </border>
    <border>
      <left/>
      <right/>
      <top style="thin">
        <color rgb="FFDCE6F1"/>
      </top>
      <bottom/>
      <diagonal/>
    </border>
    <border>
      <left/>
      <right/>
      <top/>
      <bottom style="medium">
        <color rgb="FF66788A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0" fillId="0" borderId="1" xfId="0" applyBorder="1"/>
    <xf numFmtId="0" fontId="3" fillId="2" borderId="2" xfId="0" applyFont="1" applyFill="1" applyBorder="1" applyAlignment="1">
      <alignment horizontal="center" vertical="center" wrapText="1"/>
    </xf>
    <xf numFmtId="164" fontId="4" fillId="3" borderId="0" xfId="0" applyNumberFormat="1" applyFont="1" applyFill="1"/>
    <xf numFmtId="10" fontId="4" fillId="3" borderId="0" xfId="0" applyNumberFormat="1" applyFont="1" applyFill="1"/>
    <xf numFmtId="17" fontId="4" fillId="3" borderId="0" xfId="0" applyNumberFormat="1" applyFont="1" applyFill="1"/>
    <xf numFmtId="17" fontId="4" fillId="3" borderId="5" xfId="0" applyNumberFormat="1" applyFont="1" applyFill="1" applyBorder="1"/>
    <xf numFmtId="164" fontId="4" fillId="3" borderId="5" xfId="0" applyNumberFormat="1" applyFont="1" applyFill="1" applyBorder="1"/>
    <xf numFmtId="10" fontId="4" fillId="3" borderId="5" xfId="0" applyNumberFormat="1" applyFont="1" applyFill="1" applyBorder="1"/>
    <xf numFmtId="0" fontId="6" fillId="3" borderId="0" xfId="0" applyFont="1" applyFill="1"/>
    <xf numFmtId="0" fontId="6" fillId="3" borderId="5" xfId="0" applyFont="1" applyFill="1" applyBorder="1"/>
    <xf numFmtId="17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10" fontId="4" fillId="0" borderId="0" xfId="0" applyNumberFormat="1" applyFont="1" applyAlignment="1">
      <alignment vertical="center"/>
    </xf>
    <xf numFmtId="17" fontId="4" fillId="0" borderId="6" xfId="0" applyNumberFormat="1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17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7" fontId="6" fillId="4" borderId="0" xfId="0" applyNumberFormat="1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17" fontId="6" fillId="5" borderId="7" xfId="0" applyNumberFormat="1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64" fontId="4" fillId="0" borderId="6" xfId="0" applyNumberFormat="1" applyFont="1" applyBorder="1" applyAlignment="1">
      <alignment horizontal="right" vertical="center"/>
    </xf>
    <xf numFmtId="10" fontId="4" fillId="0" borderId="6" xfId="0" applyNumberFormat="1" applyFont="1" applyBorder="1" applyAlignment="1">
      <alignment horizontal="right" vertical="center"/>
    </xf>
    <xf numFmtId="165" fontId="4" fillId="0" borderId="6" xfId="0" applyNumberFormat="1" applyFont="1" applyBorder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10" fontId="4" fillId="0" borderId="0" xfId="0" applyNumberFormat="1" applyFont="1" applyAlignment="1">
      <alignment horizontal="right" vertical="center"/>
    </xf>
    <xf numFmtId="165" fontId="4" fillId="0" borderId="0" xfId="0" applyNumberFormat="1" applyFont="1" applyAlignment="1">
      <alignment horizontal="right" vertical="center"/>
    </xf>
    <xf numFmtId="164" fontId="6" fillId="4" borderId="0" xfId="0" applyNumberFormat="1" applyFont="1" applyFill="1" applyAlignment="1">
      <alignment horizontal="right" vertical="center"/>
    </xf>
    <xf numFmtId="10" fontId="6" fillId="4" borderId="0" xfId="0" applyNumberFormat="1" applyFont="1" applyFill="1" applyAlignment="1">
      <alignment horizontal="right" vertical="center"/>
    </xf>
    <xf numFmtId="165" fontId="6" fillId="4" borderId="0" xfId="0" applyNumberFormat="1" applyFont="1" applyFill="1" applyAlignment="1">
      <alignment horizontal="right" vertical="center"/>
    </xf>
    <xf numFmtId="164" fontId="6" fillId="5" borderId="7" xfId="0" applyNumberFormat="1" applyFont="1" applyFill="1" applyBorder="1" applyAlignment="1">
      <alignment horizontal="right" vertical="center"/>
    </xf>
    <xf numFmtId="10" fontId="6" fillId="5" borderId="7" xfId="0" applyNumberFormat="1" applyFont="1" applyFill="1" applyBorder="1" applyAlignment="1">
      <alignment horizontal="right" vertical="center"/>
    </xf>
    <xf numFmtId="165" fontId="6" fillId="5" borderId="7" xfId="0" applyNumberFormat="1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164" fontId="5" fillId="3" borderId="0" xfId="0" applyNumberFormat="1" applyFont="1" applyFill="1" applyAlignment="1">
      <alignment vertical="center"/>
    </xf>
    <xf numFmtId="10" fontId="5" fillId="3" borderId="0" xfId="0" applyNumberFormat="1" applyFont="1" applyFill="1" applyAlignment="1">
      <alignment vertical="center"/>
    </xf>
    <xf numFmtId="166" fontId="4" fillId="0" borderId="0" xfId="0" applyNumberFormat="1" applyFont="1" applyAlignment="1">
      <alignment vertical="center"/>
    </xf>
    <xf numFmtId="17" fontId="5" fillId="3" borderId="0" xfId="0" applyNumberFormat="1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2" fillId="0" borderId="1" xfId="0" applyFont="1" applyBorder="1"/>
    <xf numFmtId="0" fontId="0" fillId="0" borderId="1" xfId="0" applyBorder="1"/>
    <xf numFmtId="0" fontId="6" fillId="4" borderId="3" xfId="0" applyFont="1" applyFill="1" applyBorder="1" applyAlignment="1">
      <alignment vertical="center"/>
    </xf>
    <xf numFmtId="0" fontId="6" fillId="4" borderId="4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2"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positActualsTable" displayName="DepositActualsTable" ref="A12:O192" totalsRowShown="0">
  <tableColumns count="15">
    <tableColumn id="1" xr3:uid="{00000000-0010-0000-0000-000001000000}" name="Month"/>
    <tableColumn id="2" xr3:uid="{00000000-0010-0000-0000-000002000000}" name="Year"/>
    <tableColumn id="3" xr3:uid="{00000000-0010-0000-0000-000003000000}" name="Quarter"/>
    <tableColumn id="4" xr3:uid="{00000000-0010-0000-0000-000004000000}" name="Deposit Type"/>
    <tableColumn id="5" xr3:uid="{00000000-0010-0000-0000-000005000000}" name="Interest Bearing"/>
    <tableColumn id="6" xr3:uid="{00000000-0010-0000-0000-000006000000}" name="Average Balance ($mm)"/>
    <tableColumn id="7" xr3:uid="{00000000-0010-0000-0000-000007000000}" name="Annualized Rate"/>
    <tableColumn id="8" xr3:uid="{00000000-0010-0000-0000-000008000000}" name="Monthly Interest Expense ($mm)"/>
    <tableColumn id="9" xr3:uid="{00000000-0010-0000-0000-000009000000}" name="Share of Total Deposits"/>
    <tableColumn id="10" xr3:uid="{00000000-0010-0000-0000-00000A000000}" name="MoM Balance Change ($mm)"/>
    <tableColumn id="11" xr3:uid="{00000000-0010-0000-0000-00000B000000}" name="MoM Balance Change (%)"/>
    <tableColumn id="12" xr3:uid="{00000000-0010-0000-0000-00000C000000}" name="YoY Balance Change (%)"/>
    <tableColumn id="13" xr3:uid="{00000000-0010-0000-0000-00000D000000}" name="Source Period"/>
    <tableColumn id="14" xr3:uid="{00000000-0010-0000-0000-00000E000000}" name="Source Method"/>
    <tableColumn id="15" xr3:uid="{00000000-0010-0000-0000-00000F000000}" name="Data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B70"/>
  </sheetPr>
  <dimension ref="A2:O192"/>
  <sheetViews>
    <sheetView showGridLines="0" workbookViewId="0">
      <pane xSplit="4" ySplit="12" topLeftCell="E88" activePane="bottomRight" state="frozen"/>
      <selection pane="topRight"/>
      <selection pane="bottomLeft"/>
      <selection pane="bottomRight" activeCell="E13" sqref="E13"/>
    </sheetView>
  </sheetViews>
  <sheetFormatPr baseColWidth="10" defaultColWidth="8.83203125" defaultRowHeight="14"/>
  <cols>
    <col min="1" max="1" width="11" customWidth="1"/>
    <col min="2" max="2" width="8" customWidth="1"/>
    <col min="3" max="3" width="9" customWidth="1"/>
    <col min="4" max="4" width="31" customWidth="1"/>
    <col min="5" max="5" width="15" customWidth="1"/>
    <col min="6" max="6" width="16" customWidth="1"/>
    <col min="7" max="7" width="14" customWidth="1"/>
    <col min="8" max="8" width="19" customWidth="1"/>
    <col min="9" max="9" width="16" customWidth="1"/>
    <col min="10" max="10" width="18" customWidth="1"/>
    <col min="11" max="12" width="15" customWidth="1"/>
    <col min="13" max="13" width="13" customWidth="1"/>
    <col min="14" max="14" width="52" customWidth="1"/>
    <col min="15" max="15" width="38" customWidth="1"/>
  </cols>
  <sheetData>
    <row r="2" spans="1:15" ht="18">
      <c r="A2" s="1" t="s">
        <v>0</v>
      </c>
    </row>
    <row r="3" spans="1:15">
      <c r="A3" s="42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</row>
    <row r="5" spans="1:15" ht="28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</row>
    <row r="6" spans="1:15">
      <c r="A6" s="10" t="s">
        <v>13</v>
      </c>
      <c r="B6" s="6">
        <v>45322</v>
      </c>
      <c r="C6" s="6">
        <v>45657</v>
      </c>
      <c r="D6" s="4">
        <f>SUMIFS($F$13:$F$192,$D$13:$D$192,"Checking",$A$13:$A$192,"&gt;="&amp;$B6,$A$13:$A$192,"&lt;="&amp;$C6)/COUNTIFS($D$13:$D$192,"Checking",$A$13:$A$192,"&gt;="&amp;$B6,$A$13:$A$192,"&lt;="&amp;$C6)</f>
        <v>34848.679673401704</v>
      </c>
      <c r="E6" s="4">
        <f>SUMIFS($F$13:$F$192,$D$13:$D$192,"Savings",$A$13:$A$192,"&gt;="&amp;$B6,$A$13:$A$192,"&lt;="&amp;$C6)/COUNTIFS($D$13:$D$192,"Savings",$A$13:$A$192,"&gt;="&amp;$B6,$A$13:$A$192,"&lt;="&amp;$C6)</f>
        <v>210768.01162912007</v>
      </c>
      <c r="F6" s="4">
        <f>SUMIFS($F$13:$F$192,$D$13:$D$192,"Time deposits",$A$13:$A$192,"&gt;="&amp;$B6,$A$13:$A$192,"&lt;="&amp;$C6)/COUNTIFS($D$13:$D$192,"Time deposits",$A$13:$A$192,"&gt;="&amp;$B6,$A$13:$A$192,"&lt;="&amp;$C6)</f>
        <v>78142.558697478249</v>
      </c>
      <c r="G6" s="4">
        <f>SUMIFS($F$13:$F$192,$D$13:$D$192,"Total interest-bearing deposits",$A$13:$A$192,"&gt;="&amp;$B6,$A$13:$A$192,"&lt;="&amp;$C6)/COUNTIFS($D$13:$D$192,"Total interest-bearing deposits",$A$13:$A$192,"&gt;="&amp;$B6,$A$13:$A$192,"&lt;="&amp;$C6)</f>
        <v>323759.25</v>
      </c>
      <c r="H6" s="4">
        <f>SUMIFS($F$13:$F$192,$D$13:$D$192,"Non-interest-bearing deposits",$A$13:$A$192,"&gt;="&amp;$B6,$A$13:$A$192,"&lt;="&amp;$C6)/COUNTIFS($D$13:$D$192,"Non-interest-bearing deposits",$A$13:$A$192,"&gt;="&amp;$B6,$A$13:$A$192,"&lt;="&amp;$C6)</f>
        <v>26822.916666666668</v>
      </c>
      <c r="I6" s="4">
        <f>SUMIFS($F$13:$F$192,$D$13:$D$192,"Total deposits",$A$13:$A$192,"&gt;="&amp;$B6,$A$13:$A$192,"&lt;="&amp;$C6)/COUNTIFS($D$13:$D$192,"Total deposits",$A$13:$A$192,"&gt;="&amp;$B6,$A$13:$A$192,"&lt;="&amp;$C6)</f>
        <v>350582.16666666669</v>
      </c>
      <c r="J6" s="5">
        <f>SUMIFS($H$13:$H$192,$D$13:$D$192,"Total interest-bearing deposits",$A$13:$A$192,"&gt;="&amp;$B6,$A$13:$A$192,"&lt;="&amp;$C6)*12/SUMIFS($F$13:$F$192,$D$13:$D$192,"Total interest-bearing deposits",$A$13:$A$192,"&gt;="&amp;$B6,$A$13:$A$192,"&lt;="&amp;$C6)</f>
        <v>3.5498599653909495E-2</v>
      </c>
      <c r="K6" s="5">
        <f>SUMIFS($H$13:$H$192,$D$13:$D$192,"Total deposits",$A$13:$A$192,"&gt;="&amp;$B6,$A$13:$A$192,"&lt;="&amp;$C6)*12/SUMIFS($F$13:$F$192,$D$13:$D$192,"Total deposits",$A$13:$A$192,"&gt;="&amp;$B6,$A$13:$A$192,"&lt;="&amp;$C6)</f>
        <v>3.2782614441788011E-2</v>
      </c>
    </row>
    <row r="7" spans="1:15">
      <c r="A7" s="10" t="s">
        <v>14</v>
      </c>
      <c r="B7" s="6">
        <v>45688</v>
      </c>
      <c r="C7" s="6">
        <v>46022</v>
      </c>
      <c r="D7" s="4">
        <f>SUMIFS($F$13:$F$192,$D$13:$D$192,"Checking",$A$13:$A$192,"&gt;="&amp;$B7,$A$13:$A$192,"&lt;="&amp;$C7)/COUNTIFS($D$13:$D$192,"Checking",$A$13:$A$192,"&gt;="&amp;$B7,$A$13:$A$192,"&lt;="&amp;$C7)</f>
        <v>35892.669474603877</v>
      </c>
      <c r="E7" s="4">
        <f>SUMIFS($F$13:$F$192,$D$13:$D$192,"Savings",$A$13:$A$192,"&gt;="&amp;$B7,$A$13:$A$192,"&lt;="&amp;$C7)/COUNTIFS($D$13:$D$192,"Savings",$A$13:$A$192,"&gt;="&amp;$B7,$A$13:$A$192,"&lt;="&amp;$C7)</f>
        <v>273526.50519805279</v>
      </c>
      <c r="F7" s="4">
        <f>SUMIFS($F$13:$F$192,$D$13:$D$192,"Time deposits",$A$13:$A$192,"&gt;="&amp;$B7,$A$13:$A$192,"&lt;="&amp;$C7)/COUNTIFS($D$13:$D$192,"Time deposits",$A$13:$A$192,"&gt;="&amp;$B7,$A$13:$A$192,"&lt;="&amp;$C7)</f>
        <v>91919.116994009979</v>
      </c>
      <c r="G7" s="4">
        <f>SUMIFS($F$13:$F$192,$D$13:$D$192,"Total interest-bearing deposits",$A$13:$A$192,"&gt;="&amp;$B7,$A$13:$A$192,"&lt;="&amp;$C7)/COUNTIFS($D$13:$D$192,"Total interest-bearing deposits",$A$13:$A$192,"&gt;="&amp;$B7,$A$13:$A$192,"&lt;="&amp;$C7)</f>
        <v>401338.29166666674</v>
      </c>
      <c r="H7" s="4">
        <f>SUMIFS($F$13:$F$192,$D$13:$D$192,"Non-interest-bearing deposits",$A$13:$A$192,"&gt;="&amp;$B7,$A$13:$A$192,"&lt;="&amp;$C7)/COUNTIFS($D$13:$D$192,"Non-interest-bearing deposits",$A$13:$A$192,"&gt;="&amp;$B7,$A$13:$A$192,"&lt;="&amp;$C7)</f>
        <v>27477.875</v>
      </c>
      <c r="I7" s="4">
        <f>SUMIFS($F$13:$F$192,$D$13:$D$192,"Total deposits",$A$13:$A$192,"&gt;="&amp;$B7,$A$13:$A$192,"&lt;="&amp;$C7)/COUNTIFS($D$13:$D$192,"Total deposits",$A$13:$A$192,"&gt;="&amp;$B7,$A$13:$A$192,"&lt;="&amp;$C7)</f>
        <v>428816.16666666669</v>
      </c>
      <c r="J7" s="5">
        <f>SUMIFS($H$13:$H$192,$D$13:$D$192,"Total interest-bearing deposits",$A$13:$A$192,"&gt;="&amp;$B7,$A$13:$A$192,"&lt;="&amp;$C7)*12/SUMIFS($F$13:$F$192,$D$13:$D$192,"Total interest-bearing deposits",$A$13:$A$192,"&gt;="&amp;$B7,$A$13:$A$192,"&lt;="&amp;$C7)</f>
        <v>3.2204751623189032E-2</v>
      </c>
      <c r="K7" s="5">
        <f>SUMIFS($H$13:$H$192,$D$13:$D$192,"Total deposits",$A$13:$A$192,"&gt;="&amp;$B7,$A$13:$A$192,"&lt;="&amp;$C7)*12/SUMIFS($F$13:$F$192,$D$13:$D$192,"Total deposits",$A$13:$A$192,"&gt;="&amp;$B7,$A$13:$A$192,"&lt;="&amp;$C7)</f>
        <v>3.0141121078690675E-2</v>
      </c>
    </row>
    <row r="8" spans="1:15">
      <c r="A8" s="11" t="s">
        <v>15</v>
      </c>
      <c r="B8" s="7">
        <v>46053</v>
      </c>
      <c r="C8" s="7">
        <v>46203</v>
      </c>
      <c r="D8" s="8">
        <f>SUMIFS($F$13:$F$192,$D$13:$D$192,"Checking",$A$13:$A$192,"&gt;="&amp;$B8,$A$13:$A$192,"&lt;="&amp;$C8)/COUNTIFS($D$13:$D$192,"Checking",$A$13:$A$192,"&gt;="&amp;$B8,$A$13:$A$192,"&lt;="&amp;$C8)</f>
        <v>39151.125081127153</v>
      </c>
      <c r="E8" s="8">
        <f>SUMIFS($F$13:$F$192,$D$13:$D$192,"Savings",$A$13:$A$192,"&gt;="&amp;$B8,$A$13:$A$192,"&lt;="&amp;$C8)/COUNTIFS($D$13:$D$192,"Savings",$A$13:$A$192,"&gt;="&amp;$B8,$A$13:$A$192,"&lt;="&amp;$C8)</f>
        <v>311465.17701816658</v>
      </c>
      <c r="F8" s="8">
        <f>SUMIFS($F$13:$F$192,$D$13:$D$192,"Time deposits",$A$13:$A$192,"&gt;="&amp;$B8,$A$13:$A$192,"&lt;="&amp;$C8)/COUNTIFS($D$13:$D$192,"Time deposits",$A$13:$A$192,"&gt;="&amp;$B8,$A$13:$A$192,"&lt;="&amp;$C8)</f>
        <v>103851.36456737293</v>
      </c>
      <c r="G8" s="8">
        <f>SUMIFS($F$13:$F$192,$D$13:$D$192,"Total interest-bearing deposits",$A$13:$A$192,"&gt;="&amp;$B8,$A$13:$A$192,"&lt;="&amp;$C8)/COUNTIFS($D$13:$D$192,"Total interest-bearing deposits",$A$13:$A$192,"&gt;="&amp;$B8,$A$13:$A$192,"&lt;="&amp;$C8)</f>
        <v>454467.66666666669</v>
      </c>
      <c r="H8" s="8">
        <f>SUMIFS($F$13:$F$192,$D$13:$D$192,"Non-interest-bearing deposits",$A$13:$A$192,"&gt;="&amp;$B8,$A$13:$A$192,"&lt;="&amp;$C8)/COUNTIFS($D$13:$D$192,"Non-interest-bearing deposits",$A$13:$A$192,"&gt;="&amp;$B8,$A$13:$A$192,"&lt;="&amp;$C8)</f>
        <v>28520.5</v>
      </c>
      <c r="I8" s="8">
        <f>SUMIFS($F$13:$F$192,$D$13:$D$192,"Total deposits",$A$13:$A$192,"&gt;="&amp;$B8,$A$13:$A$192,"&lt;="&amp;$C8)/COUNTIFS($D$13:$D$192,"Total deposits",$A$13:$A$192,"&gt;="&amp;$B8,$A$13:$A$192,"&lt;="&amp;$C8)</f>
        <v>482988.16666666674</v>
      </c>
      <c r="J8" s="9">
        <f>SUMIFS($H$13:$H$192,$D$13:$D$192,"Total interest-bearing deposits",$A$13:$A$192,"&gt;="&amp;$B8,$A$13:$A$192,"&lt;="&amp;$C8)*12/SUMIFS($F$13:$F$192,$D$13:$D$192,"Total interest-bearing deposits",$A$13:$A$192,"&gt;="&amp;$B8,$A$13:$A$192,"&lt;="&amp;$C8)</f>
        <v>2.9595064702072685E-2</v>
      </c>
      <c r="K8" s="9">
        <f>SUMIFS($H$13:$H$192,$D$13:$D$192,"Total deposits",$A$13:$A$192,"&gt;="&amp;$B8,$A$13:$A$192,"&lt;="&amp;$C8)*12/SUMIFS($F$13:$F$192,$D$13:$D$192,"Total deposits",$A$13:$A$192,"&gt;="&amp;$B8,$A$13:$A$192,"&lt;="&amp;$C8)</f>
        <v>2.784747314375197E-2</v>
      </c>
    </row>
    <row r="12" spans="1:15" ht="36" customHeight="1">
      <c r="A12" s="3" t="s">
        <v>16</v>
      </c>
      <c r="B12" s="3" t="s">
        <v>17</v>
      </c>
      <c r="C12" s="3" t="s">
        <v>18</v>
      </c>
      <c r="D12" s="3" t="s">
        <v>19</v>
      </c>
      <c r="E12" s="3" t="s">
        <v>20</v>
      </c>
      <c r="F12" s="3" t="s">
        <v>21</v>
      </c>
      <c r="G12" s="3" t="s">
        <v>22</v>
      </c>
      <c r="H12" s="3" t="s">
        <v>23</v>
      </c>
      <c r="I12" s="3" t="s">
        <v>24</v>
      </c>
      <c r="J12" s="3" t="s">
        <v>25</v>
      </c>
      <c r="K12" s="3" t="s">
        <v>26</v>
      </c>
      <c r="L12" s="3" t="s">
        <v>27</v>
      </c>
      <c r="M12" s="3" t="s">
        <v>28</v>
      </c>
      <c r="N12" s="3" t="s">
        <v>29</v>
      </c>
      <c r="O12" s="3" t="s">
        <v>30</v>
      </c>
    </row>
    <row r="13" spans="1:15" ht="19" customHeight="1">
      <c r="A13" s="16">
        <v>45322</v>
      </c>
      <c r="B13" s="17">
        <v>2024</v>
      </c>
      <c r="C13" s="17" t="s">
        <v>31</v>
      </c>
      <c r="D13" s="17" t="s">
        <v>32</v>
      </c>
      <c r="E13" s="17" t="s">
        <v>33</v>
      </c>
      <c r="F13" s="24">
        <f>'Sources &amp; Checks'!$C$61*'Sources &amp; Checks'!$G$6</f>
        <v>35596.255413199353</v>
      </c>
      <c r="G13" s="25">
        <f>H13*12/F13</f>
        <v>1.6638955698932447E-2</v>
      </c>
      <c r="H13" s="24">
        <f>'Sources &amp; Checks'!$D$61*'Sources &amp; Checks'!$D$6/'Sources &amp; Checks'!$D$9</f>
        <v>49.357043072342364</v>
      </c>
      <c r="I13" s="26">
        <f>F13/F18</f>
        <v>0.10323590264990168</v>
      </c>
      <c r="J13" s="24" t="str">
        <f>""</f>
        <v/>
      </c>
      <c r="K13" s="26" t="str">
        <f>""</f>
        <v/>
      </c>
      <c r="L13" s="26" t="str">
        <f>""</f>
        <v/>
      </c>
      <c r="M13" s="17" t="s">
        <v>34</v>
      </c>
      <c r="N13" s="17" t="s">
        <v>35</v>
      </c>
      <c r="O13" s="17" t="s">
        <v>36</v>
      </c>
    </row>
    <row r="14" spans="1:15" ht="19" customHeight="1">
      <c r="A14" s="18">
        <v>45322</v>
      </c>
      <c r="B14" s="19">
        <v>2024</v>
      </c>
      <c r="C14" s="19" t="s">
        <v>31</v>
      </c>
      <c r="D14" s="19" t="s">
        <v>37</v>
      </c>
      <c r="E14" s="19" t="s">
        <v>33</v>
      </c>
      <c r="F14" s="27">
        <f>'Sources &amp; Checks'!$C$61*'Sources &amp; Checks'!$G$7</f>
        <v>205980.16886690745</v>
      </c>
      <c r="G14" s="28">
        <f>H14*12/F14</f>
        <v>3.3436755138537534E-2</v>
      </c>
      <c r="H14" s="27">
        <f>'Sources &amp; Checks'!$D$61*'Sources &amp; Checks'!$D$7/'Sources &amp; Checks'!$D$9</f>
        <v>573.9423724831164</v>
      </c>
      <c r="I14" s="29">
        <f>F14/F18</f>
        <v>0.59738161821002422</v>
      </c>
      <c r="J14" s="27" t="str">
        <f>""</f>
        <v/>
      </c>
      <c r="K14" s="29" t="str">
        <f>""</f>
        <v/>
      </c>
      <c r="L14" s="29" t="str">
        <f>""</f>
        <v/>
      </c>
      <c r="M14" s="19" t="s">
        <v>34</v>
      </c>
      <c r="N14" s="19" t="s">
        <v>35</v>
      </c>
      <c r="O14" s="19" t="s">
        <v>36</v>
      </c>
    </row>
    <row r="15" spans="1:15" ht="19" customHeight="1">
      <c r="A15" s="18">
        <v>45322</v>
      </c>
      <c r="B15" s="19">
        <v>2024</v>
      </c>
      <c r="C15" s="19" t="s">
        <v>31</v>
      </c>
      <c r="D15" s="19" t="s">
        <v>38</v>
      </c>
      <c r="E15" s="19" t="s">
        <v>33</v>
      </c>
      <c r="F15" s="27">
        <f>'Sources &amp; Checks'!$C$61*'Sources &amp; Checks'!$G$8</f>
        <v>75885.909053226584</v>
      </c>
      <c r="G15" s="28">
        <f>H15*12/F15</f>
        <v>4.9730086664463533E-2</v>
      </c>
      <c r="H15" s="27">
        <f>'Sources &amp; Checks'!$D$61*'Sources &amp; Checks'!$D$8/'Sources &amp; Checks'!$D$9</f>
        <v>314.48440281904635</v>
      </c>
      <c r="I15" s="29">
        <f>F15/F18</f>
        <v>0.22008355172699517</v>
      </c>
      <c r="J15" s="27" t="str">
        <f>""</f>
        <v/>
      </c>
      <c r="K15" s="29" t="str">
        <f>""</f>
        <v/>
      </c>
      <c r="L15" s="29" t="str">
        <f>""</f>
        <v/>
      </c>
      <c r="M15" s="19" t="s">
        <v>34</v>
      </c>
      <c r="N15" s="19" t="s">
        <v>35</v>
      </c>
      <c r="O15" s="19" t="s">
        <v>36</v>
      </c>
    </row>
    <row r="16" spans="1:15" ht="19" customHeight="1">
      <c r="A16" s="20">
        <v>45322</v>
      </c>
      <c r="B16" s="21">
        <v>2024</v>
      </c>
      <c r="C16" s="21" t="s">
        <v>31</v>
      </c>
      <c r="D16" s="21" t="s">
        <v>39</v>
      </c>
      <c r="E16" s="21" t="s">
        <v>33</v>
      </c>
      <c r="F16" s="30">
        <f>SUM(F13:F15)</f>
        <v>317462.33333333337</v>
      </c>
      <c r="G16" s="31">
        <f>H16*12/F16</f>
        <v>3.5448003239735709E-2</v>
      </c>
      <c r="H16" s="30">
        <f>SUM(H13:H15)</f>
        <v>937.78381837450502</v>
      </c>
      <c r="I16" s="32">
        <f>F16/F18</f>
        <v>0.92070107258692102</v>
      </c>
      <c r="J16" s="30" t="str">
        <f>""</f>
        <v/>
      </c>
      <c r="K16" s="32" t="str">
        <f>""</f>
        <v/>
      </c>
      <c r="L16" s="32" t="str">
        <f>""</f>
        <v/>
      </c>
      <c r="M16" s="21" t="s">
        <v>34</v>
      </c>
      <c r="N16" s="21" t="s">
        <v>40</v>
      </c>
      <c r="O16" s="21" t="s">
        <v>41</v>
      </c>
    </row>
    <row r="17" spans="1:15" ht="19" customHeight="1">
      <c r="A17" s="18">
        <v>45322</v>
      </c>
      <c r="B17" s="19">
        <v>2024</v>
      </c>
      <c r="C17" s="19" t="s">
        <v>31</v>
      </c>
      <c r="D17" s="19" t="s">
        <v>42</v>
      </c>
      <c r="E17" s="19" t="s">
        <v>43</v>
      </c>
      <c r="F17" s="27">
        <f>'Sources &amp; Checks'!$J$61</f>
        <v>27342.666666666664</v>
      </c>
      <c r="G17" s="28">
        <f>0</f>
        <v>0</v>
      </c>
      <c r="H17" s="27">
        <f>0</f>
        <v>0</v>
      </c>
      <c r="I17" s="29">
        <f>F17/F18</f>
        <v>7.9298927413078868E-2</v>
      </c>
      <c r="J17" s="27" t="str">
        <f>""</f>
        <v/>
      </c>
      <c r="K17" s="29" t="str">
        <f>""</f>
        <v/>
      </c>
      <c r="L17" s="29" t="str">
        <f>""</f>
        <v/>
      </c>
      <c r="M17" s="19" t="s">
        <v>34</v>
      </c>
      <c r="N17" s="19" t="s">
        <v>44</v>
      </c>
      <c r="O17" s="19" t="s">
        <v>41</v>
      </c>
    </row>
    <row r="18" spans="1:15" ht="19" customHeight="1">
      <c r="A18" s="22">
        <v>45322</v>
      </c>
      <c r="B18" s="23">
        <v>2024</v>
      </c>
      <c r="C18" s="23" t="s">
        <v>31</v>
      </c>
      <c r="D18" s="23" t="s">
        <v>45</v>
      </c>
      <c r="E18" s="23" t="s">
        <v>46</v>
      </c>
      <c r="F18" s="33">
        <f>SUM(F16,F17)</f>
        <v>344805.00000000006</v>
      </c>
      <c r="G18" s="34">
        <f>H18*12/F18</f>
        <v>3.2637014603889319E-2</v>
      </c>
      <c r="H18" s="33">
        <f>SUM(H16,H17)</f>
        <v>937.78381837450502</v>
      </c>
      <c r="I18" s="35">
        <f>F18/F18</f>
        <v>1</v>
      </c>
      <c r="J18" s="33" t="str">
        <f>""</f>
        <v/>
      </c>
      <c r="K18" s="35" t="str">
        <f>""</f>
        <v/>
      </c>
      <c r="L18" s="35" t="str">
        <f>""</f>
        <v/>
      </c>
      <c r="M18" s="23" t="s">
        <v>34</v>
      </c>
      <c r="N18" s="23" t="s">
        <v>47</v>
      </c>
      <c r="O18" s="23" t="s">
        <v>48</v>
      </c>
    </row>
    <row r="19" spans="1:15" ht="19" customHeight="1">
      <c r="A19" s="16">
        <v>45351</v>
      </c>
      <c r="B19" s="17">
        <v>2024</v>
      </c>
      <c r="C19" s="17" t="s">
        <v>31</v>
      </c>
      <c r="D19" s="17" t="s">
        <v>32</v>
      </c>
      <c r="E19" s="17" t="s">
        <v>33</v>
      </c>
      <c r="F19" s="24">
        <f>'Sources &amp; Checks'!$C$62*'Sources &amp; Checks'!$G$6</f>
        <v>35323.46791176009</v>
      </c>
      <c r="G19" s="25">
        <f>H19*12/F19</f>
        <v>1.6638955698932447E-2</v>
      </c>
      <c r="H19" s="24">
        <f>'Sources &amp; Checks'!$D$62*'Sources &amp; Checks'!$D$6/'Sources &amp; Checks'!$D$9</f>
        <v>48.978801476369831</v>
      </c>
      <c r="I19" s="26">
        <f>F19/F24</f>
        <v>0.10339897463508045</v>
      </c>
      <c r="J19" s="24">
        <f t="shared" ref="J19:J50" si="0">F19-F13</f>
        <v>-272.787501439263</v>
      </c>
      <c r="K19" s="26">
        <f t="shared" ref="K19:K50" si="1">IF(F13=0,"n.a.",F19/F13-1)</f>
        <v>-7.6633763375602015E-3</v>
      </c>
      <c r="L19" s="26" t="str">
        <f>""</f>
        <v/>
      </c>
      <c r="M19" s="17" t="s">
        <v>34</v>
      </c>
      <c r="N19" s="17" t="s">
        <v>35</v>
      </c>
      <c r="O19" s="17" t="s">
        <v>36</v>
      </c>
    </row>
    <row r="20" spans="1:15" ht="19" customHeight="1">
      <c r="A20" s="18">
        <v>45351</v>
      </c>
      <c r="B20" s="19">
        <v>2024</v>
      </c>
      <c r="C20" s="19" t="s">
        <v>31</v>
      </c>
      <c r="D20" s="19" t="s">
        <v>37</v>
      </c>
      <c r="E20" s="19" t="s">
        <v>33</v>
      </c>
      <c r="F20" s="27">
        <f>'Sources &amp; Checks'!$C$62*'Sources &amp; Checks'!$G$7</f>
        <v>204401.6653148061</v>
      </c>
      <c r="G20" s="28">
        <f>H20*12/F20</f>
        <v>3.3436755138537534E-2</v>
      </c>
      <c r="H20" s="27">
        <f>'Sources &amp; Checks'!$D$62*'Sources &amp; Checks'!$D$7/'Sources &amp; Checks'!$D$9</f>
        <v>569.544036086706</v>
      </c>
      <c r="I20" s="29">
        <f>F20/F24</f>
        <v>0.59832524541616372</v>
      </c>
      <c r="J20" s="27">
        <f t="shared" si="0"/>
        <v>-1578.5035521013488</v>
      </c>
      <c r="K20" s="29">
        <f t="shared" si="1"/>
        <v>-7.6633763375604236E-3</v>
      </c>
      <c r="L20" s="29" t="str">
        <f>""</f>
        <v/>
      </c>
      <c r="M20" s="19" t="s">
        <v>34</v>
      </c>
      <c r="N20" s="19" t="s">
        <v>35</v>
      </c>
      <c r="O20" s="19" t="s">
        <v>36</v>
      </c>
    </row>
    <row r="21" spans="1:15" ht="19" customHeight="1">
      <c r="A21" s="18">
        <v>45351</v>
      </c>
      <c r="B21" s="19">
        <v>2024</v>
      </c>
      <c r="C21" s="19" t="s">
        <v>31</v>
      </c>
      <c r="D21" s="19" t="s">
        <v>38</v>
      </c>
      <c r="E21" s="19" t="s">
        <v>33</v>
      </c>
      <c r="F21" s="27">
        <f>'Sources &amp; Checks'!$C$62*'Sources &amp; Checks'!$G$8</f>
        <v>75304.366773433823</v>
      </c>
      <c r="G21" s="28">
        <f>H21*12/F21</f>
        <v>4.9730086664463539E-2</v>
      </c>
      <c r="H21" s="27">
        <f>'Sources &amp; Checks'!$D$62*'Sources &amp; Checks'!$D$8/'Sources &amp; Checks'!$D$9</f>
        <v>312.07439048795106</v>
      </c>
      <c r="I21" s="29">
        <f>F21/F24</f>
        <v>0.22043119688496918</v>
      </c>
      <c r="J21" s="27">
        <f t="shared" si="0"/>
        <v>-581.54227979276038</v>
      </c>
      <c r="K21" s="29">
        <f t="shared" si="1"/>
        <v>-7.6633763375604236E-3</v>
      </c>
      <c r="L21" s="29" t="str">
        <f>""</f>
        <v/>
      </c>
      <c r="M21" s="19" t="s">
        <v>34</v>
      </c>
      <c r="N21" s="19" t="s">
        <v>35</v>
      </c>
      <c r="O21" s="19" t="s">
        <v>36</v>
      </c>
    </row>
    <row r="22" spans="1:15" ht="19" customHeight="1">
      <c r="A22" s="20">
        <v>45351</v>
      </c>
      <c r="B22" s="21">
        <v>2024</v>
      </c>
      <c r="C22" s="21" t="s">
        <v>31</v>
      </c>
      <c r="D22" s="21" t="s">
        <v>39</v>
      </c>
      <c r="E22" s="21" t="s">
        <v>33</v>
      </c>
      <c r="F22" s="30">
        <f>SUM(F19:F21)</f>
        <v>315029.5</v>
      </c>
      <c r="G22" s="31">
        <f>H22*12/F22</f>
        <v>3.5448003239735716E-2</v>
      </c>
      <c r="H22" s="30">
        <f>SUM(H19:H21)</f>
        <v>930.59722805102695</v>
      </c>
      <c r="I22" s="32">
        <f>F22/F24</f>
        <v>0.92215541693621328</v>
      </c>
      <c r="J22" s="30">
        <f t="shared" si="0"/>
        <v>-2432.8333333333721</v>
      </c>
      <c r="K22" s="32">
        <f t="shared" si="1"/>
        <v>-7.6633763375604236E-3</v>
      </c>
      <c r="L22" s="32" t="str">
        <f>""</f>
        <v/>
      </c>
      <c r="M22" s="21" t="s">
        <v>34</v>
      </c>
      <c r="N22" s="21" t="s">
        <v>40</v>
      </c>
      <c r="O22" s="21" t="s">
        <v>41</v>
      </c>
    </row>
    <row r="23" spans="1:15" ht="19" customHeight="1">
      <c r="A23" s="18">
        <v>45351</v>
      </c>
      <c r="B23" s="19">
        <v>2024</v>
      </c>
      <c r="C23" s="19" t="s">
        <v>31</v>
      </c>
      <c r="D23" s="19" t="s">
        <v>42</v>
      </c>
      <c r="E23" s="19" t="s">
        <v>43</v>
      </c>
      <c r="F23" s="27">
        <f>'Sources &amp; Checks'!$J$62</f>
        <v>26593.5</v>
      </c>
      <c r="G23" s="28">
        <f>0</f>
        <v>0</v>
      </c>
      <c r="H23" s="27">
        <f>0</f>
        <v>0</v>
      </c>
      <c r="I23" s="29">
        <f>F23/F24</f>
        <v>7.7844583063786693E-2</v>
      </c>
      <c r="J23" s="27">
        <f t="shared" si="0"/>
        <v>-749.16666666666424</v>
      </c>
      <c r="K23" s="29">
        <f t="shared" si="1"/>
        <v>-2.7399180767542664E-2</v>
      </c>
      <c r="L23" s="29" t="str">
        <f>""</f>
        <v/>
      </c>
      <c r="M23" s="19" t="s">
        <v>34</v>
      </c>
      <c r="N23" s="19" t="s">
        <v>44</v>
      </c>
      <c r="O23" s="19" t="s">
        <v>41</v>
      </c>
    </row>
    <row r="24" spans="1:15" ht="19" customHeight="1">
      <c r="A24" s="22">
        <v>45351</v>
      </c>
      <c r="B24" s="23">
        <v>2024</v>
      </c>
      <c r="C24" s="23" t="s">
        <v>31</v>
      </c>
      <c r="D24" s="23" t="s">
        <v>45</v>
      </c>
      <c r="E24" s="23" t="s">
        <v>46</v>
      </c>
      <c r="F24" s="33">
        <f>SUM(F22,F23)</f>
        <v>341623</v>
      </c>
      <c r="G24" s="34">
        <f>H24*12/F24</f>
        <v>3.2688568207094731E-2</v>
      </c>
      <c r="H24" s="33">
        <f>SUM(H22,H23)</f>
        <v>930.59722805102695</v>
      </c>
      <c r="I24" s="35">
        <f>F24/F24</f>
        <v>1</v>
      </c>
      <c r="J24" s="33">
        <f t="shared" si="0"/>
        <v>-3182.0000000000582</v>
      </c>
      <c r="K24" s="35">
        <f t="shared" si="1"/>
        <v>-9.2284044604923343E-3</v>
      </c>
      <c r="L24" s="35" t="str">
        <f>""</f>
        <v/>
      </c>
      <c r="M24" s="23" t="s">
        <v>34</v>
      </c>
      <c r="N24" s="23" t="s">
        <v>47</v>
      </c>
      <c r="O24" s="23" t="s">
        <v>48</v>
      </c>
    </row>
    <row r="25" spans="1:15" ht="19" customHeight="1">
      <c r="A25" s="16">
        <v>45382</v>
      </c>
      <c r="B25" s="17">
        <v>2024</v>
      </c>
      <c r="C25" s="17" t="s">
        <v>31</v>
      </c>
      <c r="D25" s="17" t="s">
        <v>32</v>
      </c>
      <c r="E25" s="17" t="s">
        <v>33</v>
      </c>
      <c r="F25" s="24">
        <f>'Sources &amp; Checks'!$C$63*'Sources &amp; Checks'!$G$6</f>
        <v>35817.744586800647</v>
      </c>
      <c r="G25" s="25">
        <f>H25*12/F25</f>
        <v>1.6638955698932444E-2</v>
      </c>
      <c r="H25" s="24">
        <f>'Sources &amp; Checks'!$D$63*'Sources &amp; Checks'!$D$6/'Sources &amp; Checks'!$D$9</f>
        <v>49.664155451287783</v>
      </c>
      <c r="I25" s="26">
        <f>F25/F30</f>
        <v>0.10336742937932536</v>
      </c>
      <c r="J25" s="24">
        <f t="shared" si="0"/>
        <v>494.27667504055717</v>
      </c>
      <c r="K25" s="26">
        <f t="shared" si="1"/>
        <v>1.3992869450850209E-2</v>
      </c>
      <c r="L25" s="26" t="str">
        <f>""</f>
        <v/>
      </c>
      <c r="M25" s="17" t="s">
        <v>34</v>
      </c>
      <c r="N25" s="17" t="s">
        <v>35</v>
      </c>
      <c r="O25" s="17" t="s">
        <v>36</v>
      </c>
    </row>
    <row r="26" spans="1:15" ht="19" customHeight="1">
      <c r="A26" s="18">
        <v>45382</v>
      </c>
      <c r="B26" s="19">
        <v>2024</v>
      </c>
      <c r="C26" s="19" t="s">
        <v>31</v>
      </c>
      <c r="D26" s="19" t="s">
        <v>37</v>
      </c>
      <c r="E26" s="19" t="s">
        <v>33</v>
      </c>
      <c r="F26" s="27">
        <f>'Sources &amp; Checks'!$C$63*'Sources &amp; Checks'!$G$7</f>
        <v>207261.83113309258</v>
      </c>
      <c r="G26" s="28">
        <f>H26*12/F26</f>
        <v>3.3436755138537527E-2</v>
      </c>
      <c r="H26" s="27">
        <f>'Sources &amp; Checks'!$D$63*'Sources &amp; Checks'!$D$7/'Sources &amp; Checks'!$D$9</f>
        <v>577.5135914301776</v>
      </c>
      <c r="I26" s="29">
        <f>F26/F30</f>
        <v>0.59814270663414981</v>
      </c>
      <c r="J26" s="27">
        <f t="shared" si="0"/>
        <v>2860.1658182864776</v>
      </c>
      <c r="K26" s="29">
        <f t="shared" si="1"/>
        <v>1.3992869450850209E-2</v>
      </c>
      <c r="L26" s="29" t="str">
        <f>""</f>
        <v/>
      </c>
      <c r="M26" s="19" t="s">
        <v>34</v>
      </c>
      <c r="N26" s="19" t="s">
        <v>35</v>
      </c>
      <c r="O26" s="19" t="s">
        <v>36</v>
      </c>
    </row>
    <row r="27" spans="1:15" ht="19" customHeight="1">
      <c r="A27" s="18">
        <v>45382</v>
      </c>
      <c r="B27" s="19">
        <v>2024</v>
      </c>
      <c r="C27" s="19" t="s">
        <v>31</v>
      </c>
      <c r="D27" s="19" t="s">
        <v>38</v>
      </c>
      <c r="E27" s="19" t="s">
        <v>33</v>
      </c>
      <c r="F27" s="27">
        <f>'Sources &amp; Checks'!$C$63*'Sources &amp; Checks'!$G$8</f>
        <v>76358.090946773431</v>
      </c>
      <c r="G27" s="28">
        <f>H27*12/F27</f>
        <v>4.9730086664463533E-2</v>
      </c>
      <c r="H27" s="27">
        <f>'Sources &amp; Checks'!$D$63*'Sources &amp; Checks'!$D$8/'Sources &amp; Checks'!$D$9</f>
        <v>316.44120669300258</v>
      </c>
      <c r="I27" s="29">
        <f>F27/F30</f>
        <v>0.2203639471031732</v>
      </c>
      <c r="J27" s="27">
        <f t="shared" si="0"/>
        <v>1053.7241733396077</v>
      </c>
      <c r="K27" s="29">
        <f t="shared" si="1"/>
        <v>1.3992869450850209E-2</v>
      </c>
      <c r="L27" s="29" t="str">
        <f>""</f>
        <v/>
      </c>
      <c r="M27" s="19" t="s">
        <v>34</v>
      </c>
      <c r="N27" s="19" t="s">
        <v>35</v>
      </c>
      <c r="O27" s="19" t="s">
        <v>36</v>
      </c>
    </row>
    <row r="28" spans="1:15" ht="19" customHeight="1">
      <c r="A28" s="20">
        <v>45382</v>
      </c>
      <c r="B28" s="21">
        <v>2024</v>
      </c>
      <c r="C28" s="21" t="s">
        <v>31</v>
      </c>
      <c r="D28" s="21" t="s">
        <v>39</v>
      </c>
      <c r="E28" s="21" t="s">
        <v>33</v>
      </c>
      <c r="F28" s="30">
        <f>SUM(F25:F27)</f>
        <v>319437.66666666663</v>
      </c>
      <c r="G28" s="31">
        <f>H28*12/F28</f>
        <v>3.5448003239735709E-2</v>
      </c>
      <c r="H28" s="30">
        <f>SUM(H25:H27)</f>
        <v>943.61895357446792</v>
      </c>
      <c r="I28" s="32">
        <f>F28/F30</f>
        <v>0.92187408311664831</v>
      </c>
      <c r="J28" s="30">
        <f t="shared" si="0"/>
        <v>4408.1666666666279</v>
      </c>
      <c r="K28" s="32">
        <f t="shared" si="1"/>
        <v>1.3992869450850209E-2</v>
      </c>
      <c r="L28" s="32" t="str">
        <f>""</f>
        <v/>
      </c>
      <c r="M28" s="21" t="s">
        <v>34</v>
      </c>
      <c r="N28" s="21" t="s">
        <v>40</v>
      </c>
      <c r="O28" s="21" t="s">
        <v>41</v>
      </c>
    </row>
    <row r="29" spans="1:15" ht="19" customHeight="1">
      <c r="A29" s="18">
        <v>45382</v>
      </c>
      <c r="B29" s="19">
        <v>2024</v>
      </c>
      <c r="C29" s="19" t="s">
        <v>31</v>
      </c>
      <c r="D29" s="19" t="s">
        <v>42</v>
      </c>
      <c r="E29" s="19" t="s">
        <v>43</v>
      </c>
      <c r="F29" s="27">
        <f>'Sources &amp; Checks'!$J$63</f>
        <v>27071.333333333336</v>
      </c>
      <c r="G29" s="28">
        <f>0</f>
        <v>0</v>
      </c>
      <c r="H29" s="27">
        <f>0</f>
        <v>0</v>
      </c>
      <c r="I29" s="29">
        <f>F29/F30</f>
        <v>7.812591688335177E-2</v>
      </c>
      <c r="J29" s="27">
        <f t="shared" si="0"/>
        <v>477.83333333333576</v>
      </c>
      <c r="K29" s="29">
        <f t="shared" si="1"/>
        <v>1.7968049836739608E-2</v>
      </c>
      <c r="L29" s="29" t="str">
        <f>""</f>
        <v/>
      </c>
      <c r="M29" s="19" t="s">
        <v>34</v>
      </c>
      <c r="N29" s="19" t="s">
        <v>44</v>
      </c>
      <c r="O29" s="19" t="s">
        <v>41</v>
      </c>
    </row>
    <row r="30" spans="1:15" ht="19" customHeight="1">
      <c r="A30" s="22">
        <v>45382</v>
      </c>
      <c r="B30" s="23">
        <v>2024</v>
      </c>
      <c r="C30" s="23" t="s">
        <v>31</v>
      </c>
      <c r="D30" s="23" t="s">
        <v>45</v>
      </c>
      <c r="E30" s="23" t="s">
        <v>46</v>
      </c>
      <c r="F30" s="33">
        <f>SUM(F28,F29)</f>
        <v>346508.99999999994</v>
      </c>
      <c r="G30" s="34">
        <f>H30*12/F30</f>
        <v>3.2678595484947337E-2</v>
      </c>
      <c r="H30" s="33">
        <f>SUM(H28,H29)</f>
        <v>943.61895357446792</v>
      </c>
      <c r="I30" s="35">
        <f>F30/F30</f>
        <v>1</v>
      </c>
      <c r="J30" s="33">
        <f t="shared" si="0"/>
        <v>4885.9999999999418</v>
      </c>
      <c r="K30" s="35">
        <f t="shared" si="1"/>
        <v>1.4302315710593039E-2</v>
      </c>
      <c r="L30" s="35" t="str">
        <f>""</f>
        <v/>
      </c>
      <c r="M30" s="23" t="s">
        <v>34</v>
      </c>
      <c r="N30" s="23" t="s">
        <v>47</v>
      </c>
      <c r="O30" s="23" t="s">
        <v>48</v>
      </c>
    </row>
    <row r="31" spans="1:15" ht="19" customHeight="1">
      <c r="A31" s="16">
        <v>45412</v>
      </c>
      <c r="B31" s="17">
        <v>2024</v>
      </c>
      <c r="C31" s="17" t="s">
        <v>49</v>
      </c>
      <c r="D31" s="17" t="s">
        <v>32</v>
      </c>
      <c r="E31" s="17" t="s">
        <v>33</v>
      </c>
      <c r="F31" s="24">
        <f>'Sources &amp; Checks'!$C$64*'Sources &amp; Checks'!$G$11</f>
        <v>34815.921778819378</v>
      </c>
      <c r="G31" s="25">
        <f>H31*12/F31</f>
        <v>1.5858563702770959E-2</v>
      </c>
      <c r="H31" s="24">
        <f>'Sources &amp; Checks'!$D$64*'Sources &amp; Checks'!$D$11/'Sources &amp; Checks'!$D$14</f>
        <v>46.010876116674829</v>
      </c>
      <c r="I31" s="26">
        <f>F31/F36</f>
        <v>9.966475412141719E-2</v>
      </c>
      <c r="J31" s="24">
        <f t="shared" si="0"/>
        <v>-1001.8228079812689</v>
      </c>
      <c r="K31" s="26">
        <f t="shared" si="1"/>
        <v>-2.7970013733094046E-2</v>
      </c>
      <c r="L31" s="26" t="str">
        <f>""</f>
        <v/>
      </c>
      <c r="M31" s="17" t="s">
        <v>50</v>
      </c>
      <c r="N31" s="17" t="s">
        <v>35</v>
      </c>
      <c r="O31" s="17" t="s">
        <v>36</v>
      </c>
    </row>
    <row r="32" spans="1:15" ht="19" customHeight="1">
      <c r="A32" s="18">
        <v>45412</v>
      </c>
      <c r="B32" s="19">
        <v>2024</v>
      </c>
      <c r="C32" s="19" t="s">
        <v>49</v>
      </c>
      <c r="D32" s="19" t="s">
        <v>37</v>
      </c>
      <c r="E32" s="19" t="s">
        <v>33</v>
      </c>
      <c r="F32" s="27">
        <f>'Sources &amp; Checks'!$C$64*'Sources &amp; Checks'!$G$12</f>
        <v>208597.86478021546</v>
      </c>
      <c r="G32" s="28">
        <f>H32*12/F32</f>
        <v>3.3622865247785447E-2</v>
      </c>
      <c r="H32" s="27">
        <f>'Sources &amp; Checks'!$D$64*'Sources &amp; Checks'!$D$12/'Sources &amp; Checks'!$D$14</f>
        <v>584.47149154007957</v>
      </c>
      <c r="I32" s="29">
        <f>F32/F36</f>
        <v>0.59713642038972314</v>
      </c>
      <c r="J32" s="27">
        <f t="shared" si="0"/>
        <v>1336.0336471228802</v>
      </c>
      <c r="K32" s="29">
        <f t="shared" si="1"/>
        <v>6.4461152341404038E-3</v>
      </c>
      <c r="L32" s="29" t="str">
        <f>""</f>
        <v/>
      </c>
      <c r="M32" s="19" t="s">
        <v>50</v>
      </c>
      <c r="N32" s="19" t="s">
        <v>35</v>
      </c>
      <c r="O32" s="19" t="s">
        <v>36</v>
      </c>
    </row>
    <row r="33" spans="1:15" ht="19" customHeight="1">
      <c r="A33" s="18">
        <v>45412</v>
      </c>
      <c r="B33" s="19">
        <v>2024</v>
      </c>
      <c r="C33" s="19" t="s">
        <v>49</v>
      </c>
      <c r="D33" s="19" t="s">
        <v>38</v>
      </c>
      <c r="E33" s="19" t="s">
        <v>33</v>
      </c>
      <c r="F33" s="27">
        <f>'Sources &amp; Checks'!$C$64*'Sources &amp; Checks'!$G$13</f>
        <v>78805.546774298549</v>
      </c>
      <c r="G33" s="28">
        <f>H33*12/F33</f>
        <v>4.9906762055752348E-2</v>
      </c>
      <c r="H33" s="27">
        <f>'Sources &amp; Checks'!$D$64*'Sources &amp; Checks'!$D$13/'Sources &amp; Checks'!$D$14</f>
        <v>327.74413929486496</v>
      </c>
      <c r="I33" s="29">
        <f>F33/F36</f>
        <v>0.22559033457624694</v>
      </c>
      <c r="J33" s="27">
        <f t="shared" si="0"/>
        <v>2447.4558275251184</v>
      </c>
      <c r="K33" s="29">
        <f t="shared" si="1"/>
        <v>3.2052344383926012E-2</v>
      </c>
      <c r="L33" s="29" t="str">
        <f>""</f>
        <v/>
      </c>
      <c r="M33" s="19" t="s">
        <v>50</v>
      </c>
      <c r="N33" s="19" t="s">
        <v>35</v>
      </c>
      <c r="O33" s="19" t="s">
        <v>36</v>
      </c>
    </row>
    <row r="34" spans="1:15" ht="19" customHeight="1">
      <c r="A34" s="20">
        <v>45412</v>
      </c>
      <c r="B34" s="21">
        <v>2024</v>
      </c>
      <c r="C34" s="21" t="s">
        <v>49</v>
      </c>
      <c r="D34" s="21" t="s">
        <v>39</v>
      </c>
      <c r="E34" s="21" t="s">
        <v>33</v>
      </c>
      <c r="F34" s="30">
        <f>SUM(F31:F33)</f>
        <v>322219.33333333337</v>
      </c>
      <c r="G34" s="31">
        <f>H34*12/F34</f>
        <v>3.5685996754031196E-2</v>
      </c>
      <c r="H34" s="30">
        <f>SUM(H31:H33)</f>
        <v>958.22650695161929</v>
      </c>
      <c r="I34" s="32">
        <f>F34/F36</f>
        <v>0.92239150908738721</v>
      </c>
      <c r="J34" s="30">
        <f t="shared" si="0"/>
        <v>2781.6666666667443</v>
      </c>
      <c r="K34" s="32">
        <f t="shared" si="1"/>
        <v>8.7080108482304741E-3</v>
      </c>
      <c r="L34" s="32" t="str">
        <f>""</f>
        <v/>
      </c>
      <c r="M34" s="21" t="s">
        <v>50</v>
      </c>
      <c r="N34" s="21" t="s">
        <v>40</v>
      </c>
      <c r="O34" s="21" t="s">
        <v>41</v>
      </c>
    </row>
    <row r="35" spans="1:15" ht="19" customHeight="1">
      <c r="A35" s="18">
        <v>45412</v>
      </c>
      <c r="B35" s="19">
        <v>2024</v>
      </c>
      <c r="C35" s="19" t="s">
        <v>49</v>
      </c>
      <c r="D35" s="19" t="s">
        <v>42</v>
      </c>
      <c r="E35" s="19" t="s">
        <v>43</v>
      </c>
      <c r="F35" s="27">
        <f>'Sources &amp; Checks'!$J$64</f>
        <v>27111</v>
      </c>
      <c r="G35" s="28">
        <f>0</f>
        <v>0</v>
      </c>
      <c r="H35" s="27">
        <f>0</f>
        <v>0</v>
      </c>
      <c r="I35" s="29">
        <f>F35/F36</f>
        <v>7.7608490912612793E-2</v>
      </c>
      <c r="J35" s="27">
        <f t="shared" si="0"/>
        <v>39.666666666664241</v>
      </c>
      <c r="K35" s="29">
        <f t="shared" si="1"/>
        <v>1.4652646095500987E-3</v>
      </c>
      <c r="L35" s="29" t="str">
        <f>""</f>
        <v/>
      </c>
      <c r="M35" s="19" t="s">
        <v>50</v>
      </c>
      <c r="N35" s="19" t="s">
        <v>44</v>
      </c>
      <c r="O35" s="19" t="s">
        <v>41</v>
      </c>
    </row>
    <row r="36" spans="1:15" ht="19" customHeight="1">
      <c r="A36" s="22">
        <v>45412</v>
      </c>
      <c r="B36" s="23">
        <v>2024</v>
      </c>
      <c r="C36" s="23" t="s">
        <v>49</v>
      </c>
      <c r="D36" s="23" t="s">
        <v>45</v>
      </c>
      <c r="E36" s="23" t="s">
        <v>46</v>
      </c>
      <c r="F36" s="33">
        <f>SUM(F34,F35)</f>
        <v>349330.33333333337</v>
      </c>
      <c r="G36" s="34">
        <f>H36*12/F36</f>
        <v>3.2916460399238436E-2</v>
      </c>
      <c r="H36" s="33">
        <f>SUM(H34,H35)</f>
        <v>958.22650695161929</v>
      </c>
      <c r="I36" s="35">
        <f>F36/F36</f>
        <v>1</v>
      </c>
      <c r="J36" s="33">
        <f t="shared" si="0"/>
        <v>2821.3333333334303</v>
      </c>
      <c r="K36" s="35">
        <f t="shared" si="1"/>
        <v>8.1421646575801088E-3</v>
      </c>
      <c r="L36" s="35" t="str">
        <f>""</f>
        <v/>
      </c>
      <c r="M36" s="23" t="s">
        <v>50</v>
      </c>
      <c r="N36" s="23" t="s">
        <v>47</v>
      </c>
      <c r="O36" s="23" t="s">
        <v>48</v>
      </c>
    </row>
    <row r="37" spans="1:15" ht="19" customHeight="1">
      <c r="A37" s="16">
        <v>45443</v>
      </c>
      <c r="B37" s="17">
        <v>2024</v>
      </c>
      <c r="C37" s="17" t="s">
        <v>49</v>
      </c>
      <c r="D37" s="17" t="s">
        <v>32</v>
      </c>
      <c r="E37" s="17" t="s">
        <v>33</v>
      </c>
      <c r="F37" s="24">
        <f>'Sources &amp; Checks'!$C$65*'Sources &amp; Checks'!$G$11</f>
        <v>34713.075824366591</v>
      </c>
      <c r="G37" s="25">
        <f>H37*12/F37</f>
        <v>1.5858563702770959E-2</v>
      </c>
      <c r="H37" s="24">
        <f>'Sources &amp; Checks'!$D$65*'Sources &amp; Checks'!$D$11/'Sources &amp; Checks'!$D$14</f>
        <v>45.874960356653013</v>
      </c>
      <c r="I37" s="26">
        <f>F37/F42</f>
        <v>9.9816044846721019E-2</v>
      </c>
      <c r="J37" s="24">
        <f t="shared" si="0"/>
        <v>-102.84595445278683</v>
      </c>
      <c r="K37" s="26">
        <f t="shared" si="1"/>
        <v>-2.9539920013077481E-3</v>
      </c>
      <c r="L37" s="26" t="str">
        <f>""</f>
        <v/>
      </c>
      <c r="M37" s="17" t="s">
        <v>50</v>
      </c>
      <c r="N37" s="17" t="s">
        <v>35</v>
      </c>
      <c r="O37" s="17" t="s">
        <v>36</v>
      </c>
    </row>
    <row r="38" spans="1:15" ht="19" customHeight="1">
      <c r="A38" s="18">
        <v>45443</v>
      </c>
      <c r="B38" s="19">
        <v>2024</v>
      </c>
      <c r="C38" s="19" t="s">
        <v>49</v>
      </c>
      <c r="D38" s="19" t="s">
        <v>37</v>
      </c>
      <c r="E38" s="19" t="s">
        <v>33</v>
      </c>
      <c r="F38" s="27">
        <f>'Sources &amp; Checks'!$C$65*'Sources &amp; Checks'!$G$12</f>
        <v>207981.66835616482</v>
      </c>
      <c r="G38" s="28">
        <f>H38*12/F38</f>
        <v>3.3622865247785447E-2</v>
      </c>
      <c r="H38" s="27">
        <f>'Sources &amp; Checks'!$D$65*'Sources &amp; Checks'!$D$12/'Sources &amp; Checks'!$D$14</f>
        <v>582.74496742907775</v>
      </c>
      <c r="I38" s="29">
        <f>F38/F42</f>
        <v>0.59804287125033562</v>
      </c>
      <c r="J38" s="27">
        <f t="shared" si="0"/>
        <v>-616.19642405063496</v>
      </c>
      <c r="K38" s="29">
        <f t="shared" si="1"/>
        <v>-2.9539920013077481E-3</v>
      </c>
      <c r="L38" s="29" t="str">
        <f>""</f>
        <v/>
      </c>
      <c r="M38" s="19" t="s">
        <v>50</v>
      </c>
      <c r="N38" s="19" t="s">
        <v>35</v>
      </c>
      <c r="O38" s="19" t="s">
        <v>36</v>
      </c>
    </row>
    <row r="39" spans="1:15" ht="19" customHeight="1">
      <c r="A39" s="18">
        <v>45443</v>
      </c>
      <c r="B39" s="19">
        <v>2024</v>
      </c>
      <c r="C39" s="19" t="s">
        <v>49</v>
      </c>
      <c r="D39" s="19" t="s">
        <v>38</v>
      </c>
      <c r="E39" s="19" t="s">
        <v>33</v>
      </c>
      <c r="F39" s="27">
        <f>'Sources &amp; Checks'!$C$65*'Sources &amp; Checks'!$G$13</f>
        <v>78572.755819468599</v>
      </c>
      <c r="G39" s="28">
        <f>H39*12/F39</f>
        <v>4.9906762055752334E-2</v>
      </c>
      <c r="H39" s="27">
        <f>'Sources &amp; Checks'!$D$65*'Sources &amp; Checks'!$D$13/'Sources &amp; Checks'!$D$14</f>
        <v>326.77598572891242</v>
      </c>
      <c r="I39" s="29">
        <f>F39/F42</f>
        <v>0.22593277986335414</v>
      </c>
      <c r="J39" s="27">
        <f t="shared" si="0"/>
        <v>-232.79095482995035</v>
      </c>
      <c r="K39" s="29">
        <f t="shared" si="1"/>
        <v>-2.9539920013076371E-3</v>
      </c>
      <c r="L39" s="29" t="str">
        <f>""</f>
        <v/>
      </c>
      <c r="M39" s="19" t="s">
        <v>50</v>
      </c>
      <c r="N39" s="19" t="s">
        <v>35</v>
      </c>
      <c r="O39" s="19" t="s">
        <v>36</v>
      </c>
    </row>
    <row r="40" spans="1:15" ht="19" customHeight="1">
      <c r="A40" s="20">
        <v>45443</v>
      </c>
      <c r="B40" s="21">
        <v>2024</v>
      </c>
      <c r="C40" s="21" t="s">
        <v>49</v>
      </c>
      <c r="D40" s="21" t="s">
        <v>39</v>
      </c>
      <c r="E40" s="21" t="s">
        <v>33</v>
      </c>
      <c r="F40" s="30">
        <f>SUM(F37:F39)</f>
        <v>321267.5</v>
      </c>
      <c r="G40" s="31">
        <f>H40*12/F40</f>
        <v>3.5685996754031196E-2</v>
      </c>
      <c r="H40" s="30">
        <f>SUM(H37:H39)</f>
        <v>955.3959135146431</v>
      </c>
      <c r="I40" s="32">
        <f>F40/F42</f>
        <v>0.92379169596041066</v>
      </c>
      <c r="J40" s="30">
        <f t="shared" si="0"/>
        <v>-951.83333333337214</v>
      </c>
      <c r="K40" s="32">
        <f t="shared" si="1"/>
        <v>-2.9539920013077481E-3</v>
      </c>
      <c r="L40" s="32" t="str">
        <f>""</f>
        <v/>
      </c>
      <c r="M40" s="21" t="s">
        <v>50</v>
      </c>
      <c r="N40" s="21" t="s">
        <v>40</v>
      </c>
      <c r="O40" s="21" t="s">
        <v>41</v>
      </c>
    </row>
    <row r="41" spans="1:15" ht="19" customHeight="1">
      <c r="A41" s="18">
        <v>45443</v>
      </c>
      <c r="B41" s="19">
        <v>2024</v>
      </c>
      <c r="C41" s="19" t="s">
        <v>49</v>
      </c>
      <c r="D41" s="19" t="s">
        <v>42</v>
      </c>
      <c r="E41" s="19" t="s">
        <v>43</v>
      </c>
      <c r="F41" s="27">
        <f>'Sources &amp; Checks'!$J$65</f>
        <v>26503</v>
      </c>
      <c r="G41" s="28">
        <f>0</f>
        <v>0</v>
      </c>
      <c r="H41" s="27">
        <f>0</f>
        <v>0</v>
      </c>
      <c r="I41" s="29">
        <f>F41/F42</f>
        <v>7.6208304039589322E-2</v>
      </c>
      <c r="J41" s="27">
        <f t="shared" si="0"/>
        <v>-608</v>
      </c>
      <c r="K41" s="29">
        <f t="shared" si="1"/>
        <v>-2.2426321419350081E-2</v>
      </c>
      <c r="L41" s="29" t="str">
        <f>""</f>
        <v/>
      </c>
      <c r="M41" s="19" t="s">
        <v>50</v>
      </c>
      <c r="N41" s="19" t="s">
        <v>44</v>
      </c>
      <c r="O41" s="19" t="s">
        <v>41</v>
      </c>
    </row>
    <row r="42" spans="1:15" ht="19" customHeight="1">
      <c r="A42" s="22">
        <v>45443</v>
      </c>
      <c r="B42" s="23">
        <v>2024</v>
      </c>
      <c r="C42" s="23" t="s">
        <v>49</v>
      </c>
      <c r="D42" s="23" t="s">
        <v>45</v>
      </c>
      <c r="E42" s="23" t="s">
        <v>46</v>
      </c>
      <c r="F42" s="33">
        <f>SUM(F40,F41)</f>
        <v>347770.5</v>
      </c>
      <c r="G42" s="34">
        <f>H42*12/F42</f>
        <v>3.2966427463444185E-2</v>
      </c>
      <c r="H42" s="33">
        <f>SUM(H40,H41)</f>
        <v>955.3959135146431</v>
      </c>
      <c r="I42" s="35">
        <f>F42/F42</f>
        <v>1</v>
      </c>
      <c r="J42" s="33">
        <f t="shared" si="0"/>
        <v>-1559.8333333333721</v>
      </c>
      <c r="K42" s="35">
        <f t="shared" si="1"/>
        <v>-4.4652101019952983E-3</v>
      </c>
      <c r="L42" s="35" t="str">
        <f>""</f>
        <v/>
      </c>
      <c r="M42" s="23" t="s">
        <v>50</v>
      </c>
      <c r="N42" s="23" t="s">
        <v>47</v>
      </c>
      <c r="O42" s="23" t="s">
        <v>48</v>
      </c>
    </row>
    <row r="43" spans="1:15" ht="19" customHeight="1">
      <c r="A43" s="16">
        <v>45473</v>
      </c>
      <c r="B43" s="17">
        <v>2024</v>
      </c>
      <c r="C43" s="17" t="s">
        <v>49</v>
      </c>
      <c r="D43" s="17" t="s">
        <v>32</v>
      </c>
      <c r="E43" s="17" t="s">
        <v>33</v>
      </c>
      <c r="F43" s="24">
        <f>'Sources &amp; Checks'!$C$66*'Sources &amp; Checks'!$G$11</f>
        <v>34894.078221180614</v>
      </c>
      <c r="G43" s="25">
        <f>H43*12/F43</f>
        <v>1.5858563702770962E-2</v>
      </c>
      <c r="H43" s="24">
        <f>'Sources &amp; Checks'!$D$66*'Sources &amp; Checks'!$D$11/'Sources &amp; Checks'!$D$14</f>
        <v>46.114163526672137</v>
      </c>
      <c r="I43" s="26">
        <f>F43/F48</f>
        <v>9.9798400345818536E-2</v>
      </c>
      <c r="J43" s="24">
        <f t="shared" si="0"/>
        <v>181.00239681402309</v>
      </c>
      <c r="K43" s="26">
        <f t="shared" si="1"/>
        <v>5.2142425445045326E-3</v>
      </c>
      <c r="L43" s="26" t="str">
        <f>""</f>
        <v/>
      </c>
      <c r="M43" s="17" t="s">
        <v>50</v>
      </c>
      <c r="N43" s="17" t="s">
        <v>35</v>
      </c>
      <c r="O43" s="17" t="s">
        <v>36</v>
      </c>
    </row>
    <row r="44" spans="1:15" ht="19" customHeight="1">
      <c r="A44" s="18">
        <v>45473</v>
      </c>
      <c r="B44" s="19">
        <v>2024</v>
      </c>
      <c r="C44" s="19" t="s">
        <v>49</v>
      </c>
      <c r="D44" s="19" t="s">
        <v>37</v>
      </c>
      <c r="E44" s="19" t="s">
        <v>33</v>
      </c>
      <c r="F44" s="27">
        <f>'Sources &amp; Checks'!$C$66*'Sources &amp; Checks'!$G$12</f>
        <v>209066.13521978457</v>
      </c>
      <c r="G44" s="28">
        <f>H44*12/F44</f>
        <v>3.3622865247785454E-2</v>
      </c>
      <c r="H44" s="27">
        <f>'Sources &amp; Checks'!$D$66*'Sources &amp; Checks'!$D$12/'Sources &amp; Checks'!$D$14</f>
        <v>585.78354103084246</v>
      </c>
      <c r="I44" s="29">
        <f>F44/F48</f>
        <v>0.59793715510021461</v>
      </c>
      <c r="J44" s="27">
        <f t="shared" si="0"/>
        <v>1084.4668636197457</v>
      </c>
      <c r="K44" s="29">
        <f t="shared" si="1"/>
        <v>5.2142425445045326E-3</v>
      </c>
      <c r="L44" s="29" t="str">
        <f>""</f>
        <v/>
      </c>
      <c r="M44" s="19" t="s">
        <v>50</v>
      </c>
      <c r="N44" s="19" t="s">
        <v>35</v>
      </c>
      <c r="O44" s="19" t="s">
        <v>36</v>
      </c>
    </row>
    <row r="45" spans="1:15" ht="19" customHeight="1">
      <c r="A45" s="18">
        <v>45473</v>
      </c>
      <c r="B45" s="19">
        <v>2024</v>
      </c>
      <c r="C45" s="19" t="s">
        <v>49</v>
      </c>
      <c r="D45" s="19" t="s">
        <v>38</v>
      </c>
      <c r="E45" s="19" t="s">
        <v>33</v>
      </c>
      <c r="F45" s="27">
        <f>'Sources &amp; Checks'!$C$66*'Sources &amp; Checks'!$G$13</f>
        <v>78982.453225701436</v>
      </c>
      <c r="G45" s="28">
        <f>H45*12/F45</f>
        <v>4.9906762055752341E-2</v>
      </c>
      <c r="H45" s="27">
        <f>'Sources &amp; Checks'!$D$66*'Sources &amp; Checks'!$D$13/'Sources &amp; Checks'!$D$14</f>
        <v>328.47987497622256</v>
      </c>
      <c r="I45" s="29">
        <f>F45/F48</f>
        <v>0.22589284168363241</v>
      </c>
      <c r="J45" s="27">
        <f t="shared" si="0"/>
        <v>409.69740623283724</v>
      </c>
      <c r="K45" s="29">
        <f t="shared" si="1"/>
        <v>5.2142425445045326E-3</v>
      </c>
      <c r="L45" s="29" t="str">
        <f>""</f>
        <v/>
      </c>
      <c r="M45" s="19" t="s">
        <v>50</v>
      </c>
      <c r="N45" s="19" t="s">
        <v>35</v>
      </c>
      <c r="O45" s="19" t="s">
        <v>36</v>
      </c>
    </row>
    <row r="46" spans="1:15" ht="19" customHeight="1">
      <c r="A46" s="20">
        <v>45473</v>
      </c>
      <c r="B46" s="21">
        <v>2024</v>
      </c>
      <c r="C46" s="21" t="s">
        <v>49</v>
      </c>
      <c r="D46" s="21" t="s">
        <v>39</v>
      </c>
      <c r="E46" s="21" t="s">
        <v>33</v>
      </c>
      <c r="F46" s="30">
        <f>SUM(F43:F45)</f>
        <v>322942.66666666663</v>
      </c>
      <c r="G46" s="31">
        <f>H46*12/F46</f>
        <v>3.5685996754031203E-2</v>
      </c>
      <c r="H46" s="30">
        <f>SUM(H43:H45)</f>
        <v>960.37757953373716</v>
      </c>
      <c r="I46" s="32">
        <f>F46/F48</f>
        <v>0.9236283971296656</v>
      </c>
      <c r="J46" s="30">
        <f t="shared" si="0"/>
        <v>1675.1666666666279</v>
      </c>
      <c r="K46" s="32">
        <f t="shared" si="1"/>
        <v>5.2142425445045326E-3</v>
      </c>
      <c r="L46" s="32" t="str">
        <f>""</f>
        <v/>
      </c>
      <c r="M46" s="21" t="s">
        <v>50</v>
      </c>
      <c r="N46" s="21" t="s">
        <v>40</v>
      </c>
      <c r="O46" s="21" t="s">
        <v>41</v>
      </c>
    </row>
    <row r="47" spans="1:15" ht="19" customHeight="1">
      <c r="A47" s="18">
        <v>45473</v>
      </c>
      <c r="B47" s="19">
        <v>2024</v>
      </c>
      <c r="C47" s="19" t="s">
        <v>49</v>
      </c>
      <c r="D47" s="19" t="s">
        <v>42</v>
      </c>
      <c r="E47" s="19" t="s">
        <v>43</v>
      </c>
      <c r="F47" s="27">
        <f>'Sources &amp; Checks'!$J$66</f>
        <v>26703</v>
      </c>
      <c r="G47" s="28">
        <f>0</f>
        <v>0</v>
      </c>
      <c r="H47" s="27">
        <f>0</f>
        <v>0</v>
      </c>
      <c r="I47" s="29">
        <f>F47/F48</f>
        <v>7.6371602870334454E-2</v>
      </c>
      <c r="J47" s="27">
        <f t="shared" si="0"/>
        <v>200</v>
      </c>
      <c r="K47" s="29">
        <f t="shared" si="1"/>
        <v>7.5463155114514624E-3</v>
      </c>
      <c r="L47" s="29" t="str">
        <f>""</f>
        <v/>
      </c>
      <c r="M47" s="19" t="s">
        <v>50</v>
      </c>
      <c r="N47" s="19" t="s">
        <v>44</v>
      </c>
      <c r="O47" s="19" t="s">
        <v>41</v>
      </c>
    </row>
    <row r="48" spans="1:15" ht="19" customHeight="1">
      <c r="A48" s="22">
        <v>45473</v>
      </c>
      <c r="B48" s="23">
        <v>2024</v>
      </c>
      <c r="C48" s="23" t="s">
        <v>49</v>
      </c>
      <c r="D48" s="23" t="s">
        <v>45</v>
      </c>
      <c r="E48" s="23" t="s">
        <v>46</v>
      </c>
      <c r="F48" s="33">
        <f>SUM(F46,F47)</f>
        <v>349645.66666666663</v>
      </c>
      <c r="G48" s="34">
        <f>H48*12/F48</f>
        <v>3.296059998190029E-2</v>
      </c>
      <c r="H48" s="33">
        <f>SUM(H46,H47)</f>
        <v>960.37757953373716</v>
      </c>
      <c r="I48" s="35">
        <f>F48/F48</f>
        <v>1</v>
      </c>
      <c r="J48" s="33">
        <f t="shared" si="0"/>
        <v>1875.1666666666279</v>
      </c>
      <c r="K48" s="35">
        <f t="shared" si="1"/>
        <v>5.3919658702121787E-3</v>
      </c>
      <c r="L48" s="35" t="str">
        <f>""</f>
        <v/>
      </c>
      <c r="M48" s="23" t="s">
        <v>50</v>
      </c>
      <c r="N48" s="23" t="s">
        <v>47</v>
      </c>
      <c r="O48" s="23" t="s">
        <v>48</v>
      </c>
    </row>
    <row r="49" spans="1:15" ht="19" customHeight="1">
      <c r="A49" s="16">
        <v>45504</v>
      </c>
      <c r="B49" s="17">
        <v>2024</v>
      </c>
      <c r="C49" s="17" t="s">
        <v>51</v>
      </c>
      <c r="D49" s="17" t="s">
        <v>32</v>
      </c>
      <c r="E49" s="17" t="s">
        <v>33</v>
      </c>
      <c r="F49" s="24">
        <f>'Sources &amp; Checks'!$C$67*'Sources &amp; Checks'!$G$16</f>
        <v>33837.837569990355</v>
      </c>
      <c r="G49" s="25">
        <f>H49*12/F49</f>
        <v>1.5934172454110156E-2</v>
      </c>
      <c r="H49" s="24">
        <f>'Sources &amp; Checks'!$D$67*'Sources &amp; Checks'!$D$16/'Sources &amp; Checks'!$D$19</f>
        <v>44.931494942866166</v>
      </c>
      <c r="I49" s="26">
        <f>F49/F54</f>
        <v>9.6570457283459879E-2</v>
      </c>
      <c r="J49" s="24">
        <f t="shared" si="0"/>
        <v>-1056.2406511902591</v>
      </c>
      <c r="K49" s="26">
        <f t="shared" si="1"/>
        <v>-3.0269911258155036E-2</v>
      </c>
      <c r="L49" s="26" t="str">
        <f>""</f>
        <v/>
      </c>
      <c r="M49" s="17" t="s">
        <v>52</v>
      </c>
      <c r="N49" s="17" t="s">
        <v>35</v>
      </c>
      <c r="O49" s="17" t="s">
        <v>36</v>
      </c>
    </row>
    <row r="50" spans="1:15" ht="19" customHeight="1">
      <c r="A50" s="18">
        <v>45504</v>
      </c>
      <c r="B50" s="19">
        <v>2024</v>
      </c>
      <c r="C50" s="19" t="s">
        <v>51</v>
      </c>
      <c r="D50" s="19" t="s">
        <v>37</v>
      </c>
      <c r="E50" s="19" t="s">
        <v>33</v>
      </c>
      <c r="F50" s="27">
        <f>'Sources &amp; Checks'!$C$67*'Sources &amp; Checks'!$G$17</f>
        <v>210995.90795940947</v>
      </c>
      <c r="G50" s="28">
        <f>H50*12/F50</f>
        <v>3.4545157903254201E-2</v>
      </c>
      <c r="H50" s="27">
        <f>'Sources &amp; Checks'!$D$67*'Sources &amp; Checks'!$D$17/'Sources &amp; Checks'!$D$19</f>
        <v>607.40724644985755</v>
      </c>
      <c r="I50" s="29">
        <f>F50/F54</f>
        <v>0.60216529127883012</v>
      </c>
      <c r="J50" s="27">
        <f t="shared" si="0"/>
        <v>1929.7727396248956</v>
      </c>
      <c r="K50" s="29">
        <f t="shared" si="1"/>
        <v>9.2304415423194452E-3</v>
      </c>
      <c r="L50" s="29" t="str">
        <f>""</f>
        <v/>
      </c>
      <c r="M50" s="19" t="s">
        <v>52</v>
      </c>
      <c r="N50" s="19" t="s">
        <v>35</v>
      </c>
      <c r="O50" s="19" t="s">
        <v>36</v>
      </c>
    </row>
    <row r="51" spans="1:15" ht="19" customHeight="1">
      <c r="A51" s="18">
        <v>45504</v>
      </c>
      <c r="B51" s="19">
        <v>2024</v>
      </c>
      <c r="C51" s="19" t="s">
        <v>51</v>
      </c>
      <c r="D51" s="19" t="s">
        <v>38</v>
      </c>
      <c r="E51" s="19" t="s">
        <v>33</v>
      </c>
      <c r="F51" s="27">
        <f>'Sources &amp; Checks'!$C$67*'Sources &amp; Checks'!$G$18</f>
        <v>78736.587803933537</v>
      </c>
      <c r="G51" s="28">
        <f>H51*12/F51</f>
        <v>4.9964090537687071E-2</v>
      </c>
      <c r="H51" s="27">
        <f>'Sources &amp; Checks'!$D$67*'Sources &amp; Checks'!$D$18/'Sources &amp; Checks'!$D$19</f>
        <v>327.83350013869023</v>
      </c>
      <c r="I51" s="29">
        <f>F51/F54</f>
        <v>0.22470786655434966</v>
      </c>
      <c r="J51" s="27">
        <f t="shared" ref="J51:J82" si="2">F51-F45</f>
        <v>-245.86542176789953</v>
      </c>
      <c r="K51" s="29">
        <f t="shared" ref="K51:K82" si="3">IF(F45=0,"n.a.",F51/F45-1)</f>
        <v>-3.1129119409004646E-3</v>
      </c>
      <c r="L51" s="29" t="str">
        <f>""</f>
        <v/>
      </c>
      <c r="M51" s="19" t="s">
        <v>52</v>
      </c>
      <c r="N51" s="19" t="s">
        <v>35</v>
      </c>
      <c r="O51" s="19" t="s">
        <v>36</v>
      </c>
    </row>
    <row r="52" spans="1:15" ht="19" customHeight="1">
      <c r="A52" s="20">
        <v>45504</v>
      </c>
      <c r="B52" s="21">
        <v>2024</v>
      </c>
      <c r="C52" s="21" t="s">
        <v>51</v>
      </c>
      <c r="D52" s="21" t="s">
        <v>39</v>
      </c>
      <c r="E52" s="21" t="s">
        <v>33</v>
      </c>
      <c r="F52" s="30">
        <f>SUM(F49:F51)</f>
        <v>323570.33333333337</v>
      </c>
      <c r="G52" s="31">
        <f>H52*12/F52</f>
        <v>3.6350881668314149E-2</v>
      </c>
      <c r="H52" s="30">
        <f>SUM(H49:H51)</f>
        <v>980.17224153141387</v>
      </c>
      <c r="I52" s="32">
        <f>F52/F54</f>
        <v>0.92344361511663964</v>
      </c>
      <c r="J52" s="30">
        <f t="shared" si="2"/>
        <v>627.66666666674428</v>
      </c>
      <c r="K52" s="32">
        <f t="shared" si="3"/>
        <v>1.9435854455076562E-3</v>
      </c>
      <c r="L52" s="32" t="str">
        <f>""</f>
        <v/>
      </c>
      <c r="M52" s="21" t="s">
        <v>52</v>
      </c>
      <c r="N52" s="21" t="s">
        <v>40</v>
      </c>
      <c r="O52" s="21" t="s">
        <v>41</v>
      </c>
    </row>
    <row r="53" spans="1:15" ht="19" customHeight="1">
      <c r="A53" s="18">
        <v>45504</v>
      </c>
      <c r="B53" s="19">
        <v>2024</v>
      </c>
      <c r="C53" s="19" t="s">
        <v>51</v>
      </c>
      <c r="D53" s="19" t="s">
        <v>42</v>
      </c>
      <c r="E53" s="19" t="s">
        <v>43</v>
      </c>
      <c r="F53" s="27">
        <f>'Sources &amp; Checks'!$J$67</f>
        <v>26825</v>
      </c>
      <c r="G53" s="28">
        <f>0</f>
        <v>0</v>
      </c>
      <c r="H53" s="27">
        <f>0</f>
        <v>0</v>
      </c>
      <c r="I53" s="29">
        <f>F53/F54</f>
        <v>7.6556384883360307E-2</v>
      </c>
      <c r="J53" s="27">
        <f t="shared" si="2"/>
        <v>122</v>
      </c>
      <c r="K53" s="29">
        <f t="shared" si="3"/>
        <v>4.5687750440024377E-3</v>
      </c>
      <c r="L53" s="29" t="str">
        <f>""</f>
        <v/>
      </c>
      <c r="M53" s="19" t="s">
        <v>52</v>
      </c>
      <c r="N53" s="19" t="s">
        <v>44</v>
      </c>
      <c r="O53" s="19" t="s">
        <v>41</v>
      </c>
    </row>
    <row r="54" spans="1:15" ht="19" customHeight="1">
      <c r="A54" s="22">
        <v>45504</v>
      </c>
      <c r="B54" s="23">
        <v>2024</v>
      </c>
      <c r="C54" s="23" t="s">
        <v>51</v>
      </c>
      <c r="D54" s="23" t="s">
        <v>45</v>
      </c>
      <c r="E54" s="23" t="s">
        <v>46</v>
      </c>
      <c r="F54" s="33">
        <f>SUM(F52,F53)</f>
        <v>350395.33333333337</v>
      </c>
      <c r="G54" s="34">
        <f>H54*12/F54</f>
        <v>3.3567989580465203E-2</v>
      </c>
      <c r="H54" s="33">
        <f>SUM(H52,H53)</f>
        <v>980.17224153141387</v>
      </c>
      <c r="I54" s="35">
        <f>F54/F54</f>
        <v>1</v>
      </c>
      <c r="J54" s="33">
        <f t="shared" si="2"/>
        <v>749.66666666674428</v>
      </c>
      <c r="K54" s="35">
        <f t="shared" si="3"/>
        <v>2.1440753829831127E-3</v>
      </c>
      <c r="L54" s="35" t="str">
        <f>""</f>
        <v/>
      </c>
      <c r="M54" s="23" t="s">
        <v>52</v>
      </c>
      <c r="N54" s="23" t="s">
        <v>47</v>
      </c>
      <c r="O54" s="23" t="s">
        <v>48</v>
      </c>
    </row>
    <row r="55" spans="1:15" ht="19" customHeight="1">
      <c r="A55" s="16">
        <v>45535</v>
      </c>
      <c r="B55" s="17">
        <v>2024</v>
      </c>
      <c r="C55" s="17" t="s">
        <v>51</v>
      </c>
      <c r="D55" s="17" t="s">
        <v>32</v>
      </c>
      <c r="E55" s="17" t="s">
        <v>33</v>
      </c>
      <c r="F55" s="24">
        <f>'Sources &amp; Checks'!$C$68*'Sources &amp; Checks'!$G$16</f>
        <v>33796.285859560136</v>
      </c>
      <c r="G55" s="25">
        <f>H55*12/F55</f>
        <v>1.5934172454110159E-2</v>
      </c>
      <c r="H55" s="24">
        <f>'Sources &amp; Checks'!$D$68*'Sources &amp; Checks'!$D$16/'Sources &amp; Checks'!$D$19</f>
        <v>44.876320599552976</v>
      </c>
      <c r="I55" s="26">
        <f>F55/F60</f>
        <v>9.6639923421772786E-2</v>
      </c>
      <c r="J55" s="24">
        <f t="shared" si="2"/>
        <v>-41.551710430219828</v>
      </c>
      <c r="K55" s="26">
        <f t="shared" si="3"/>
        <v>-1.2279658930413051E-3</v>
      </c>
      <c r="L55" s="26" t="str">
        <f>""</f>
        <v/>
      </c>
      <c r="M55" s="17" t="s">
        <v>52</v>
      </c>
      <c r="N55" s="17" t="s">
        <v>35</v>
      </c>
      <c r="O55" s="17" t="s">
        <v>36</v>
      </c>
    </row>
    <row r="56" spans="1:15" ht="19" customHeight="1">
      <c r="A56" s="18">
        <v>45535</v>
      </c>
      <c r="B56" s="19">
        <v>2024</v>
      </c>
      <c r="C56" s="19" t="s">
        <v>51</v>
      </c>
      <c r="D56" s="19" t="s">
        <v>37</v>
      </c>
      <c r="E56" s="19" t="s">
        <v>33</v>
      </c>
      <c r="F56" s="27">
        <f>'Sources &amp; Checks'!$C$68*'Sources &amp; Checks'!$G$17</f>
        <v>210736.81218086401</v>
      </c>
      <c r="G56" s="28">
        <f>H56*12/F56</f>
        <v>3.4545157903254207E-2</v>
      </c>
      <c r="H56" s="27">
        <f>'Sources &amp; Checks'!$D$68*'Sources &amp; Checks'!$D$17/'Sources &amp; Checks'!$D$19</f>
        <v>606.66137106803103</v>
      </c>
      <c r="I56" s="29">
        <f>F56/F60</f>
        <v>0.60259844753166236</v>
      </c>
      <c r="J56" s="27">
        <f t="shared" si="2"/>
        <v>-259.09577854545205</v>
      </c>
      <c r="K56" s="29">
        <f t="shared" si="3"/>
        <v>-1.2279658930414161E-3</v>
      </c>
      <c r="L56" s="29" t="str">
        <f>""</f>
        <v/>
      </c>
      <c r="M56" s="19" t="s">
        <v>52</v>
      </c>
      <c r="N56" s="19" t="s">
        <v>35</v>
      </c>
      <c r="O56" s="19" t="s">
        <v>36</v>
      </c>
    </row>
    <row r="57" spans="1:15" ht="19" customHeight="1">
      <c r="A57" s="18">
        <v>45535</v>
      </c>
      <c r="B57" s="19">
        <v>2024</v>
      </c>
      <c r="C57" s="19" t="s">
        <v>51</v>
      </c>
      <c r="D57" s="19" t="s">
        <v>38</v>
      </c>
      <c r="E57" s="19" t="s">
        <v>33</v>
      </c>
      <c r="F57" s="27">
        <f>'Sources &amp; Checks'!$C$68*'Sources &amp; Checks'!$G$18</f>
        <v>78639.901959575858</v>
      </c>
      <c r="G57" s="28">
        <f>H57*12/F57</f>
        <v>4.9964090537687064E-2</v>
      </c>
      <c r="H57" s="27">
        <f>'Sources &amp; Checks'!$D$68*'Sources &amp; Checks'!$D$18/'Sources &amp; Checks'!$D$19</f>
        <v>327.43093178192356</v>
      </c>
      <c r="I57" s="29">
        <f>F57/F60</f>
        <v>0.22486950592292221</v>
      </c>
      <c r="J57" s="27">
        <f t="shared" si="2"/>
        <v>-96.685844357678434</v>
      </c>
      <c r="K57" s="29">
        <f t="shared" si="3"/>
        <v>-1.2279658930413051E-3</v>
      </c>
      <c r="L57" s="29" t="str">
        <f>""</f>
        <v/>
      </c>
      <c r="M57" s="19" t="s">
        <v>52</v>
      </c>
      <c r="N57" s="19" t="s">
        <v>35</v>
      </c>
      <c r="O57" s="19" t="s">
        <v>36</v>
      </c>
    </row>
    <row r="58" spans="1:15" ht="19" customHeight="1">
      <c r="A58" s="20">
        <v>45535</v>
      </c>
      <c r="B58" s="21">
        <v>2024</v>
      </c>
      <c r="C58" s="21" t="s">
        <v>51</v>
      </c>
      <c r="D58" s="21" t="s">
        <v>39</v>
      </c>
      <c r="E58" s="21" t="s">
        <v>33</v>
      </c>
      <c r="F58" s="30">
        <f>SUM(F55:F57)</f>
        <v>323173</v>
      </c>
      <c r="G58" s="31">
        <f>H58*12/F58</f>
        <v>3.6350881668314156E-2</v>
      </c>
      <c r="H58" s="30">
        <f>SUM(H55:H57)</f>
        <v>978.9686234495075</v>
      </c>
      <c r="I58" s="32">
        <f>F58/F60</f>
        <v>0.92410787687635731</v>
      </c>
      <c r="J58" s="30">
        <f t="shared" si="2"/>
        <v>-397.33333333337214</v>
      </c>
      <c r="K58" s="32">
        <f t="shared" si="3"/>
        <v>-1.2279658930414161E-3</v>
      </c>
      <c r="L58" s="32" t="str">
        <f>""</f>
        <v/>
      </c>
      <c r="M58" s="21" t="s">
        <v>52</v>
      </c>
      <c r="N58" s="21" t="s">
        <v>40</v>
      </c>
      <c r="O58" s="21" t="s">
        <v>41</v>
      </c>
    </row>
    <row r="59" spans="1:15" ht="19" customHeight="1">
      <c r="A59" s="18">
        <v>45535</v>
      </c>
      <c r="B59" s="19">
        <v>2024</v>
      </c>
      <c r="C59" s="19" t="s">
        <v>51</v>
      </c>
      <c r="D59" s="19" t="s">
        <v>42</v>
      </c>
      <c r="E59" s="19" t="s">
        <v>43</v>
      </c>
      <c r="F59" s="27">
        <f>'Sources &amp; Checks'!$J$68</f>
        <v>26540.5</v>
      </c>
      <c r="G59" s="28">
        <f>0</f>
        <v>0</v>
      </c>
      <c r="H59" s="27">
        <f>0</f>
        <v>0</v>
      </c>
      <c r="I59" s="29">
        <f>F59/F60</f>
        <v>7.5892123123642644E-2</v>
      </c>
      <c r="J59" s="27">
        <f t="shared" si="2"/>
        <v>-284.5</v>
      </c>
      <c r="K59" s="29">
        <f t="shared" si="3"/>
        <v>-1.0605778191985049E-2</v>
      </c>
      <c r="L59" s="29" t="str">
        <f>""</f>
        <v/>
      </c>
      <c r="M59" s="19" t="s">
        <v>52</v>
      </c>
      <c r="N59" s="19" t="s">
        <v>44</v>
      </c>
      <c r="O59" s="19" t="s">
        <v>41</v>
      </c>
    </row>
    <row r="60" spans="1:15" ht="19" customHeight="1">
      <c r="A60" s="22">
        <v>45535</v>
      </c>
      <c r="B60" s="23">
        <v>2024</v>
      </c>
      <c r="C60" s="23" t="s">
        <v>51</v>
      </c>
      <c r="D60" s="23" t="s">
        <v>45</v>
      </c>
      <c r="E60" s="23" t="s">
        <v>46</v>
      </c>
      <c r="F60" s="33">
        <f>SUM(F58,F59)</f>
        <v>349713.5</v>
      </c>
      <c r="G60" s="34">
        <f>H60*12/F60</f>
        <v>3.3592136081089491E-2</v>
      </c>
      <c r="H60" s="33">
        <f>SUM(H58,H59)</f>
        <v>978.9686234495075</v>
      </c>
      <c r="I60" s="35">
        <f>F60/F60</f>
        <v>1</v>
      </c>
      <c r="J60" s="33">
        <f t="shared" si="2"/>
        <v>-681.83333333337214</v>
      </c>
      <c r="K60" s="35">
        <f t="shared" si="3"/>
        <v>-1.9458973007632219E-3</v>
      </c>
      <c r="L60" s="35" t="str">
        <f>""</f>
        <v/>
      </c>
      <c r="M60" s="23" t="s">
        <v>52</v>
      </c>
      <c r="N60" s="23" t="s">
        <v>47</v>
      </c>
      <c r="O60" s="23" t="s">
        <v>48</v>
      </c>
    </row>
    <row r="61" spans="1:15" ht="19" customHeight="1">
      <c r="A61" s="16">
        <v>45565</v>
      </c>
      <c r="B61" s="17">
        <v>2024</v>
      </c>
      <c r="C61" s="17" t="s">
        <v>51</v>
      </c>
      <c r="D61" s="17" t="s">
        <v>32</v>
      </c>
      <c r="E61" s="17" t="s">
        <v>33</v>
      </c>
      <c r="F61" s="24">
        <f>'Sources &amp; Checks'!$C$69*'Sources &amp; Checks'!$G$16</f>
        <v>34034.162430009637</v>
      </c>
      <c r="G61" s="25">
        <f>H61*12/F61</f>
        <v>1.5934172454110156E-2</v>
      </c>
      <c r="H61" s="24">
        <f>'Sources &amp; Checks'!$D$69*'Sources &amp; Checks'!$D$16/'Sources &amp; Checks'!$D$19</f>
        <v>45.192184457580858</v>
      </c>
      <c r="I61" s="26">
        <f>F61/F66</f>
        <v>9.6727898346314317E-2</v>
      </c>
      <c r="J61" s="24">
        <f t="shared" si="2"/>
        <v>237.87657044950174</v>
      </c>
      <c r="K61" s="26">
        <f t="shared" si="3"/>
        <v>7.0385417923730653E-3</v>
      </c>
      <c r="L61" s="26" t="str">
        <f>""</f>
        <v/>
      </c>
      <c r="M61" s="17" t="s">
        <v>52</v>
      </c>
      <c r="N61" s="17" t="s">
        <v>35</v>
      </c>
      <c r="O61" s="17" t="s">
        <v>36</v>
      </c>
    </row>
    <row r="62" spans="1:15" ht="19" customHeight="1">
      <c r="A62" s="18">
        <v>45565</v>
      </c>
      <c r="B62" s="19">
        <v>2024</v>
      </c>
      <c r="C62" s="19" t="s">
        <v>51</v>
      </c>
      <c r="D62" s="19" t="s">
        <v>37</v>
      </c>
      <c r="E62" s="19" t="s">
        <v>33</v>
      </c>
      <c r="F62" s="27">
        <f>'Sources &amp; Checks'!$C$69*'Sources &amp; Checks'!$G$17</f>
        <v>212220.09204059053</v>
      </c>
      <c r="G62" s="28">
        <f>H62*12/F62</f>
        <v>3.4545157903254201E-2</v>
      </c>
      <c r="H62" s="27">
        <f>'Sources &amp; Checks'!$D$69*'Sources &amp; Checks'!$D$17/'Sources &amp; Checks'!$D$19</f>
        <v>610.93138248211164</v>
      </c>
      <c r="I62" s="29">
        <f>F62/F66</f>
        <v>0.60314701536029236</v>
      </c>
      <c r="J62" s="27">
        <f t="shared" si="2"/>
        <v>1483.279859726521</v>
      </c>
      <c r="K62" s="29">
        <f t="shared" si="3"/>
        <v>7.0385417923732874E-3</v>
      </c>
      <c r="L62" s="29" t="str">
        <f>""</f>
        <v/>
      </c>
      <c r="M62" s="19" t="s">
        <v>52</v>
      </c>
      <c r="N62" s="19" t="s">
        <v>35</v>
      </c>
      <c r="O62" s="19" t="s">
        <v>36</v>
      </c>
    </row>
    <row r="63" spans="1:15" ht="19" customHeight="1">
      <c r="A63" s="18">
        <v>45565</v>
      </c>
      <c r="B63" s="19">
        <v>2024</v>
      </c>
      <c r="C63" s="19" t="s">
        <v>51</v>
      </c>
      <c r="D63" s="19" t="s">
        <v>38</v>
      </c>
      <c r="E63" s="19" t="s">
        <v>33</v>
      </c>
      <c r="F63" s="27">
        <f>'Sources &amp; Checks'!$C$69*'Sources &amp; Checks'!$G$18</f>
        <v>79193.412196066463</v>
      </c>
      <c r="G63" s="28">
        <f>H63*12/F63</f>
        <v>4.9964090537687057E-2</v>
      </c>
      <c r="H63" s="27">
        <f>'Sources &amp; Checks'!$D$69*'Sources &amp; Checks'!$D$18/'Sources &amp; Checks'!$D$19</f>
        <v>329.73556807938627</v>
      </c>
      <c r="I63" s="29">
        <f>F63/F66</f>
        <v>0.22507421301616901</v>
      </c>
      <c r="J63" s="27">
        <f t="shared" si="2"/>
        <v>553.51023649060517</v>
      </c>
      <c r="K63" s="29">
        <f t="shared" si="3"/>
        <v>7.0385417923732874E-3</v>
      </c>
      <c r="L63" s="29" t="str">
        <f>""</f>
        <v/>
      </c>
      <c r="M63" s="19" t="s">
        <v>52</v>
      </c>
      <c r="N63" s="19" t="s">
        <v>35</v>
      </c>
      <c r="O63" s="19" t="s">
        <v>36</v>
      </c>
    </row>
    <row r="64" spans="1:15" ht="19" customHeight="1">
      <c r="A64" s="20">
        <v>45565</v>
      </c>
      <c r="B64" s="21">
        <v>2024</v>
      </c>
      <c r="C64" s="21" t="s">
        <v>51</v>
      </c>
      <c r="D64" s="21" t="s">
        <v>39</v>
      </c>
      <c r="E64" s="21" t="s">
        <v>33</v>
      </c>
      <c r="F64" s="30">
        <f>SUM(F61:F63)</f>
        <v>325447.66666666663</v>
      </c>
      <c r="G64" s="31">
        <f>H64*12/F64</f>
        <v>3.6350881668314149E-2</v>
      </c>
      <c r="H64" s="30">
        <f>SUM(H61:H63)</f>
        <v>985.85913501907885</v>
      </c>
      <c r="I64" s="32">
        <f>F64/F66</f>
        <v>0.92494912672277574</v>
      </c>
      <c r="J64" s="30">
        <f t="shared" si="2"/>
        <v>2274.6666666666279</v>
      </c>
      <c r="K64" s="32">
        <f t="shared" si="3"/>
        <v>7.0385417923732874E-3</v>
      </c>
      <c r="L64" s="32" t="str">
        <f>""</f>
        <v/>
      </c>
      <c r="M64" s="21" t="s">
        <v>52</v>
      </c>
      <c r="N64" s="21" t="s">
        <v>40</v>
      </c>
      <c r="O64" s="21" t="s">
        <v>41</v>
      </c>
    </row>
    <row r="65" spans="1:15" ht="19" customHeight="1">
      <c r="A65" s="18">
        <v>45565</v>
      </c>
      <c r="B65" s="19">
        <v>2024</v>
      </c>
      <c r="C65" s="19" t="s">
        <v>51</v>
      </c>
      <c r="D65" s="19" t="s">
        <v>42</v>
      </c>
      <c r="E65" s="19" t="s">
        <v>43</v>
      </c>
      <c r="F65" s="27">
        <f>'Sources &amp; Checks'!$J$69</f>
        <v>26407</v>
      </c>
      <c r="G65" s="28">
        <f>0</f>
        <v>0</v>
      </c>
      <c r="H65" s="27">
        <f>0</f>
        <v>0</v>
      </c>
      <c r="I65" s="29">
        <f>F65/F66</f>
        <v>7.5050873277224317E-2</v>
      </c>
      <c r="J65" s="27">
        <f t="shared" si="2"/>
        <v>-133.5</v>
      </c>
      <c r="K65" s="29">
        <f t="shared" si="3"/>
        <v>-5.0300484165709536E-3</v>
      </c>
      <c r="L65" s="29" t="str">
        <f>""</f>
        <v/>
      </c>
      <c r="M65" s="19" t="s">
        <v>52</v>
      </c>
      <c r="N65" s="19" t="s">
        <v>44</v>
      </c>
      <c r="O65" s="19" t="s">
        <v>41</v>
      </c>
    </row>
    <row r="66" spans="1:15" ht="19" customHeight="1">
      <c r="A66" s="22">
        <v>45565</v>
      </c>
      <c r="B66" s="23">
        <v>2024</v>
      </c>
      <c r="C66" s="23" t="s">
        <v>51</v>
      </c>
      <c r="D66" s="23" t="s">
        <v>45</v>
      </c>
      <c r="E66" s="23" t="s">
        <v>46</v>
      </c>
      <c r="F66" s="33">
        <f>SUM(F64,F65)</f>
        <v>351854.66666666663</v>
      </c>
      <c r="G66" s="34">
        <f>H66*12/F66</f>
        <v>3.3622716254710125E-2</v>
      </c>
      <c r="H66" s="33">
        <f>SUM(H64,H65)</f>
        <v>985.85913501907885</v>
      </c>
      <c r="I66" s="35">
        <f>F66/F66</f>
        <v>1</v>
      </c>
      <c r="J66" s="33">
        <f t="shared" si="2"/>
        <v>2141.1666666666279</v>
      </c>
      <c r="K66" s="35">
        <f t="shared" si="3"/>
        <v>6.1226308583073319E-3</v>
      </c>
      <c r="L66" s="35" t="str">
        <f>""</f>
        <v/>
      </c>
      <c r="M66" s="23" t="s">
        <v>52</v>
      </c>
      <c r="N66" s="23" t="s">
        <v>47</v>
      </c>
      <c r="O66" s="23" t="s">
        <v>48</v>
      </c>
    </row>
    <row r="67" spans="1:15" ht="19" customHeight="1">
      <c r="A67" s="16">
        <v>45596</v>
      </c>
      <c r="B67" s="17">
        <v>2024</v>
      </c>
      <c r="C67" s="17" t="s">
        <v>53</v>
      </c>
      <c r="D67" s="17" t="s">
        <v>32</v>
      </c>
      <c r="E67" s="17" t="s">
        <v>33</v>
      </c>
      <c r="F67" s="24">
        <f>'Sources &amp; Checks'!$C$70*'Sources &amp; Checks'!$G$21</f>
        <v>34799.482451802265</v>
      </c>
      <c r="G67" s="25">
        <f>H67*12/F67</f>
        <v>1.4009733055198443E-2</v>
      </c>
      <c r="H67" s="24">
        <f>'Sources &amp; Checks'!$D$70*'Sources &amp; Checks'!$D$21/'Sources &amp; Checks'!$D$24</f>
        <v>40.627621634067694</v>
      </c>
      <c r="I67" s="26">
        <f>F67/F72</f>
        <v>9.7929700958587301E-2</v>
      </c>
      <c r="J67" s="24">
        <f t="shared" si="2"/>
        <v>765.32002179262781</v>
      </c>
      <c r="K67" s="26">
        <f t="shared" si="3"/>
        <v>2.2486818160032174E-2</v>
      </c>
      <c r="L67" s="26" t="str">
        <f>""</f>
        <v/>
      </c>
      <c r="M67" s="17" t="s">
        <v>54</v>
      </c>
      <c r="N67" s="17" t="s">
        <v>35</v>
      </c>
      <c r="O67" s="17" t="s">
        <v>55</v>
      </c>
    </row>
    <row r="68" spans="1:15" ht="19" customHeight="1">
      <c r="A68" s="18">
        <v>45596</v>
      </c>
      <c r="B68" s="19">
        <v>2024</v>
      </c>
      <c r="C68" s="19" t="s">
        <v>53</v>
      </c>
      <c r="D68" s="19" t="s">
        <v>37</v>
      </c>
      <c r="E68" s="19" t="s">
        <v>33</v>
      </c>
      <c r="F68" s="27">
        <f>'Sources &amp; Checks'!$C$70*'Sources &amp; Checks'!$G$22</f>
        <v>215350.8352129948</v>
      </c>
      <c r="G68" s="28">
        <f>H68*12/F68</f>
        <v>3.2835665543324288E-2</v>
      </c>
      <c r="H68" s="27">
        <f>'Sources &amp; Checks'!$D$70*'Sources &amp; Checks'!$D$22/'Sources &amp; Checks'!$D$24</f>
        <v>589.26566662745336</v>
      </c>
      <c r="I68" s="29">
        <f>F68/F72</f>
        <v>0.60602173962786565</v>
      </c>
      <c r="J68" s="27">
        <f t="shared" si="2"/>
        <v>3130.743172404269</v>
      </c>
      <c r="K68" s="29">
        <f t="shared" si="3"/>
        <v>1.4752341035670913E-2</v>
      </c>
      <c r="L68" s="29" t="str">
        <f>""</f>
        <v/>
      </c>
      <c r="M68" s="19" t="s">
        <v>54</v>
      </c>
      <c r="N68" s="19" t="s">
        <v>35</v>
      </c>
      <c r="O68" s="19" t="s">
        <v>55</v>
      </c>
    </row>
    <row r="69" spans="1:15" ht="19" customHeight="1">
      <c r="A69" s="18">
        <v>45596</v>
      </c>
      <c r="B69" s="19">
        <v>2024</v>
      </c>
      <c r="C69" s="19" t="s">
        <v>53</v>
      </c>
      <c r="D69" s="19" t="s">
        <v>38</v>
      </c>
      <c r="E69" s="19" t="s">
        <v>33</v>
      </c>
      <c r="F69" s="27">
        <f>'Sources &amp; Checks'!$C$70*'Sources &amp; Checks'!$G$23</f>
        <v>78359.015668536289</v>
      </c>
      <c r="G69" s="28">
        <f>H69*12/F69</f>
        <v>4.8307207573742357E-2</v>
      </c>
      <c r="H69" s="27">
        <f>'Sources &amp; Checks'!$D$70*'Sources &amp; Checks'!$D$23/'Sources &amp; Checks'!$D$24</f>
        <v>315.44210293117601</v>
      </c>
      <c r="I69" s="29">
        <f>F69/F72</f>
        <v>0.22051118094808322</v>
      </c>
      <c r="J69" s="27">
        <f t="shared" si="2"/>
        <v>-834.39652753017435</v>
      </c>
      <c r="K69" s="29">
        <f t="shared" si="3"/>
        <v>-1.0536186084069477E-2</v>
      </c>
      <c r="L69" s="29" t="str">
        <f>""</f>
        <v/>
      </c>
      <c r="M69" s="19" t="s">
        <v>54</v>
      </c>
      <c r="N69" s="19" t="s">
        <v>35</v>
      </c>
      <c r="O69" s="19" t="s">
        <v>55</v>
      </c>
    </row>
    <row r="70" spans="1:15" ht="19" customHeight="1">
      <c r="A70" s="20">
        <v>45596</v>
      </c>
      <c r="B70" s="21">
        <v>2024</v>
      </c>
      <c r="C70" s="21" t="s">
        <v>53</v>
      </c>
      <c r="D70" s="21" t="s">
        <v>39</v>
      </c>
      <c r="E70" s="21" t="s">
        <v>33</v>
      </c>
      <c r="F70" s="30">
        <f>SUM(F67:F69)</f>
        <v>328509.33333333337</v>
      </c>
      <c r="G70" s="31">
        <f>H70*12/F70</f>
        <v>3.4531818561154115E-2</v>
      </c>
      <c r="H70" s="30">
        <f>SUM(H67:H69)</f>
        <v>945.3353911926971</v>
      </c>
      <c r="I70" s="32">
        <f>F70/F72</f>
        <v>0.92446262153453629</v>
      </c>
      <c r="J70" s="30">
        <f t="shared" si="2"/>
        <v>3061.6666666667443</v>
      </c>
      <c r="K70" s="32">
        <f t="shared" si="3"/>
        <v>9.4075545172138675E-3</v>
      </c>
      <c r="L70" s="32" t="str">
        <f>""</f>
        <v/>
      </c>
      <c r="M70" s="21" t="s">
        <v>54</v>
      </c>
      <c r="N70" s="21" t="s">
        <v>40</v>
      </c>
      <c r="O70" s="21" t="s">
        <v>41</v>
      </c>
    </row>
    <row r="71" spans="1:15" ht="19" customHeight="1">
      <c r="A71" s="18">
        <v>45596</v>
      </c>
      <c r="B71" s="19">
        <v>2024</v>
      </c>
      <c r="C71" s="19" t="s">
        <v>53</v>
      </c>
      <c r="D71" s="19" t="s">
        <v>42</v>
      </c>
      <c r="E71" s="19" t="s">
        <v>43</v>
      </c>
      <c r="F71" s="27">
        <f>'Sources &amp; Checks'!$J$70</f>
        <v>26842.333333333336</v>
      </c>
      <c r="G71" s="28">
        <f>0</f>
        <v>0</v>
      </c>
      <c r="H71" s="27">
        <f>0</f>
        <v>0</v>
      </c>
      <c r="I71" s="29">
        <f>F71/F72</f>
        <v>7.5537378465463795E-2</v>
      </c>
      <c r="J71" s="27">
        <f t="shared" si="2"/>
        <v>435.33333333333576</v>
      </c>
      <c r="K71" s="29">
        <f t="shared" si="3"/>
        <v>1.6485527827217572E-2</v>
      </c>
      <c r="L71" s="29" t="str">
        <f>""</f>
        <v/>
      </c>
      <c r="M71" s="19" t="s">
        <v>54</v>
      </c>
      <c r="N71" s="19" t="s">
        <v>44</v>
      </c>
      <c r="O71" s="19" t="s">
        <v>56</v>
      </c>
    </row>
    <row r="72" spans="1:15" ht="19" customHeight="1">
      <c r="A72" s="22">
        <v>45596</v>
      </c>
      <c r="B72" s="23">
        <v>2024</v>
      </c>
      <c r="C72" s="23" t="s">
        <v>53</v>
      </c>
      <c r="D72" s="23" t="s">
        <v>45</v>
      </c>
      <c r="E72" s="23" t="s">
        <v>46</v>
      </c>
      <c r="F72" s="33">
        <f>SUM(F70,F71)</f>
        <v>355351.66666666669</v>
      </c>
      <c r="G72" s="34">
        <f>H72*12/F72</f>
        <v>3.1923375513399493E-2</v>
      </c>
      <c r="H72" s="33">
        <f>SUM(H70,H71)</f>
        <v>945.3353911926971</v>
      </c>
      <c r="I72" s="35">
        <f>F72/F72</f>
        <v>1</v>
      </c>
      <c r="J72" s="33">
        <f t="shared" si="2"/>
        <v>3497.0000000000582</v>
      </c>
      <c r="K72" s="35">
        <f t="shared" si="3"/>
        <v>9.9387625951625758E-3</v>
      </c>
      <c r="L72" s="35" t="str">
        <f>""</f>
        <v/>
      </c>
      <c r="M72" s="23" t="s">
        <v>54</v>
      </c>
      <c r="N72" s="23" t="s">
        <v>47</v>
      </c>
      <c r="O72" s="23" t="s">
        <v>48</v>
      </c>
    </row>
    <row r="73" spans="1:15" ht="19" customHeight="1">
      <c r="A73" s="16">
        <v>45626</v>
      </c>
      <c r="B73" s="17">
        <v>2024</v>
      </c>
      <c r="C73" s="17" t="s">
        <v>53</v>
      </c>
      <c r="D73" s="17" t="s">
        <v>32</v>
      </c>
      <c r="E73" s="17" t="s">
        <v>33</v>
      </c>
      <c r="F73" s="24">
        <f>'Sources &amp; Checks'!$C$71*'Sources &amp; Checks'!$G$21</f>
        <v>35097.326485133584</v>
      </c>
      <c r="G73" s="25">
        <f>H73*12/F73</f>
        <v>1.4009733055198443E-2</v>
      </c>
      <c r="H73" s="24">
        <f>'Sources &amp; Checks'!$D$71*'Sources &amp; Checks'!$D$21/'Sources &amp; Checks'!$D$24</f>
        <v>40.975347917322317</v>
      </c>
      <c r="I73" s="26">
        <f>F73/F78</f>
        <v>9.7877285678803036E-2</v>
      </c>
      <c r="J73" s="24">
        <f t="shared" si="2"/>
        <v>297.84403333131922</v>
      </c>
      <c r="K73" s="26">
        <f t="shared" si="3"/>
        <v>8.5588638780429438E-3</v>
      </c>
      <c r="L73" s="26" t="str">
        <f>""</f>
        <v/>
      </c>
      <c r="M73" s="17" t="s">
        <v>54</v>
      </c>
      <c r="N73" s="17" t="s">
        <v>35</v>
      </c>
      <c r="O73" s="17" t="s">
        <v>55</v>
      </c>
    </row>
    <row r="74" spans="1:15" ht="19" customHeight="1">
      <c r="A74" s="18">
        <v>45626</v>
      </c>
      <c r="B74" s="19">
        <v>2024</v>
      </c>
      <c r="C74" s="19" t="s">
        <v>53</v>
      </c>
      <c r="D74" s="19" t="s">
        <v>37</v>
      </c>
      <c r="E74" s="19" t="s">
        <v>33</v>
      </c>
      <c r="F74" s="27">
        <f>'Sources &amp; Checks'!$C$71*'Sources &amp; Checks'!$G$22</f>
        <v>217193.99369760568</v>
      </c>
      <c r="G74" s="28">
        <f>H74*12/F74</f>
        <v>3.2835665543324295E-2</v>
      </c>
      <c r="H74" s="27">
        <f>'Sources &amp; Checks'!$D$71*'Sources &amp; Checks'!$D$22/'Sources &amp; Checks'!$D$24</f>
        <v>594.30911125612204</v>
      </c>
      <c r="I74" s="29">
        <f>F74/F78</f>
        <v>0.60569737634760423</v>
      </c>
      <c r="J74" s="27">
        <f t="shared" si="2"/>
        <v>1843.1584846108744</v>
      </c>
      <c r="K74" s="29">
        <f t="shared" si="3"/>
        <v>8.5588638780429438E-3</v>
      </c>
      <c r="L74" s="29" t="str">
        <f>""</f>
        <v/>
      </c>
      <c r="M74" s="19" t="s">
        <v>54</v>
      </c>
      <c r="N74" s="19" t="s">
        <v>35</v>
      </c>
      <c r="O74" s="19" t="s">
        <v>55</v>
      </c>
    </row>
    <row r="75" spans="1:15" ht="19" customHeight="1">
      <c r="A75" s="18">
        <v>45626</v>
      </c>
      <c r="B75" s="19">
        <v>2024</v>
      </c>
      <c r="C75" s="19" t="s">
        <v>53</v>
      </c>
      <c r="D75" s="19" t="s">
        <v>38</v>
      </c>
      <c r="E75" s="19" t="s">
        <v>33</v>
      </c>
      <c r="F75" s="27">
        <f>'Sources &amp; Checks'!$C$71*'Sources &amp; Checks'!$G$23</f>
        <v>79029.679817260723</v>
      </c>
      <c r="G75" s="28">
        <f>H75*12/F75</f>
        <v>4.8307207573742364E-2</v>
      </c>
      <c r="H75" s="27">
        <f>'Sources &amp; Checks'!$D$71*'Sources &amp; Checks'!$D$23/'Sources &amp; Checks'!$D$24</f>
        <v>318.14192895156759</v>
      </c>
      <c r="I75" s="29">
        <f>F75/F78</f>
        <v>0.22039315592470607</v>
      </c>
      <c r="J75" s="27">
        <f t="shared" si="2"/>
        <v>670.6641487244342</v>
      </c>
      <c r="K75" s="29">
        <f t="shared" si="3"/>
        <v>8.5588638780429438E-3</v>
      </c>
      <c r="L75" s="29" t="str">
        <f>""</f>
        <v/>
      </c>
      <c r="M75" s="19" t="s">
        <v>54</v>
      </c>
      <c r="N75" s="19" t="s">
        <v>35</v>
      </c>
      <c r="O75" s="19" t="s">
        <v>55</v>
      </c>
    </row>
    <row r="76" spans="1:15" ht="19" customHeight="1">
      <c r="A76" s="20">
        <v>45626</v>
      </c>
      <c r="B76" s="21">
        <v>2024</v>
      </c>
      <c r="C76" s="21" t="s">
        <v>53</v>
      </c>
      <c r="D76" s="21" t="s">
        <v>39</v>
      </c>
      <c r="E76" s="21" t="s">
        <v>33</v>
      </c>
      <c r="F76" s="30">
        <f>SUM(F73:F75)</f>
        <v>331321</v>
      </c>
      <c r="G76" s="31">
        <f>H76*12/F76</f>
        <v>3.4531818561154122E-2</v>
      </c>
      <c r="H76" s="30">
        <f>SUM(H73:H75)</f>
        <v>953.42638812501195</v>
      </c>
      <c r="I76" s="32">
        <f>F76/F78</f>
        <v>0.92396781795111338</v>
      </c>
      <c r="J76" s="30">
        <f t="shared" si="2"/>
        <v>2811.6666666666279</v>
      </c>
      <c r="K76" s="32">
        <f t="shared" si="3"/>
        <v>8.5588638780429438E-3</v>
      </c>
      <c r="L76" s="32" t="str">
        <f>""</f>
        <v/>
      </c>
      <c r="M76" s="21" t="s">
        <v>54</v>
      </c>
      <c r="N76" s="21" t="s">
        <v>40</v>
      </c>
      <c r="O76" s="21" t="s">
        <v>41</v>
      </c>
    </row>
    <row r="77" spans="1:15" ht="19" customHeight="1">
      <c r="A77" s="18">
        <v>45626</v>
      </c>
      <c r="B77" s="19">
        <v>2024</v>
      </c>
      <c r="C77" s="19" t="s">
        <v>53</v>
      </c>
      <c r="D77" s="19" t="s">
        <v>42</v>
      </c>
      <c r="E77" s="19" t="s">
        <v>43</v>
      </c>
      <c r="F77" s="27">
        <f>'Sources &amp; Checks'!$J$71</f>
        <v>27264</v>
      </c>
      <c r="G77" s="28">
        <f>0</f>
        <v>0</v>
      </c>
      <c r="H77" s="27">
        <f>0</f>
        <v>0</v>
      </c>
      <c r="I77" s="29">
        <f>F77/F78</f>
        <v>7.6032182048886593E-2</v>
      </c>
      <c r="J77" s="27">
        <f t="shared" si="2"/>
        <v>421.66666666666424</v>
      </c>
      <c r="K77" s="29">
        <f t="shared" si="3"/>
        <v>1.570901685149062E-2</v>
      </c>
      <c r="L77" s="29" t="str">
        <f>""</f>
        <v/>
      </c>
      <c r="M77" s="19" t="s">
        <v>54</v>
      </c>
      <c r="N77" s="19" t="s">
        <v>44</v>
      </c>
      <c r="O77" s="19" t="s">
        <v>56</v>
      </c>
    </row>
    <row r="78" spans="1:15" ht="19" customHeight="1">
      <c r="A78" s="22">
        <v>45626</v>
      </c>
      <c r="B78" s="23">
        <v>2024</v>
      </c>
      <c r="C78" s="23" t="s">
        <v>53</v>
      </c>
      <c r="D78" s="23" t="s">
        <v>45</v>
      </c>
      <c r="E78" s="23" t="s">
        <v>46</v>
      </c>
      <c r="F78" s="33">
        <f>SUM(F76,F77)</f>
        <v>358585</v>
      </c>
      <c r="G78" s="34">
        <f>H78*12/F78</f>
        <v>3.1906289045833328E-2</v>
      </c>
      <c r="H78" s="33">
        <f>SUM(H76,H77)</f>
        <v>953.42638812501195</v>
      </c>
      <c r="I78" s="35">
        <f>F78/F78</f>
        <v>1</v>
      </c>
      <c r="J78" s="33">
        <f t="shared" si="2"/>
        <v>3233.3333333333139</v>
      </c>
      <c r="K78" s="35">
        <f t="shared" si="3"/>
        <v>9.0989676892843097E-3</v>
      </c>
      <c r="L78" s="35" t="str">
        <f>""</f>
        <v/>
      </c>
      <c r="M78" s="23" t="s">
        <v>54</v>
      </c>
      <c r="N78" s="23" t="s">
        <v>47</v>
      </c>
      <c r="O78" s="23" t="s">
        <v>48</v>
      </c>
    </row>
    <row r="79" spans="1:15" ht="19" customHeight="1">
      <c r="A79" s="16">
        <v>45657</v>
      </c>
      <c r="B79" s="17">
        <v>2024</v>
      </c>
      <c r="C79" s="17" t="s">
        <v>53</v>
      </c>
      <c r="D79" s="17" t="s">
        <v>32</v>
      </c>
      <c r="E79" s="17" t="s">
        <v>33</v>
      </c>
      <c r="F79" s="24">
        <f>'Sources &amp; Checks'!$C$72*'Sources &amp; Checks'!$G$21</f>
        <v>35458.517548197735</v>
      </c>
      <c r="G79" s="25">
        <f>H79*12/F79</f>
        <v>1.4009733055198441E-2</v>
      </c>
      <c r="H79" s="24">
        <f>'Sources &amp; Checks'!$D$72*'Sources &amp; Checks'!$D$21/'Sources &amp; Checks'!$D$24</f>
        <v>41.397030448609982</v>
      </c>
      <c r="I79" s="26">
        <f>F79/F84</f>
        <v>9.8113692906053193E-2</v>
      </c>
      <c r="J79" s="24">
        <f t="shared" si="2"/>
        <v>361.19106306415051</v>
      </c>
      <c r="K79" s="26">
        <f t="shared" si="3"/>
        <v>1.0291127536940614E-2</v>
      </c>
      <c r="L79" s="26" t="str">
        <f>""</f>
        <v/>
      </c>
      <c r="M79" s="17" t="s">
        <v>54</v>
      </c>
      <c r="N79" s="17" t="s">
        <v>35</v>
      </c>
      <c r="O79" s="17" t="s">
        <v>55</v>
      </c>
    </row>
    <row r="80" spans="1:15" ht="19" customHeight="1">
      <c r="A80" s="18">
        <v>45657</v>
      </c>
      <c r="B80" s="19">
        <v>2024</v>
      </c>
      <c r="C80" s="19" t="s">
        <v>53</v>
      </c>
      <c r="D80" s="19" t="s">
        <v>37</v>
      </c>
      <c r="E80" s="19" t="s">
        <v>33</v>
      </c>
      <c r="F80" s="27">
        <f>'Sources &amp; Checks'!$C$72*'Sources &amp; Checks'!$G$22</f>
        <v>219429.16478700517</v>
      </c>
      <c r="G80" s="28">
        <f>H80*12/F80</f>
        <v>3.2835665543324295E-2</v>
      </c>
      <c r="H80" s="27">
        <f>'Sources &amp; Checks'!$D$72*'Sources &amp; Checks'!$D$22/'Sources &amp; Checks'!$D$24</f>
        <v>600.42522211642449</v>
      </c>
      <c r="I80" s="29">
        <f>F80/F84</f>
        <v>0.60716034333020863</v>
      </c>
      <c r="J80" s="27">
        <f t="shared" si="2"/>
        <v>2235.1710893994896</v>
      </c>
      <c r="K80" s="29">
        <f t="shared" si="3"/>
        <v>1.0291127536940392E-2</v>
      </c>
      <c r="L80" s="29" t="str">
        <f>""</f>
        <v/>
      </c>
      <c r="M80" s="19" t="s">
        <v>54</v>
      </c>
      <c r="N80" s="19" t="s">
        <v>35</v>
      </c>
      <c r="O80" s="19" t="s">
        <v>55</v>
      </c>
    </row>
    <row r="81" spans="1:15" ht="19" customHeight="1">
      <c r="A81" s="18">
        <v>45657</v>
      </c>
      <c r="B81" s="19">
        <v>2024</v>
      </c>
      <c r="C81" s="19" t="s">
        <v>53</v>
      </c>
      <c r="D81" s="19" t="s">
        <v>38</v>
      </c>
      <c r="E81" s="19" t="s">
        <v>33</v>
      </c>
      <c r="F81" s="27">
        <f>'Sources &amp; Checks'!$C$72*'Sources &amp; Checks'!$G$23</f>
        <v>79842.984331463711</v>
      </c>
      <c r="G81" s="28">
        <f>H81*12/F81</f>
        <v>4.8307207573742364E-2</v>
      </c>
      <c r="H81" s="27">
        <f>'Sources &amp; Checks'!$D$72*'Sources &amp; Checks'!$D$23/'Sources &amp; Checks'!$D$24</f>
        <v>321.4159681172564</v>
      </c>
      <c r="I81" s="29">
        <f>F81/F84</f>
        <v>0.22092548101459514</v>
      </c>
      <c r="J81" s="27">
        <f t="shared" si="2"/>
        <v>813.30451420298778</v>
      </c>
      <c r="K81" s="29">
        <f t="shared" si="3"/>
        <v>1.0291127536940392E-2</v>
      </c>
      <c r="L81" s="29" t="str">
        <f>""</f>
        <v/>
      </c>
      <c r="M81" s="19" t="s">
        <v>54</v>
      </c>
      <c r="N81" s="19" t="s">
        <v>35</v>
      </c>
      <c r="O81" s="19" t="s">
        <v>55</v>
      </c>
    </row>
    <row r="82" spans="1:15" ht="19" customHeight="1">
      <c r="A82" s="20">
        <v>45657</v>
      </c>
      <c r="B82" s="21">
        <v>2024</v>
      </c>
      <c r="C82" s="21" t="s">
        <v>53</v>
      </c>
      <c r="D82" s="21" t="s">
        <v>39</v>
      </c>
      <c r="E82" s="21" t="s">
        <v>33</v>
      </c>
      <c r="F82" s="30">
        <f>SUM(F79:F81)</f>
        <v>334730.66666666663</v>
      </c>
      <c r="G82" s="31">
        <f>H82*12/F82</f>
        <v>3.4531818561154115E-2</v>
      </c>
      <c r="H82" s="30">
        <f>SUM(H79:H81)</f>
        <v>963.23822068229083</v>
      </c>
      <c r="I82" s="32">
        <f>F82/F84</f>
        <v>0.92619951725085703</v>
      </c>
      <c r="J82" s="30">
        <f t="shared" si="2"/>
        <v>3409.6666666666279</v>
      </c>
      <c r="K82" s="32">
        <f t="shared" si="3"/>
        <v>1.0291127536940392E-2</v>
      </c>
      <c r="L82" s="32" t="str">
        <f>""</f>
        <v/>
      </c>
      <c r="M82" s="21" t="s">
        <v>54</v>
      </c>
      <c r="N82" s="21" t="s">
        <v>40</v>
      </c>
      <c r="O82" s="21" t="s">
        <v>41</v>
      </c>
    </row>
    <row r="83" spans="1:15" ht="19" customHeight="1">
      <c r="A83" s="18">
        <v>45657</v>
      </c>
      <c r="B83" s="19">
        <v>2024</v>
      </c>
      <c r="C83" s="19" t="s">
        <v>53</v>
      </c>
      <c r="D83" s="19" t="s">
        <v>42</v>
      </c>
      <c r="E83" s="19" t="s">
        <v>43</v>
      </c>
      <c r="F83" s="27">
        <f>'Sources &amp; Checks'!$J$72</f>
        <v>26671.666666666664</v>
      </c>
      <c r="G83" s="28">
        <f>0</f>
        <v>0</v>
      </c>
      <c r="H83" s="27">
        <f>0</f>
        <v>0</v>
      </c>
      <c r="I83" s="29">
        <f>F83/F84</f>
        <v>7.3800482749142915E-2</v>
      </c>
      <c r="J83" s="27">
        <f t="shared" ref="J83:J114" si="4">F83-F77</f>
        <v>-592.33333333333576</v>
      </c>
      <c r="K83" s="29">
        <f t="shared" ref="K83:K114" si="5">IF(F77=0,"n.a.",F83/F77-1)</f>
        <v>-2.1725841158059533E-2</v>
      </c>
      <c r="L83" s="29" t="str">
        <f>""</f>
        <v/>
      </c>
      <c r="M83" s="19" t="s">
        <v>54</v>
      </c>
      <c r="N83" s="19" t="s">
        <v>44</v>
      </c>
      <c r="O83" s="19" t="s">
        <v>56</v>
      </c>
    </row>
    <row r="84" spans="1:15" ht="19" customHeight="1">
      <c r="A84" s="22">
        <v>45657</v>
      </c>
      <c r="B84" s="23">
        <v>2024</v>
      </c>
      <c r="C84" s="23" t="s">
        <v>53</v>
      </c>
      <c r="D84" s="23" t="s">
        <v>45</v>
      </c>
      <c r="E84" s="23" t="s">
        <v>46</v>
      </c>
      <c r="F84" s="33">
        <f>SUM(F82,F83)</f>
        <v>361402.33333333331</v>
      </c>
      <c r="G84" s="34">
        <f>H84*12/F84</f>
        <v>3.1983353681135127E-2</v>
      </c>
      <c r="H84" s="33">
        <f>SUM(H82,H83)</f>
        <v>963.23822068229083</v>
      </c>
      <c r="I84" s="35">
        <f>F84/F84</f>
        <v>1</v>
      </c>
      <c r="J84" s="33">
        <f t="shared" si="4"/>
        <v>2817.3333333333139</v>
      </c>
      <c r="K84" s="35">
        <f t="shared" si="5"/>
        <v>7.8568075444687135E-3</v>
      </c>
      <c r="L84" s="35" t="str">
        <f>""</f>
        <v/>
      </c>
      <c r="M84" s="23" t="s">
        <v>54</v>
      </c>
      <c r="N84" s="23" t="s">
        <v>47</v>
      </c>
      <c r="O84" s="23" t="s">
        <v>48</v>
      </c>
    </row>
    <row r="85" spans="1:15" ht="19" customHeight="1">
      <c r="A85" s="16">
        <v>45688</v>
      </c>
      <c r="B85" s="17">
        <v>2025</v>
      </c>
      <c r="C85" s="17" t="s">
        <v>31</v>
      </c>
      <c r="D85" s="17" t="s">
        <v>32</v>
      </c>
      <c r="E85" s="17" t="s">
        <v>33</v>
      </c>
      <c r="F85" s="24">
        <f>'Sources &amp; Checks'!$C$73*'Sources &amp; Checks'!$G$26</f>
        <v>36128.227548543691</v>
      </c>
      <c r="G85" s="25">
        <f>H85*12/F85</f>
        <v>1.3130475217706872E-2</v>
      </c>
      <c r="H85" s="24">
        <f>'Sources &amp; Checks'!$D$73*'Sources &amp; Checks'!$D$26/'Sources &amp; Checks'!$D$29</f>
        <v>39.531733040485641</v>
      </c>
      <c r="I85" s="26">
        <f>F85/F90</f>
        <v>9.9666183878492201E-2</v>
      </c>
      <c r="J85" s="24">
        <f t="shared" si="4"/>
        <v>669.71000034595636</v>
      </c>
      <c r="K85" s="26">
        <f t="shared" si="5"/>
        <v>1.8887140429253435E-2</v>
      </c>
      <c r="L85" s="26">
        <f t="shared" ref="L85:L116" si="6">IF(F13=0,"n.a.",F85/F13-1)</f>
        <v>1.4944609458754421E-2</v>
      </c>
      <c r="M85" s="17" t="s">
        <v>57</v>
      </c>
      <c r="N85" s="17" t="s">
        <v>35</v>
      </c>
      <c r="O85" s="17" t="s">
        <v>36</v>
      </c>
    </row>
    <row r="86" spans="1:15" ht="19" customHeight="1">
      <c r="A86" s="18">
        <v>45688</v>
      </c>
      <c r="B86" s="19">
        <v>2025</v>
      </c>
      <c r="C86" s="19" t="s">
        <v>31</v>
      </c>
      <c r="D86" s="19" t="s">
        <v>37</v>
      </c>
      <c r="E86" s="19" t="s">
        <v>33</v>
      </c>
      <c r="F86" s="27">
        <f>'Sources &amp; Checks'!$C$73*'Sources &amp; Checks'!$G$27</f>
        <v>226795.8569934486</v>
      </c>
      <c r="G86" s="28">
        <f>H86*12/F86</f>
        <v>3.1076155250396597E-2</v>
      </c>
      <c r="H86" s="27">
        <f>'Sources &amp; Checks'!$D$73*'Sources &amp; Checks'!$D$27/'Sources &amp; Checks'!$D$29</f>
        <v>587.32860517292943</v>
      </c>
      <c r="I86" s="29">
        <f>F86/F90</f>
        <v>0.62565697571566636</v>
      </c>
      <c r="J86" s="27">
        <f t="shared" si="4"/>
        <v>7366.692206443433</v>
      </c>
      <c r="K86" s="29">
        <f t="shared" si="5"/>
        <v>3.3572074220826975E-2</v>
      </c>
      <c r="L86" s="29">
        <f t="shared" si="6"/>
        <v>0.10105675823574578</v>
      </c>
      <c r="M86" s="19" t="s">
        <v>57</v>
      </c>
      <c r="N86" s="19" t="s">
        <v>35</v>
      </c>
      <c r="O86" s="19" t="s">
        <v>36</v>
      </c>
    </row>
    <row r="87" spans="1:15" ht="19" customHeight="1">
      <c r="A87" s="18">
        <v>45688</v>
      </c>
      <c r="B87" s="19">
        <v>2025</v>
      </c>
      <c r="C87" s="19" t="s">
        <v>31</v>
      </c>
      <c r="D87" s="19" t="s">
        <v>38</v>
      </c>
      <c r="E87" s="19" t="s">
        <v>33</v>
      </c>
      <c r="F87" s="27">
        <f>'Sources &amp; Checks'!$C$73*'Sources &amp; Checks'!$G$28</f>
        <v>73456.248791341073</v>
      </c>
      <c r="G87" s="28">
        <f>H87*12/F87</f>
        <v>4.4934687837625865E-2</v>
      </c>
      <c r="H87" s="27">
        <f>'Sources &amp; Checks'!$D$73*'Sources &amp; Checks'!$D$28/'Sources &amp; Checks'!$D$29</f>
        <v>275.06113409682445</v>
      </c>
      <c r="I87" s="29">
        <f>F87/F90</f>
        <v>0.20264221346660499</v>
      </c>
      <c r="J87" s="27">
        <f t="shared" si="4"/>
        <v>-6386.7355401226378</v>
      </c>
      <c r="K87" s="29">
        <f t="shared" si="5"/>
        <v>-7.9991192633888319E-2</v>
      </c>
      <c r="L87" s="29">
        <f t="shared" si="6"/>
        <v>-3.2017278203537614E-2</v>
      </c>
      <c r="M87" s="19" t="s">
        <v>57</v>
      </c>
      <c r="N87" s="19" t="s">
        <v>35</v>
      </c>
      <c r="O87" s="19" t="s">
        <v>36</v>
      </c>
    </row>
    <row r="88" spans="1:15" ht="19" customHeight="1">
      <c r="A88" s="20">
        <v>45688</v>
      </c>
      <c r="B88" s="21">
        <v>2025</v>
      </c>
      <c r="C88" s="21" t="s">
        <v>31</v>
      </c>
      <c r="D88" s="21" t="s">
        <v>39</v>
      </c>
      <c r="E88" s="21" t="s">
        <v>33</v>
      </c>
      <c r="F88" s="30">
        <f>SUM(F85:F87)</f>
        <v>336380.33333333337</v>
      </c>
      <c r="G88" s="31">
        <f>H88*12/F88</f>
        <v>3.2175060772645862E-2</v>
      </c>
      <c r="H88" s="30">
        <f>SUM(H85:H87)</f>
        <v>901.92147231023955</v>
      </c>
      <c r="I88" s="32">
        <f>F88/F90</f>
        <v>0.92796537306076354</v>
      </c>
      <c r="J88" s="30">
        <f t="shared" si="4"/>
        <v>1649.6666666667443</v>
      </c>
      <c r="K88" s="32">
        <f t="shared" si="5"/>
        <v>4.9283403970556972E-3</v>
      </c>
      <c r="L88" s="32">
        <f t="shared" si="6"/>
        <v>5.9591321595107827E-2</v>
      </c>
      <c r="M88" s="21" t="s">
        <v>57</v>
      </c>
      <c r="N88" s="21" t="s">
        <v>40</v>
      </c>
      <c r="O88" s="21" t="s">
        <v>41</v>
      </c>
    </row>
    <row r="89" spans="1:15" ht="19" customHeight="1">
      <c r="A89" s="18">
        <v>45688</v>
      </c>
      <c r="B89" s="19">
        <v>2025</v>
      </c>
      <c r="C89" s="19" t="s">
        <v>31</v>
      </c>
      <c r="D89" s="19" t="s">
        <v>42</v>
      </c>
      <c r="E89" s="19" t="s">
        <v>43</v>
      </c>
      <c r="F89" s="27">
        <f>'Sources &amp; Checks'!$J$73</f>
        <v>26112</v>
      </c>
      <c r="G89" s="28">
        <f>0</f>
        <v>0</v>
      </c>
      <c r="H89" s="27">
        <f>0</f>
        <v>0</v>
      </c>
      <c r="I89" s="29">
        <f>F89/F90</f>
        <v>7.2034626939236415E-2</v>
      </c>
      <c r="J89" s="27">
        <f t="shared" si="4"/>
        <v>-559.66666666666424</v>
      </c>
      <c r="K89" s="29">
        <f t="shared" si="5"/>
        <v>-2.0983565581453423E-2</v>
      </c>
      <c r="L89" s="29">
        <f t="shared" si="6"/>
        <v>-4.500902130979656E-2</v>
      </c>
      <c r="M89" s="19" t="s">
        <v>57</v>
      </c>
      <c r="N89" s="19" t="s">
        <v>44</v>
      </c>
      <c r="O89" s="19" t="s">
        <v>41</v>
      </c>
    </row>
    <row r="90" spans="1:15" ht="19" customHeight="1">
      <c r="A90" s="22">
        <v>45688</v>
      </c>
      <c r="B90" s="23">
        <v>2025</v>
      </c>
      <c r="C90" s="23" t="s">
        <v>31</v>
      </c>
      <c r="D90" s="23" t="s">
        <v>45</v>
      </c>
      <c r="E90" s="23" t="s">
        <v>46</v>
      </c>
      <c r="F90" s="33">
        <f>SUM(F88,F89)</f>
        <v>362492.33333333337</v>
      </c>
      <c r="G90" s="34">
        <f>H90*12/F90</f>
        <v>2.985734227314106E-2</v>
      </c>
      <c r="H90" s="33">
        <f>SUM(H88,H89)</f>
        <v>901.92147231023955</v>
      </c>
      <c r="I90" s="35">
        <f>F90/F90</f>
        <v>1</v>
      </c>
      <c r="J90" s="33">
        <f t="shared" si="4"/>
        <v>1090.0000000000582</v>
      </c>
      <c r="K90" s="35">
        <f t="shared" si="5"/>
        <v>3.0160292268912592E-3</v>
      </c>
      <c r="L90" s="35">
        <f t="shared" si="6"/>
        <v>5.1296626595708661E-2</v>
      </c>
      <c r="M90" s="23" t="s">
        <v>57</v>
      </c>
      <c r="N90" s="23" t="s">
        <v>47</v>
      </c>
      <c r="O90" s="23" t="s">
        <v>48</v>
      </c>
    </row>
    <row r="91" spans="1:15" ht="19" customHeight="1">
      <c r="A91" s="16">
        <v>45716</v>
      </c>
      <c r="B91" s="17">
        <v>2025</v>
      </c>
      <c r="C91" s="17" t="s">
        <v>31</v>
      </c>
      <c r="D91" s="17" t="s">
        <v>32</v>
      </c>
      <c r="E91" s="17" t="s">
        <v>33</v>
      </c>
      <c r="F91" s="24">
        <f>'Sources &amp; Checks'!$C$74*'Sources &amp; Checks'!$G$26</f>
        <v>36184.631978155339</v>
      </c>
      <c r="G91" s="25">
        <f>H91*12/F91</f>
        <v>1.3130475217706872E-2</v>
      </c>
      <c r="H91" s="24">
        <f>'Sources &amp; Checks'!$D$74*'Sources &amp; Checks'!$D$26/'Sources &amp; Checks'!$D$29</f>
        <v>39.593451120917692</v>
      </c>
      <c r="I91" s="26">
        <f>F91/F96</f>
        <v>9.9662825754654641E-2</v>
      </c>
      <c r="J91" s="24">
        <f t="shared" si="4"/>
        <v>56.404429611648084</v>
      </c>
      <c r="K91" s="26">
        <f t="shared" si="5"/>
        <v>1.5612288074708935E-3</v>
      </c>
      <c r="L91" s="26">
        <f t="shared" si="6"/>
        <v>2.4379374883193305E-2</v>
      </c>
      <c r="M91" s="17" t="s">
        <v>57</v>
      </c>
      <c r="N91" s="17" t="s">
        <v>35</v>
      </c>
      <c r="O91" s="17" t="s">
        <v>36</v>
      </c>
    </row>
    <row r="92" spans="1:15" ht="19" customHeight="1">
      <c r="A92" s="18">
        <v>45716</v>
      </c>
      <c r="B92" s="19">
        <v>2025</v>
      </c>
      <c r="C92" s="19" t="s">
        <v>31</v>
      </c>
      <c r="D92" s="19" t="s">
        <v>37</v>
      </c>
      <c r="E92" s="19" t="s">
        <v>33</v>
      </c>
      <c r="F92" s="27">
        <f>'Sources &amp; Checks'!$C$74*'Sources &amp; Checks'!$G$27</f>
        <v>227149.93721880179</v>
      </c>
      <c r="G92" s="28">
        <f>H92*12/F92</f>
        <v>3.1076155250396597E-2</v>
      </c>
      <c r="H92" s="27">
        <f>'Sources &amp; Checks'!$D$74*'Sources &amp; Checks'!$D$27/'Sources &amp; Checks'!$D$29</f>
        <v>588.24555951077707</v>
      </c>
      <c r="I92" s="29">
        <f>F92/F96</f>
        <v>0.62563589500882555</v>
      </c>
      <c r="J92" s="27">
        <f t="shared" si="4"/>
        <v>354.08022535318742</v>
      </c>
      <c r="K92" s="29">
        <f t="shared" si="5"/>
        <v>1.5612288074706715E-3</v>
      </c>
      <c r="L92" s="29">
        <f t="shared" si="6"/>
        <v>0.11129200864856115</v>
      </c>
      <c r="M92" s="19" t="s">
        <v>57</v>
      </c>
      <c r="N92" s="19" t="s">
        <v>35</v>
      </c>
      <c r="O92" s="19" t="s">
        <v>36</v>
      </c>
    </row>
    <row r="93" spans="1:15" ht="19" customHeight="1">
      <c r="A93" s="18">
        <v>45716</v>
      </c>
      <c r="B93" s="19">
        <v>2025</v>
      </c>
      <c r="C93" s="19" t="s">
        <v>31</v>
      </c>
      <c r="D93" s="19" t="s">
        <v>38</v>
      </c>
      <c r="E93" s="19" t="s">
        <v>33</v>
      </c>
      <c r="F93" s="27">
        <f>'Sources &amp; Checks'!$C$74*'Sources &amp; Checks'!$G$28</f>
        <v>73570.930803042866</v>
      </c>
      <c r="G93" s="28">
        <f>H93*12/F93</f>
        <v>4.4934687837625852E-2</v>
      </c>
      <c r="H93" s="27">
        <f>'Sources &amp; Checks'!$D$74*'Sources &amp; Checks'!$D$28/'Sources &amp; Checks'!$D$29</f>
        <v>275.49056746319195</v>
      </c>
      <c r="I93" s="29">
        <f>F93/F96</f>
        <v>0.20263538569793707</v>
      </c>
      <c r="J93" s="27">
        <f t="shared" si="4"/>
        <v>114.68201170179236</v>
      </c>
      <c r="K93" s="29">
        <f t="shared" si="5"/>
        <v>1.5612288074708935E-3</v>
      </c>
      <c r="L93" s="29">
        <f t="shared" si="6"/>
        <v>-2.3019063099040449E-2</v>
      </c>
      <c r="M93" s="19" t="s">
        <v>57</v>
      </c>
      <c r="N93" s="19" t="s">
        <v>35</v>
      </c>
      <c r="O93" s="19" t="s">
        <v>36</v>
      </c>
    </row>
    <row r="94" spans="1:15" ht="19" customHeight="1">
      <c r="A94" s="20">
        <v>45716</v>
      </c>
      <c r="B94" s="21">
        <v>2025</v>
      </c>
      <c r="C94" s="21" t="s">
        <v>31</v>
      </c>
      <c r="D94" s="21" t="s">
        <v>39</v>
      </c>
      <c r="E94" s="21" t="s">
        <v>33</v>
      </c>
      <c r="F94" s="30">
        <f>SUM(F91:F93)</f>
        <v>336905.5</v>
      </c>
      <c r="G94" s="31">
        <f>H94*12/F94</f>
        <v>3.2175060772645869E-2</v>
      </c>
      <c r="H94" s="30">
        <f>SUM(H91:H93)</f>
        <v>903.32957809488676</v>
      </c>
      <c r="I94" s="32">
        <f>F94/F96</f>
        <v>0.92793410646141727</v>
      </c>
      <c r="J94" s="30">
        <f t="shared" si="4"/>
        <v>525.16666666662786</v>
      </c>
      <c r="K94" s="32">
        <f t="shared" si="5"/>
        <v>1.5612288074708935E-3</v>
      </c>
      <c r="L94" s="32">
        <f t="shared" si="6"/>
        <v>6.9441115832009404E-2</v>
      </c>
      <c r="M94" s="21" t="s">
        <v>57</v>
      </c>
      <c r="N94" s="21" t="s">
        <v>40</v>
      </c>
      <c r="O94" s="21" t="s">
        <v>41</v>
      </c>
    </row>
    <row r="95" spans="1:15" ht="19" customHeight="1">
      <c r="A95" s="18">
        <v>45716</v>
      </c>
      <c r="B95" s="19">
        <v>2025</v>
      </c>
      <c r="C95" s="19" t="s">
        <v>31</v>
      </c>
      <c r="D95" s="19" t="s">
        <v>42</v>
      </c>
      <c r="E95" s="19" t="s">
        <v>43</v>
      </c>
      <c r="F95" s="27">
        <f>'Sources &amp; Checks'!$J$74</f>
        <v>26165</v>
      </c>
      <c r="G95" s="28">
        <f>0</f>
        <v>0</v>
      </c>
      <c r="H95" s="27">
        <f>0</f>
        <v>0</v>
      </c>
      <c r="I95" s="29">
        <f>F95/F96</f>
        <v>7.2065893538582726E-2</v>
      </c>
      <c r="J95" s="27">
        <f t="shared" si="4"/>
        <v>53</v>
      </c>
      <c r="K95" s="29">
        <f t="shared" si="5"/>
        <v>2.0297181372548323E-3</v>
      </c>
      <c r="L95" s="29">
        <f t="shared" si="6"/>
        <v>-1.6112959933818449E-2</v>
      </c>
      <c r="M95" s="19" t="s">
        <v>57</v>
      </c>
      <c r="N95" s="19" t="s">
        <v>44</v>
      </c>
      <c r="O95" s="19" t="s">
        <v>41</v>
      </c>
    </row>
    <row r="96" spans="1:15" ht="19" customHeight="1">
      <c r="A96" s="22">
        <v>45716</v>
      </c>
      <c r="B96" s="23">
        <v>2025</v>
      </c>
      <c r="C96" s="23" t="s">
        <v>31</v>
      </c>
      <c r="D96" s="23" t="s">
        <v>45</v>
      </c>
      <c r="E96" s="23" t="s">
        <v>46</v>
      </c>
      <c r="F96" s="33">
        <f>SUM(F94,F95)</f>
        <v>363070.5</v>
      </c>
      <c r="G96" s="34">
        <f>H96*12/F96</f>
        <v>2.985633626840694E-2</v>
      </c>
      <c r="H96" s="33">
        <f>SUM(H94,H95)</f>
        <v>903.32957809488676</v>
      </c>
      <c r="I96" s="35">
        <f>F96/F96</f>
        <v>1</v>
      </c>
      <c r="J96" s="33">
        <f t="shared" si="4"/>
        <v>578.16666666662786</v>
      </c>
      <c r="K96" s="35">
        <f t="shared" si="5"/>
        <v>1.594976261566794E-3</v>
      </c>
      <c r="L96" s="35">
        <f t="shared" si="6"/>
        <v>6.2781194474610835E-2</v>
      </c>
      <c r="M96" s="23" t="s">
        <v>57</v>
      </c>
      <c r="N96" s="23" t="s">
        <v>47</v>
      </c>
      <c r="O96" s="23" t="s">
        <v>48</v>
      </c>
    </row>
    <row r="97" spans="1:15" ht="19" customHeight="1">
      <c r="A97" s="16">
        <v>45747</v>
      </c>
      <c r="B97" s="17">
        <v>2025</v>
      </c>
      <c r="C97" s="17" t="s">
        <v>31</v>
      </c>
      <c r="D97" s="17" t="s">
        <v>32</v>
      </c>
      <c r="E97" s="17" t="s">
        <v>33</v>
      </c>
      <c r="F97" s="24">
        <f>'Sources &amp; Checks'!$C$75*'Sources &amp; Checks'!$G$26</f>
        <v>36441.772451456301</v>
      </c>
      <c r="G97" s="25">
        <f>H97*12/F97</f>
        <v>1.3130475217706872E-2</v>
      </c>
      <c r="H97" s="24">
        <f>'Sources &amp; Checks'!$D$75*'Sources &amp; Checks'!$D$26/'Sources &amp; Checks'!$D$29</f>
        <v>39.874815838596668</v>
      </c>
      <c r="I97" s="26">
        <f>F97/F102</f>
        <v>9.9659265531229446E-2</v>
      </c>
      <c r="J97" s="24">
        <f t="shared" si="4"/>
        <v>257.14047330096219</v>
      </c>
      <c r="K97" s="26">
        <f t="shared" si="5"/>
        <v>7.1063448553572162E-3</v>
      </c>
      <c r="L97" s="26">
        <f t="shared" si="6"/>
        <v>1.7422310417770426E-2</v>
      </c>
      <c r="M97" s="17" t="s">
        <v>57</v>
      </c>
      <c r="N97" s="17" t="s">
        <v>35</v>
      </c>
      <c r="O97" s="17" t="s">
        <v>36</v>
      </c>
    </row>
    <row r="98" spans="1:15" ht="19" customHeight="1">
      <c r="A98" s="18">
        <v>45747</v>
      </c>
      <c r="B98" s="19">
        <v>2025</v>
      </c>
      <c r="C98" s="19" t="s">
        <v>31</v>
      </c>
      <c r="D98" s="19" t="s">
        <v>37</v>
      </c>
      <c r="E98" s="19" t="s">
        <v>33</v>
      </c>
      <c r="F98" s="27">
        <f>'Sources &amp; Checks'!$C$75*'Sources &amp; Checks'!$G$27</f>
        <v>228764.1430065514</v>
      </c>
      <c r="G98" s="28">
        <f>H98*12/F98</f>
        <v>3.10761552503966E-2</v>
      </c>
      <c r="H98" s="27">
        <f>'Sources &amp; Checks'!$D$75*'Sources &amp; Checks'!$D$27/'Sources &amp; Checks'!$D$29</f>
        <v>592.42583531629339</v>
      </c>
      <c r="I98" s="29">
        <f>F98/F102</f>
        <v>0.62561354561674098</v>
      </c>
      <c r="J98" s="27">
        <f t="shared" si="4"/>
        <v>1614.2057877496118</v>
      </c>
      <c r="K98" s="29">
        <f t="shared" si="5"/>
        <v>7.1063448553574382E-3</v>
      </c>
      <c r="L98" s="29">
        <f t="shared" si="6"/>
        <v>0.1037446777146882</v>
      </c>
      <c r="M98" s="19" t="s">
        <v>57</v>
      </c>
      <c r="N98" s="19" t="s">
        <v>35</v>
      </c>
      <c r="O98" s="19" t="s">
        <v>36</v>
      </c>
    </row>
    <row r="99" spans="1:15" ht="19" customHeight="1">
      <c r="A99" s="18">
        <v>45747</v>
      </c>
      <c r="B99" s="19">
        <v>2025</v>
      </c>
      <c r="C99" s="19" t="s">
        <v>31</v>
      </c>
      <c r="D99" s="19" t="s">
        <v>38</v>
      </c>
      <c r="E99" s="19" t="s">
        <v>33</v>
      </c>
      <c r="F99" s="27">
        <f>'Sources &amp; Checks'!$C$75*'Sources &amp; Checks'!$G$28</f>
        <v>74093.751208658927</v>
      </c>
      <c r="G99" s="28">
        <f>H99*12/F99</f>
        <v>4.4934687837625858E-2</v>
      </c>
      <c r="H99" s="27">
        <f>'Sources &amp; Checks'!$D$75*'Sources &amp; Checks'!$D$28/'Sources &amp; Checks'!$D$29</f>
        <v>277.44829843998355</v>
      </c>
      <c r="I99" s="29">
        <f>F99/F102</f>
        <v>0.20262814701850498</v>
      </c>
      <c r="J99" s="27">
        <f t="shared" si="4"/>
        <v>522.82040561606118</v>
      </c>
      <c r="K99" s="29">
        <f t="shared" si="5"/>
        <v>7.1063448553574382E-3</v>
      </c>
      <c r="L99" s="29">
        <f t="shared" si="6"/>
        <v>-2.9654221445804541E-2</v>
      </c>
      <c r="M99" s="19" t="s">
        <v>57</v>
      </c>
      <c r="N99" s="19" t="s">
        <v>35</v>
      </c>
      <c r="O99" s="19" t="s">
        <v>36</v>
      </c>
    </row>
    <row r="100" spans="1:15" ht="19" customHeight="1">
      <c r="A100" s="20">
        <v>45747</v>
      </c>
      <c r="B100" s="21">
        <v>2025</v>
      </c>
      <c r="C100" s="21" t="s">
        <v>31</v>
      </c>
      <c r="D100" s="21" t="s">
        <v>39</v>
      </c>
      <c r="E100" s="21" t="s">
        <v>33</v>
      </c>
      <c r="F100" s="30">
        <f>SUM(F97:F99)</f>
        <v>339299.66666666663</v>
      </c>
      <c r="G100" s="31">
        <f>H100*12/F100</f>
        <v>3.2175060772645862E-2</v>
      </c>
      <c r="H100" s="30">
        <f>SUM(H97:H99)</f>
        <v>909.74894959487358</v>
      </c>
      <c r="I100" s="32">
        <f>F100/F102</f>
        <v>0.92790095816647533</v>
      </c>
      <c r="J100" s="30">
        <f t="shared" si="4"/>
        <v>2394.1666666666279</v>
      </c>
      <c r="K100" s="32">
        <f t="shared" si="5"/>
        <v>7.1063448553574382E-3</v>
      </c>
      <c r="L100" s="32">
        <f t="shared" si="6"/>
        <v>6.2178014907446677E-2</v>
      </c>
      <c r="M100" s="21" t="s">
        <v>57</v>
      </c>
      <c r="N100" s="21" t="s">
        <v>40</v>
      </c>
      <c r="O100" s="21" t="s">
        <v>41</v>
      </c>
    </row>
    <row r="101" spans="1:15" ht="19" customHeight="1">
      <c r="A101" s="18">
        <v>45747</v>
      </c>
      <c r="B101" s="19">
        <v>2025</v>
      </c>
      <c r="C101" s="19" t="s">
        <v>31</v>
      </c>
      <c r="D101" s="19" t="s">
        <v>42</v>
      </c>
      <c r="E101" s="19" t="s">
        <v>43</v>
      </c>
      <c r="F101" s="27">
        <f>'Sources &amp; Checks'!$J$75</f>
        <v>26364</v>
      </c>
      <c r="G101" s="28">
        <f>0</f>
        <v>0</v>
      </c>
      <c r="H101" s="27">
        <f>0</f>
        <v>0</v>
      </c>
      <c r="I101" s="29">
        <f>F101/F102</f>
        <v>7.2099041833524627E-2</v>
      </c>
      <c r="J101" s="27">
        <f t="shared" si="4"/>
        <v>199</v>
      </c>
      <c r="K101" s="29">
        <f t="shared" si="5"/>
        <v>7.6055799732466234E-3</v>
      </c>
      <c r="L101" s="29">
        <f t="shared" si="6"/>
        <v>-2.612850001231326E-2</v>
      </c>
      <c r="M101" s="19" t="s">
        <v>57</v>
      </c>
      <c r="N101" s="19" t="s">
        <v>44</v>
      </c>
      <c r="O101" s="19" t="s">
        <v>41</v>
      </c>
    </row>
    <row r="102" spans="1:15" ht="19" customHeight="1">
      <c r="A102" s="22">
        <v>45747</v>
      </c>
      <c r="B102" s="23">
        <v>2025</v>
      </c>
      <c r="C102" s="23" t="s">
        <v>31</v>
      </c>
      <c r="D102" s="23" t="s">
        <v>45</v>
      </c>
      <c r="E102" s="23" t="s">
        <v>46</v>
      </c>
      <c r="F102" s="33">
        <f>SUM(F100,F101)</f>
        <v>365663.66666666663</v>
      </c>
      <c r="G102" s="34">
        <f>H102*12/F102</f>
        <v>2.9855269720002676E-2</v>
      </c>
      <c r="H102" s="33">
        <f>SUM(H100,H101)</f>
        <v>909.74894959487358</v>
      </c>
      <c r="I102" s="35">
        <f>F102/F102</f>
        <v>1</v>
      </c>
      <c r="J102" s="33">
        <f t="shared" si="4"/>
        <v>2593.1666666666279</v>
      </c>
      <c r="K102" s="35">
        <f t="shared" si="5"/>
        <v>7.142322680213864E-3</v>
      </c>
      <c r="L102" s="35">
        <f t="shared" si="6"/>
        <v>5.5278987462567208E-2</v>
      </c>
      <c r="M102" s="23" t="s">
        <v>57</v>
      </c>
      <c r="N102" s="23" t="s">
        <v>47</v>
      </c>
      <c r="O102" s="23" t="s">
        <v>48</v>
      </c>
    </row>
    <row r="103" spans="1:15" ht="19" customHeight="1">
      <c r="A103" s="16">
        <v>45777</v>
      </c>
      <c r="B103" s="17">
        <v>2025</v>
      </c>
      <c r="C103" s="17" t="s">
        <v>49</v>
      </c>
      <c r="D103" s="17" t="s">
        <v>32</v>
      </c>
      <c r="E103" s="17" t="s">
        <v>33</v>
      </c>
      <c r="F103" s="24">
        <f>'Sources &amp; Checks'!$C$76*'Sources &amp; Checks'!$G$31</f>
        <v>32718.204055907569</v>
      </c>
      <c r="G103" s="25">
        <f>H103*12/F103</f>
        <v>1.2111199235705679E-2</v>
      </c>
      <c r="H103" s="24">
        <f>'Sources &amp; Checks'!$D$76*'Sources &amp; Checks'!$D$31/'Sources &amp; Checks'!$D$34</f>
        <v>33.02139066296418</v>
      </c>
      <c r="I103" s="26">
        <f>F103/F108</f>
        <v>8.5870193960168872E-2</v>
      </c>
      <c r="J103" s="24">
        <f t="shared" si="4"/>
        <v>-3723.568395548733</v>
      </c>
      <c r="K103" s="26">
        <f t="shared" si="5"/>
        <v>-0.10217857543863595</v>
      </c>
      <c r="L103" s="26">
        <f t="shared" si="6"/>
        <v>-6.0251678419957155E-2</v>
      </c>
      <c r="M103" s="17" t="s">
        <v>58</v>
      </c>
      <c r="N103" s="17" t="s">
        <v>35</v>
      </c>
      <c r="O103" s="17" t="s">
        <v>36</v>
      </c>
    </row>
    <row r="104" spans="1:15" ht="19" customHeight="1">
      <c r="A104" s="18">
        <v>45777</v>
      </c>
      <c r="B104" s="19">
        <v>2025</v>
      </c>
      <c r="C104" s="19" t="s">
        <v>49</v>
      </c>
      <c r="D104" s="19" t="s">
        <v>37</v>
      </c>
      <c r="E104" s="19" t="s">
        <v>33</v>
      </c>
      <c r="F104" s="27">
        <f>'Sources &amp; Checks'!$C$76*'Sources &amp; Checks'!$G$32</f>
        <v>242919.1300798938</v>
      </c>
      <c r="G104" s="28">
        <f>H104*12/F104</f>
        <v>3.1174595387152625E-2</v>
      </c>
      <c r="H104" s="27">
        <f>'Sources &amp; Checks'!$D$76*'Sources &amp; Checks'!$D$32/'Sources &amp; Checks'!$D$34</f>
        <v>631.07546600331546</v>
      </c>
      <c r="I104" s="29">
        <f>F104/F108</f>
        <v>0.63755066693000828</v>
      </c>
      <c r="J104" s="27">
        <f t="shared" si="4"/>
        <v>14154.987073342403</v>
      </c>
      <c r="K104" s="29">
        <f t="shared" si="5"/>
        <v>6.1875899287840097E-2</v>
      </c>
      <c r="L104" s="29">
        <f t="shared" si="6"/>
        <v>0.16453315730647677</v>
      </c>
      <c r="M104" s="19" t="s">
        <v>58</v>
      </c>
      <c r="N104" s="19" t="s">
        <v>35</v>
      </c>
      <c r="O104" s="19" t="s">
        <v>36</v>
      </c>
    </row>
    <row r="105" spans="1:15" ht="19" customHeight="1">
      <c r="A105" s="18">
        <v>45777</v>
      </c>
      <c r="B105" s="19">
        <v>2025</v>
      </c>
      <c r="C105" s="19" t="s">
        <v>49</v>
      </c>
      <c r="D105" s="19" t="s">
        <v>38</v>
      </c>
      <c r="E105" s="19" t="s">
        <v>33</v>
      </c>
      <c r="F105" s="27">
        <f>'Sources &amp; Checks'!$C$76*'Sources &amp; Checks'!$G$33</f>
        <v>78412.665864198658</v>
      </c>
      <c r="G105" s="28">
        <f>H105*12/F105</f>
        <v>4.4358307570567038E-2</v>
      </c>
      <c r="H105" s="27">
        <f>'Sources &amp; Checks'!$D$76*'Sources &amp; Checks'!$D$33/'Sources &amp; Checks'!$D$34</f>
        <v>289.85442915268555</v>
      </c>
      <c r="I105" s="29">
        <f>F105/F108</f>
        <v>0.20579707905687725</v>
      </c>
      <c r="J105" s="27">
        <f t="shared" si="4"/>
        <v>4318.914655539731</v>
      </c>
      <c r="K105" s="29">
        <f t="shared" si="5"/>
        <v>5.8289863653643748E-2</v>
      </c>
      <c r="L105" s="29">
        <f t="shared" si="6"/>
        <v>-4.9854474232012835E-3</v>
      </c>
      <c r="M105" s="19" t="s">
        <v>58</v>
      </c>
      <c r="N105" s="19" t="s">
        <v>35</v>
      </c>
      <c r="O105" s="19" t="s">
        <v>36</v>
      </c>
    </row>
    <row r="106" spans="1:15" ht="19" customHeight="1">
      <c r="A106" s="20">
        <v>45777</v>
      </c>
      <c r="B106" s="21">
        <v>2025</v>
      </c>
      <c r="C106" s="21" t="s">
        <v>49</v>
      </c>
      <c r="D106" s="21" t="s">
        <v>39</v>
      </c>
      <c r="E106" s="21" t="s">
        <v>33</v>
      </c>
      <c r="F106" s="30">
        <f>SUM(F103:F105)</f>
        <v>354050</v>
      </c>
      <c r="G106" s="31">
        <f>H106*12/F106</f>
        <v>3.2332764947966622E-2</v>
      </c>
      <c r="H106" s="30">
        <f>SUM(H103:H105)</f>
        <v>953.95128581896529</v>
      </c>
      <c r="I106" s="32">
        <f>F106/F108</f>
        <v>0.92921793994705437</v>
      </c>
      <c r="J106" s="30">
        <f t="shared" si="4"/>
        <v>14750.333333333372</v>
      </c>
      <c r="K106" s="32">
        <f t="shared" si="5"/>
        <v>4.3472878939855741E-2</v>
      </c>
      <c r="L106" s="32">
        <f t="shared" si="6"/>
        <v>9.8785713251222207E-2</v>
      </c>
      <c r="M106" s="21" t="s">
        <v>58</v>
      </c>
      <c r="N106" s="21" t="s">
        <v>40</v>
      </c>
      <c r="O106" s="21" t="s">
        <v>41</v>
      </c>
    </row>
    <row r="107" spans="1:15" ht="19" customHeight="1">
      <c r="A107" s="18">
        <v>45777</v>
      </c>
      <c r="B107" s="19">
        <v>2025</v>
      </c>
      <c r="C107" s="19" t="s">
        <v>49</v>
      </c>
      <c r="D107" s="19" t="s">
        <v>42</v>
      </c>
      <c r="E107" s="19" t="s">
        <v>43</v>
      </c>
      <c r="F107" s="27">
        <f>'Sources &amp; Checks'!$J$76</f>
        <v>26969.333333333336</v>
      </c>
      <c r="G107" s="28">
        <f>0</f>
        <v>0</v>
      </c>
      <c r="H107" s="27">
        <f>0</f>
        <v>0</v>
      </c>
      <c r="I107" s="29">
        <f>F107/F108</f>
        <v>7.0782060052945711E-2</v>
      </c>
      <c r="J107" s="27">
        <f t="shared" si="4"/>
        <v>605.33333333333576</v>
      </c>
      <c r="K107" s="29">
        <f t="shared" si="5"/>
        <v>2.2960602842259759E-2</v>
      </c>
      <c r="L107" s="29">
        <f t="shared" si="6"/>
        <v>-5.2254312517673318E-3</v>
      </c>
      <c r="M107" s="19" t="s">
        <v>58</v>
      </c>
      <c r="N107" s="19" t="s">
        <v>44</v>
      </c>
      <c r="O107" s="19" t="s">
        <v>41</v>
      </c>
    </row>
    <row r="108" spans="1:15" ht="19" customHeight="1">
      <c r="A108" s="22">
        <v>45777</v>
      </c>
      <c r="B108" s="23">
        <v>2025</v>
      </c>
      <c r="C108" s="23" t="s">
        <v>49</v>
      </c>
      <c r="D108" s="23" t="s">
        <v>45</v>
      </c>
      <c r="E108" s="23" t="s">
        <v>46</v>
      </c>
      <c r="F108" s="33">
        <f>SUM(F106,F107)</f>
        <v>381019.33333333331</v>
      </c>
      <c r="G108" s="34">
        <f>H108*12/F108</f>
        <v>3.0044185237741872E-2</v>
      </c>
      <c r="H108" s="33">
        <f>SUM(H106,H107)</f>
        <v>953.95128581896529</v>
      </c>
      <c r="I108" s="35">
        <f>F108/F108</f>
        <v>1</v>
      </c>
      <c r="J108" s="33">
        <f t="shared" si="4"/>
        <v>15355.666666666686</v>
      </c>
      <c r="K108" s="35">
        <f t="shared" si="5"/>
        <v>4.1993963487394259E-2</v>
      </c>
      <c r="L108" s="35">
        <f t="shared" si="6"/>
        <v>9.0713565288251363E-2</v>
      </c>
      <c r="M108" s="23" t="s">
        <v>58</v>
      </c>
      <c r="N108" s="23" t="s">
        <v>47</v>
      </c>
      <c r="O108" s="23" t="s">
        <v>48</v>
      </c>
    </row>
    <row r="109" spans="1:15" ht="19" customHeight="1">
      <c r="A109" s="16">
        <v>45808</v>
      </c>
      <c r="B109" s="17">
        <v>2025</v>
      </c>
      <c r="C109" s="17" t="s">
        <v>49</v>
      </c>
      <c r="D109" s="17" t="s">
        <v>32</v>
      </c>
      <c r="E109" s="17" t="s">
        <v>33</v>
      </c>
      <c r="F109" s="24">
        <f>'Sources &amp; Checks'!$C$77*'Sources &amp; Checks'!$G$31</f>
        <v>35456.395682171009</v>
      </c>
      <c r="G109" s="25">
        <f>H109*12/F109</f>
        <v>1.2111199235705677E-2</v>
      </c>
      <c r="H109" s="24">
        <f>'Sources &amp; Checks'!$D$77*'Sources &amp; Checks'!$D$31/'Sources &amp; Checks'!$D$34</f>
        <v>35.784956023898964</v>
      </c>
      <c r="I109" s="26">
        <f>F109/F114</f>
        <v>8.6195409936990264E-2</v>
      </c>
      <c r="J109" s="24">
        <f t="shared" si="4"/>
        <v>2738.1916262634404</v>
      </c>
      <c r="K109" s="26">
        <f t="shared" si="5"/>
        <v>8.369015675752034E-2</v>
      </c>
      <c r="L109" s="26">
        <f t="shared" si="6"/>
        <v>2.1413252503618585E-2</v>
      </c>
      <c r="M109" s="17" t="s">
        <v>58</v>
      </c>
      <c r="N109" s="17" t="s">
        <v>35</v>
      </c>
      <c r="O109" s="17" t="s">
        <v>36</v>
      </c>
    </row>
    <row r="110" spans="1:15" ht="19" customHeight="1">
      <c r="A110" s="18">
        <v>45808</v>
      </c>
      <c r="B110" s="19">
        <v>2025</v>
      </c>
      <c r="C110" s="19" t="s">
        <v>49</v>
      </c>
      <c r="D110" s="19" t="s">
        <v>37</v>
      </c>
      <c r="E110" s="19" t="s">
        <v>33</v>
      </c>
      <c r="F110" s="27">
        <f>'Sources &amp; Checks'!$C$77*'Sources &amp; Checks'!$G$32</f>
        <v>263249.07015568053</v>
      </c>
      <c r="G110" s="28">
        <f>H110*12/F110</f>
        <v>3.1174595387152625E-2</v>
      </c>
      <c r="H110" s="27">
        <f>'Sources &amp; Checks'!$D$77*'Sources &amp; Checks'!$D$32/'Sources &amp; Checks'!$D$34</f>
        <v>683.89027067895802</v>
      </c>
      <c r="I110" s="29">
        <f>F110/F114</f>
        <v>0.63996526102088624</v>
      </c>
      <c r="J110" s="27">
        <f t="shared" si="4"/>
        <v>20329.940075786726</v>
      </c>
      <c r="K110" s="29">
        <f t="shared" si="5"/>
        <v>8.3690156757520118E-2</v>
      </c>
      <c r="L110" s="29">
        <f t="shared" si="6"/>
        <v>0.26573208223751377</v>
      </c>
      <c r="M110" s="19" t="s">
        <v>58</v>
      </c>
      <c r="N110" s="19" t="s">
        <v>35</v>
      </c>
      <c r="O110" s="19" t="s">
        <v>36</v>
      </c>
    </row>
    <row r="111" spans="1:15" ht="19" customHeight="1">
      <c r="A111" s="18">
        <v>45808</v>
      </c>
      <c r="B111" s="19">
        <v>2025</v>
      </c>
      <c r="C111" s="19" t="s">
        <v>49</v>
      </c>
      <c r="D111" s="19" t="s">
        <v>38</v>
      </c>
      <c r="E111" s="19" t="s">
        <v>33</v>
      </c>
      <c r="F111" s="27">
        <f>'Sources &amp; Checks'!$C$77*'Sources &amp; Checks'!$G$33</f>
        <v>84975.034162148484</v>
      </c>
      <c r="G111" s="28">
        <f>H111*12/F111</f>
        <v>4.4358307570567045E-2</v>
      </c>
      <c r="H111" s="27">
        <f>'Sources &amp; Checks'!$D$77*'Sources &amp; Checks'!$D$33/'Sources &amp; Checks'!$D$34</f>
        <v>314.11239176533536</v>
      </c>
      <c r="I111" s="29">
        <f>F111/F114</f>
        <v>0.20657649383406423</v>
      </c>
      <c r="J111" s="27">
        <f t="shared" si="4"/>
        <v>6562.3682979498262</v>
      </c>
      <c r="K111" s="29">
        <f t="shared" si="5"/>
        <v>8.3690156757520118E-2</v>
      </c>
      <c r="L111" s="29">
        <f t="shared" si="6"/>
        <v>8.1482166126258582E-2</v>
      </c>
      <c r="M111" s="19" t="s">
        <v>58</v>
      </c>
      <c r="N111" s="19" t="s">
        <v>35</v>
      </c>
      <c r="O111" s="19" t="s">
        <v>36</v>
      </c>
    </row>
    <row r="112" spans="1:15" ht="19" customHeight="1">
      <c r="A112" s="20">
        <v>45808</v>
      </c>
      <c r="B112" s="21">
        <v>2025</v>
      </c>
      <c r="C112" s="21" t="s">
        <v>49</v>
      </c>
      <c r="D112" s="21" t="s">
        <v>39</v>
      </c>
      <c r="E112" s="21" t="s">
        <v>33</v>
      </c>
      <c r="F112" s="30">
        <f>SUM(F109:F111)</f>
        <v>383680.5</v>
      </c>
      <c r="G112" s="31">
        <f>H112*12/F112</f>
        <v>3.2332764947966622E-2</v>
      </c>
      <c r="H112" s="30">
        <f>SUM(H109:H111)</f>
        <v>1033.7876184681922</v>
      </c>
      <c r="I112" s="32">
        <f>F112/F114</f>
        <v>0.93273716479194069</v>
      </c>
      <c r="J112" s="30">
        <f t="shared" si="4"/>
        <v>29630.5</v>
      </c>
      <c r="K112" s="32">
        <f t="shared" si="5"/>
        <v>8.3690156757520118E-2</v>
      </c>
      <c r="L112" s="32">
        <f t="shared" si="6"/>
        <v>0.19427112919918765</v>
      </c>
      <c r="M112" s="21" t="s">
        <v>58</v>
      </c>
      <c r="N112" s="21" t="s">
        <v>40</v>
      </c>
      <c r="O112" s="21" t="s">
        <v>41</v>
      </c>
    </row>
    <row r="113" spans="1:15" ht="19" customHeight="1">
      <c r="A113" s="18">
        <v>45808</v>
      </c>
      <c r="B113" s="19">
        <v>2025</v>
      </c>
      <c r="C113" s="19" t="s">
        <v>49</v>
      </c>
      <c r="D113" s="19" t="s">
        <v>42</v>
      </c>
      <c r="E113" s="19" t="s">
        <v>43</v>
      </c>
      <c r="F113" s="27">
        <f>'Sources &amp; Checks'!$J$77</f>
        <v>27668.5</v>
      </c>
      <c r="G113" s="28">
        <f>0</f>
        <v>0</v>
      </c>
      <c r="H113" s="27">
        <f>0</f>
        <v>0</v>
      </c>
      <c r="I113" s="29">
        <f>F113/F114</f>
        <v>6.7262835208059341E-2</v>
      </c>
      <c r="J113" s="27">
        <f t="shared" si="4"/>
        <v>699.16666666666424</v>
      </c>
      <c r="K113" s="29">
        <f t="shared" si="5"/>
        <v>2.5924506847283313E-2</v>
      </c>
      <c r="L113" s="29">
        <f t="shared" si="6"/>
        <v>4.3976153642983906E-2</v>
      </c>
      <c r="M113" s="19" t="s">
        <v>58</v>
      </c>
      <c r="N113" s="19" t="s">
        <v>44</v>
      </c>
      <c r="O113" s="19" t="s">
        <v>41</v>
      </c>
    </row>
    <row r="114" spans="1:15" ht="19" customHeight="1">
      <c r="A114" s="22">
        <v>45808</v>
      </c>
      <c r="B114" s="23">
        <v>2025</v>
      </c>
      <c r="C114" s="23" t="s">
        <v>49</v>
      </c>
      <c r="D114" s="23" t="s">
        <v>45</v>
      </c>
      <c r="E114" s="23" t="s">
        <v>46</v>
      </c>
      <c r="F114" s="33">
        <f>SUM(F112,F113)</f>
        <v>411349</v>
      </c>
      <c r="G114" s="34">
        <f>H114*12/F114</f>
        <v>3.0157971507450625E-2</v>
      </c>
      <c r="H114" s="33">
        <f>SUM(H112,H113)</f>
        <v>1033.7876184681922</v>
      </c>
      <c r="I114" s="35">
        <f>F114/F114</f>
        <v>1</v>
      </c>
      <c r="J114" s="33">
        <f t="shared" si="4"/>
        <v>30329.666666666686</v>
      </c>
      <c r="K114" s="35">
        <f t="shared" si="5"/>
        <v>7.9601385056576435E-2</v>
      </c>
      <c r="L114" s="35">
        <f t="shared" si="6"/>
        <v>0.18281740400637769</v>
      </c>
      <c r="M114" s="23" t="s">
        <v>58</v>
      </c>
      <c r="N114" s="23" t="s">
        <v>47</v>
      </c>
      <c r="O114" s="23" t="s">
        <v>48</v>
      </c>
    </row>
    <row r="115" spans="1:15" ht="19" customHeight="1">
      <c r="A115" s="16">
        <v>45838</v>
      </c>
      <c r="B115" s="17">
        <v>2025</v>
      </c>
      <c r="C115" s="17" t="s">
        <v>49</v>
      </c>
      <c r="D115" s="17" t="s">
        <v>32</v>
      </c>
      <c r="E115" s="17" t="s">
        <v>33</v>
      </c>
      <c r="F115" s="24">
        <f>'Sources &amp; Checks'!$C$78*'Sources &amp; Checks'!$G$31</f>
        <v>38833.795944092431</v>
      </c>
      <c r="G115" s="25">
        <f>H115*12/F115</f>
        <v>1.2111199235705675E-2</v>
      </c>
      <c r="H115" s="24">
        <f>'Sources &amp; Checks'!$D$78*'Sources &amp; Checks'!$D$31/'Sources &amp; Checks'!$D$34</f>
        <v>39.193653313136871</v>
      </c>
      <c r="I115" s="26">
        <f>F115/F120</f>
        <v>8.6660012520755211E-2</v>
      </c>
      <c r="J115" s="24">
        <f t="shared" ref="J115:J146" si="7">F115-F109</f>
        <v>3377.4002619214225</v>
      </c>
      <c r="K115" s="26">
        <f t="shared" ref="K115:K146" si="8">IF(F109=0,"n.a.",F115/F109-1)</f>
        <v>9.5255036417018601E-2</v>
      </c>
      <c r="L115" s="26">
        <f t="shared" si="6"/>
        <v>0.11290505219651914</v>
      </c>
      <c r="M115" s="17" t="s">
        <v>58</v>
      </c>
      <c r="N115" s="17" t="s">
        <v>35</v>
      </c>
      <c r="O115" s="17" t="s">
        <v>36</v>
      </c>
    </row>
    <row r="116" spans="1:15" ht="19" customHeight="1">
      <c r="A116" s="18">
        <v>45838</v>
      </c>
      <c r="B116" s="19">
        <v>2025</v>
      </c>
      <c r="C116" s="19" t="s">
        <v>49</v>
      </c>
      <c r="D116" s="19" t="s">
        <v>37</v>
      </c>
      <c r="E116" s="19" t="s">
        <v>33</v>
      </c>
      <c r="F116" s="27">
        <f>'Sources &amp; Checks'!$C$78*'Sources &amp; Checks'!$G$32</f>
        <v>288324.86992010626</v>
      </c>
      <c r="G116" s="28">
        <f>H116*12/F116</f>
        <v>3.1174595387152608E-2</v>
      </c>
      <c r="H116" s="27">
        <f>'Sources &amp; Checks'!$D$78*'Sources &amp; Checks'!$D$32/'Sources &amp; Checks'!$D$34</f>
        <v>749.03426331772675</v>
      </c>
      <c r="I116" s="29">
        <f>F116/F120</f>
        <v>0.64341474300615065</v>
      </c>
      <c r="J116" s="27">
        <f t="shared" si="7"/>
        <v>25075.799764425727</v>
      </c>
      <c r="K116" s="29">
        <f t="shared" si="8"/>
        <v>9.5255036417019046E-2</v>
      </c>
      <c r="L116" s="29">
        <f t="shared" si="6"/>
        <v>0.37910843196579647</v>
      </c>
      <c r="M116" s="19" t="s">
        <v>58</v>
      </c>
      <c r="N116" s="19" t="s">
        <v>35</v>
      </c>
      <c r="O116" s="19" t="s">
        <v>36</v>
      </c>
    </row>
    <row r="117" spans="1:15" ht="19" customHeight="1">
      <c r="A117" s="18">
        <v>45838</v>
      </c>
      <c r="B117" s="19">
        <v>2025</v>
      </c>
      <c r="C117" s="19" t="s">
        <v>49</v>
      </c>
      <c r="D117" s="19" t="s">
        <v>38</v>
      </c>
      <c r="E117" s="19" t="s">
        <v>33</v>
      </c>
      <c r="F117" s="27">
        <f>'Sources &amp; Checks'!$C$78*'Sources &amp; Checks'!$G$33</f>
        <v>93069.334135801357</v>
      </c>
      <c r="G117" s="28">
        <f>H117*12/F117</f>
        <v>4.4358307570567038E-2</v>
      </c>
      <c r="H117" s="27">
        <f>'Sources &amp; Checks'!$D$78*'Sources &amp; Checks'!$D$33/'Sources &amp; Checks'!$D$34</f>
        <v>344.0331790819792</v>
      </c>
      <c r="I117" s="29">
        <f>F117/F120</f>
        <v>0.20768996348228067</v>
      </c>
      <c r="J117" s="27">
        <f t="shared" si="7"/>
        <v>8094.2999736528727</v>
      </c>
      <c r="K117" s="29">
        <f t="shared" si="8"/>
        <v>9.5255036417018824E-2</v>
      </c>
      <c r="L117" s="29">
        <f t="shared" ref="L117:L148" si="9">IF(F45=0,"n.a.",F117/F45-1)</f>
        <v>0.17835456275136252</v>
      </c>
      <c r="M117" s="19" t="s">
        <v>58</v>
      </c>
      <c r="N117" s="19" t="s">
        <v>35</v>
      </c>
      <c r="O117" s="19" t="s">
        <v>36</v>
      </c>
    </row>
    <row r="118" spans="1:15" ht="19" customHeight="1">
      <c r="A118" s="20">
        <v>45838</v>
      </c>
      <c r="B118" s="21">
        <v>2025</v>
      </c>
      <c r="C118" s="21" t="s">
        <v>49</v>
      </c>
      <c r="D118" s="21" t="s">
        <v>39</v>
      </c>
      <c r="E118" s="21" t="s">
        <v>33</v>
      </c>
      <c r="F118" s="30">
        <f>SUM(F115:F117)</f>
        <v>420228.00000000006</v>
      </c>
      <c r="G118" s="31">
        <f>H118*12/F118</f>
        <v>3.2332764947966615E-2</v>
      </c>
      <c r="H118" s="30">
        <f>SUM(H115:H117)</f>
        <v>1132.2610957128429</v>
      </c>
      <c r="I118" s="32">
        <f>F118/F120</f>
        <v>0.93776471900918656</v>
      </c>
      <c r="J118" s="30">
        <f t="shared" si="7"/>
        <v>36547.500000000058</v>
      </c>
      <c r="K118" s="32">
        <f t="shared" si="8"/>
        <v>9.5255036417019046E-2</v>
      </c>
      <c r="L118" s="32">
        <f t="shared" si="9"/>
        <v>0.30124645447902032</v>
      </c>
      <c r="M118" s="21" t="s">
        <v>58</v>
      </c>
      <c r="N118" s="21" t="s">
        <v>40</v>
      </c>
      <c r="O118" s="21" t="s">
        <v>41</v>
      </c>
    </row>
    <row r="119" spans="1:15" ht="19" customHeight="1">
      <c r="A119" s="18">
        <v>45838</v>
      </c>
      <c r="B119" s="19">
        <v>2025</v>
      </c>
      <c r="C119" s="19" t="s">
        <v>49</v>
      </c>
      <c r="D119" s="19" t="s">
        <v>42</v>
      </c>
      <c r="E119" s="19" t="s">
        <v>43</v>
      </c>
      <c r="F119" s="27">
        <f>'Sources &amp; Checks'!$J$78</f>
        <v>27888.666666666664</v>
      </c>
      <c r="G119" s="28">
        <f>0</f>
        <v>0</v>
      </c>
      <c r="H119" s="27">
        <f>0</f>
        <v>0</v>
      </c>
      <c r="I119" s="29">
        <f>F119/F120</f>
        <v>6.2235280990813387E-2</v>
      </c>
      <c r="J119" s="27">
        <f t="shared" si="7"/>
        <v>220.16666666666424</v>
      </c>
      <c r="K119" s="29">
        <f t="shared" si="8"/>
        <v>7.9573040340699119E-3</v>
      </c>
      <c r="L119" s="29">
        <f t="shared" si="9"/>
        <v>4.4402002271904495E-2</v>
      </c>
      <c r="M119" s="19" t="s">
        <v>58</v>
      </c>
      <c r="N119" s="19" t="s">
        <v>44</v>
      </c>
      <c r="O119" s="19" t="s">
        <v>41</v>
      </c>
    </row>
    <row r="120" spans="1:15" ht="19" customHeight="1">
      <c r="A120" s="22">
        <v>45838</v>
      </c>
      <c r="B120" s="23">
        <v>2025</v>
      </c>
      <c r="C120" s="23" t="s">
        <v>49</v>
      </c>
      <c r="D120" s="23" t="s">
        <v>45</v>
      </c>
      <c r="E120" s="23" t="s">
        <v>46</v>
      </c>
      <c r="F120" s="33">
        <f>SUM(F118,F119)</f>
        <v>448116.66666666674</v>
      </c>
      <c r="G120" s="34">
        <f>H120*12/F120</f>
        <v>3.0320526236219988E-2</v>
      </c>
      <c r="H120" s="33">
        <f>SUM(H118,H119)</f>
        <v>1132.2610957128429</v>
      </c>
      <c r="I120" s="35">
        <f>F120/F120</f>
        <v>1</v>
      </c>
      <c r="J120" s="33">
        <f t="shared" si="7"/>
        <v>36767.666666666744</v>
      </c>
      <c r="K120" s="35">
        <f t="shared" si="8"/>
        <v>8.9383143429707435E-2</v>
      </c>
      <c r="L120" s="35">
        <f t="shared" si="9"/>
        <v>0.28163083197561001</v>
      </c>
      <c r="M120" s="23" t="s">
        <v>58</v>
      </c>
      <c r="N120" s="23" t="s">
        <v>47</v>
      </c>
      <c r="O120" s="23" t="s">
        <v>48</v>
      </c>
    </row>
    <row r="121" spans="1:15" ht="19" customHeight="1">
      <c r="A121" s="16">
        <v>45869</v>
      </c>
      <c r="B121" s="17">
        <v>2025</v>
      </c>
      <c r="C121" s="17" t="s">
        <v>51</v>
      </c>
      <c r="D121" s="17" t="s">
        <v>32</v>
      </c>
      <c r="E121" s="17" t="s">
        <v>33</v>
      </c>
      <c r="F121" s="24">
        <f>'Sources &amp; Checks'!$C$79*'Sources &amp; Checks'!$G$36</f>
        <v>35394.690386104463</v>
      </c>
      <c r="G121" s="25">
        <f>H121*12/F121</f>
        <v>1.2094517616067788E-2</v>
      </c>
      <c r="H121" s="24">
        <f>'Sources &amp; Checks'!$D$79*'Sources &amp; Checks'!$D$36/'Sources &amp; Checks'!$D$39</f>
        <v>35.673475532500468</v>
      </c>
      <c r="I121" s="26">
        <f>F121/F126</f>
        <v>7.5782703078019625E-2</v>
      </c>
      <c r="J121" s="24">
        <f t="shared" si="7"/>
        <v>-3439.1055579879685</v>
      </c>
      <c r="K121" s="26">
        <f t="shared" si="8"/>
        <v>-8.8559603159555134E-2</v>
      </c>
      <c r="L121" s="26">
        <f t="shared" si="9"/>
        <v>4.6009228955423254E-2</v>
      </c>
      <c r="M121" s="17" t="s">
        <v>59</v>
      </c>
      <c r="N121" s="17" t="s">
        <v>35</v>
      </c>
      <c r="O121" s="17" t="s">
        <v>36</v>
      </c>
    </row>
    <row r="122" spans="1:15" ht="19" customHeight="1">
      <c r="A122" s="18">
        <v>45869</v>
      </c>
      <c r="B122" s="19">
        <v>2025</v>
      </c>
      <c r="C122" s="19" t="s">
        <v>51</v>
      </c>
      <c r="D122" s="19" t="s">
        <v>37</v>
      </c>
      <c r="E122" s="19" t="s">
        <v>33</v>
      </c>
      <c r="F122" s="27">
        <f>'Sources &amp; Checks'!$C$79*'Sources &amp; Checks'!$G$37</f>
        <v>300179.83190717903</v>
      </c>
      <c r="G122" s="28">
        <f>H122*12/F122</f>
        <v>3.1387179626060406E-2</v>
      </c>
      <c r="H122" s="27">
        <f>'Sources &amp; Checks'!$D$79*'Sources &amp; Checks'!$D$37/'Sources &amp; Checks'!$D$39</f>
        <v>785.14985868260385</v>
      </c>
      <c r="I122" s="29">
        <f>F122/F126</f>
        <v>0.642707672345182</v>
      </c>
      <c r="J122" s="27">
        <f t="shared" si="7"/>
        <v>11854.961987072777</v>
      </c>
      <c r="K122" s="29">
        <f t="shared" si="8"/>
        <v>4.111668199263474E-2</v>
      </c>
      <c r="L122" s="29">
        <f t="shared" si="9"/>
        <v>0.42268082262963325</v>
      </c>
      <c r="M122" s="19" t="s">
        <v>59</v>
      </c>
      <c r="N122" s="19" t="s">
        <v>35</v>
      </c>
      <c r="O122" s="19" t="s">
        <v>36</v>
      </c>
    </row>
    <row r="123" spans="1:15" ht="19" customHeight="1">
      <c r="A123" s="18">
        <v>45869</v>
      </c>
      <c r="B123" s="19">
        <v>2025</v>
      </c>
      <c r="C123" s="19" t="s">
        <v>51</v>
      </c>
      <c r="D123" s="19" t="s">
        <v>38</v>
      </c>
      <c r="E123" s="19" t="s">
        <v>33</v>
      </c>
      <c r="F123" s="27">
        <f>'Sources &amp; Checks'!$C$79*'Sources &amp; Checks'!$G$38</f>
        <v>103650.81104004988</v>
      </c>
      <c r="G123" s="28">
        <f>H123*12/F123</f>
        <v>4.3809273203548799E-2</v>
      </c>
      <c r="H123" s="27">
        <f>'Sources &amp; Checks'!$D$79*'Sources &amp; Checks'!$D$38/'Sources &amp; Checks'!$D$39</f>
        <v>378.40555821857976</v>
      </c>
      <c r="I123" s="29">
        <f>F123/F126</f>
        <v>0.22192420815546321</v>
      </c>
      <c r="J123" s="27">
        <f t="shared" si="7"/>
        <v>10581.476904248528</v>
      </c>
      <c r="K123" s="29">
        <f t="shared" si="8"/>
        <v>0.11369455903497339</v>
      </c>
      <c r="L123" s="29">
        <f t="shared" si="9"/>
        <v>0.3164249801903618</v>
      </c>
      <c r="M123" s="19" t="s">
        <v>59</v>
      </c>
      <c r="N123" s="19" t="s">
        <v>35</v>
      </c>
      <c r="O123" s="19" t="s">
        <v>36</v>
      </c>
    </row>
    <row r="124" spans="1:15" ht="19" customHeight="1">
      <c r="A124" s="20">
        <v>45869</v>
      </c>
      <c r="B124" s="21">
        <v>2025</v>
      </c>
      <c r="C124" s="21" t="s">
        <v>51</v>
      </c>
      <c r="D124" s="21" t="s">
        <v>39</v>
      </c>
      <c r="E124" s="21" t="s">
        <v>33</v>
      </c>
      <c r="F124" s="30">
        <f>SUM(F121:F123)</f>
        <v>439225.33333333337</v>
      </c>
      <c r="G124" s="31">
        <f>H124*12/F124</f>
        <v>3.2763926889168973E-2</v>
      </c>
      <c r="H124" s="30">
        <f>SUM(H121:H123)</f>
        <v>1199.228892433684</v>
      </c>
      <c r="I124" s="32">
        <f>F124/F126</f>
        <v>0.94041458357866481</v>
      </c>
      <c r="J124" s="30">
        <f t="shared" si="7"/>
        <v>18997.333333333314</v>
      </c>
      <c r="K124" s="32">
        <f t="shared" si="8"/>
        <v>4.5207204977615323E-2</v>
      </c>
      <c r="L124" s="32">
        <f t="shared" si="9"/>
        <v>0.35743388093881689</v>
      </c>
      <c r="M124" s="21" t="s">
        <v>59</v>
      </c>
      <c r="N124" s="21" t="s">
        <v>40</v>
      </c>
      <c r="O124" s="21" t="s">
        <v>41</v>
      </c>
    </row>
    <row r="125" spans="1:15" ht="19" customHeight="1">
      <c r="A125" s="18">
        <v>45869</v>
      </c>
      <c r="B125" s="19">
        <v>2025</v>
      </c>
      <c r="C125" s="19" t="s">
        <v>51</v>
      </c>
      <c r="D125" s="19" t="s">
        <v>42</v>
      </c>
      <c r="E125" s="19" t="s">
        <v>43</v>
      </c>
      <c r="F125" s="27">
        <f>'Sources &amp; Checks'!$J$79</f>
        <v>27829.666666666664</v>
      </c>
      <c r="G125" s="28">
        <f>0</f>
        <v>0</v>
      </c>
      <c r="H125" s="27">
        <f>0</f>
        <v>0</v>
      </c>
      <c r="I125" s="29">
        <f>F125/F126</f>
        <v>5.9585416421335094E-2</v>
      </c>
      <c r="J125" s="27">
        <f t="shared" si="7"/>
        <v>-59</v>
      </c>
      <c r="K125" s="29">
        <f t="shared" si="8"/>
        <v>-2.1155547056151969E-3</v>
      </c>
      <c r="L125" s="29">
        <f t="shared" si="9"/>
        <v>3.7452625038831844E-2</v>
      </c>
      <c r="M125" s="19" t="s">
        <v>59</v>
      </c>
      <c r="N125" s="19" t="s">
        <v>44</v>
      </c>
      <c r="O125" s="19" t="s">
        <v>41</v>
      </c>
    </row>
    <row r="126" spans="1:15" ht="19" customHeight="1">
      <c r="A126" s="22">
        <v>45869</v>
      </c>
      <c r="B126" s="23">
        <v>2025</v>
      </c>
      <c r="C126" s="23" t="s">
        <v>51</v>
      </c>
      <c r="D126" s="23" t="s">
        <v>45</v>
      </c>
      <c r="E126" s="23" t="s">
        <v>46</v>
      </c>
      <c r="F126" s="33">
        <f>SUM(F124,F125)</f>
        <v>467055.00000000006</v>
      </c>
      <c r="G126" s="34">
        <f>H126*12/F126</f>
        <v>3.0811674661879663E-2</v>
      </c>
      <c r="H126" s="33">
        <f>SUM(H124,H125)</f>
        <v>1199.228892433684</v>
      </c>
      <c r="I126" s="35">
        <f>F126/F126</f>
        <v>1</v>
      </c>
      <c r="J126" s="33">
        <f t="shared" si="7"/>
        <v>18938.333333333314</v>
      </c>
      <c r="K126" s="35">
        <f t="shared" si="8"/>
        <v>4.2262059731468682E-2</v>
      </c>
      <c r="L126" s="35">
        <f t="shared" si="9"/>
        <v>0.33293727275667684</v>
      </c>
      <c r="M126" s="23" t="s">
        <v>59</v>
      </c>
      <c r="N126" s="23" t="s">
        <v>47</v>
      </c>
      <c r="O126" s="23" t="s">
        <v>48</v>
      </c>
    </row>
    <row r="127" spans="1:15" ht="19" customHeight="1">
      <c r="A127" s="16">
        <v>45900</v>
      </c>
      <c r="B127" s="17">
        <v>2025</v>
      </c>
      <c r="C127" s="17" t="s">
        <v>51</v>
      </c>
      <c r="D127" s="17" t="s">
        <v>32</v>
      </c>
      <c r="E127" s="17" t="s">
        <v>33</v>
      </c>
      <c r="F127" s="24">
        <f>'Sources &amp; Checks'!$C$80*'Sources &amp; Checks'!$G$36</f>
        <v>35325.804192916476</v>
      </c>
      <c r="G127" s="25">
        <f>H127*12/F127</f>
        <v>1.2094517616067793E-2</v>
      </c>
      <c r="H127" s="24">
        <f>'Sources &amp; Checks'!$D$80*'Sources &amp; Checks'!$D$36/'Sources &amp; Checks'!$D$39</f>
        <v>35.604046759415816</v>
      </c>
      <c r="I127" s="26">
        <f>F127/F132</f>
        <v>7.5788150270409985E-2</v>
      </c>
      <c r="J127" s="24">
        <f t="shared" si="7"/>
        <v>-68.886193187987374</v>
      </c>
      <c r="K127" s="26">
        <f t="shared" si="8"/>
        <v>-1.9462295738863489E-3</v>
      </c>
      <c r="L127" s="26">
        <f t="shared" si="9"/>
        <v>4.5256994798547501E-2</v>
      </c>
      <c r="M127" s="17" t="s">
        <v>59</v>
      </c>
      <c r="N127" s="17" t="s">
        <v>35</v>
      </c>
      <c r="O127" s="17" t="s">
        <v>36</v>
      </c>
    </row>
    <row r="128" spans="1:15" ht="19" customHeight="1">
      <c r="A128" s="18">
        <v>45900</v>
      </c>
      <c r="B128" s="19">
        <v>2025</v>
      </c>
      <c r="C128" s="19" t="s">
        <v>51</v>
      </c>
      <c r="D128" s="19" t="s">
        <v>37</v>
      </c>
      <c r="E128" s="19" t="s">
        <v>33</v>
      </c>
      <c r="F128" s="27">
        <f>'Sources &amp; Checks'!$C$80*'Sources &amp; Checks'!$G$37</f>
        <v>299595.61304083711</v>
      </c>
      <c r="G128" s="28">
        <f>H128*12/F128</f>
        <v>3.1387179626060406E-2</v>
      </c>
      <c r="H128" s="27">
        <f>'Sources &amp; Checks'!$D$80*'Sources &amp; Checks'!$D$37/'Sources &amp; Checks'!$D$39</f>
        <v>783.62177680770321</v>
      </c>
      <c r="I128" s="29">
        <f>F128/F132</f>
        <v>0.64275386959336445</v>
      </c>
      <c r="J128" s="27">
        <f t="shared" si="7"/>
        <v>-584.21886634192197</v>
      </c>
      <c r="K128" s="29">
        <f t="shared" si="8"/>
        <v>-1.9462295738861268E-3</v>
      </c>
      <c r="L128" s="29">
        <f t="shared" si="9"/>
        <v>0.42165770631336308</v>
      </c>
      <c r="M128" s="19" t="s">
        <v>59</v>
      </c>
      <c r="N128" s="19" t="s">
        <v>35</v>
      </c>
      <c r="O128" s="19" t="s">
        <v>36</v>
      </c>
    </row>
    <row r="129" spans="1:15" ht="19" customHeight="1">
      <c r="A129" s="18">
        <v>45900</v>
      </c>
      <c r="B129" s="19">
        <v>2025</v>
      </c>
      <c r="C129" s="19" t="s">
        <v>51</v>
      </c>
      <c r="D129" s="19" t="s">
        <v>38</v>
      </c>
      <c r="E129" s="19" t="s">
        <v>33</v>
      </c>
      <c r="F129" s="27">
        <f>'Sources &amp; Checks'!$C$80*'Sources &amp; Checks'!$G$38</f>
        <v>103449.08276624644</v>
      </c>
      <c r="G129" s="28">
        <f>H129*12/F129</f>
        <v>4.3809273203548799E-2</v>
      </c>
      <c r="H129" s="27">
        <f>'Sources &amp; Checks'!$D$80*'Sources &amp; Checks'!$D$38/'Sources &amp; Checks'!$D$39</f>
        <v>377.66909413025184</v>
      </c>
      <c r="I129" s="29">
        <f>F129/F132</f>
        <v>0.22194015986751359</v>
      </c>
      <c r="J129" s="27">
        <f t="shared" si="7"/>
        <v>-201.72827380344097</v>
      </c>
      <c r="K129" s="29">
        <f t="shared" si="8"/>
        <v>-1.9462295738862379E-3</v>
      </c>
      <c r="L129" s="29">
        <f t="shared" si="9"/>
        <v>0.31547827741982082</v>
      </c>
      <c r="M129" s="19" t="s">
        <v>59</v>
      </c>
      <c r="N129" s="19" t="s">
        <v>35</v>
      </c>
      <c r="O129" s="19" t="s">
        <v>36</v>
      </c>
    </row>
    <row r="130" spans="1:15" ht="19" customHeight="1">
      <c r="A130" s="20">
        <v>45900</v>
      </c>
      <c r="B130" s="21">
        <v>2025</v>
      </c>
      <c r="C130" s="21" t="s">
        <v>51</v>
      </c>
      <c r="D130" s="21" t="s">
        <v>39</v>
      </c>
      <c r="E130" s="21" t="s">
        <v>33</v>
      </c>
      <c r="F130" s="30">
        <f>SUM(F127:F129)</f>
        <v>438370.50000000006</v>
      </c>
      <c r="G130" s="31">
        <f>H130*12/F130</f>
        <v>3.2763926889168973E-2</v>
      </c>
      <c r="H130" s="30">
        <f>SUM(H127:H129)</f>
        <v>1196.8949176973708</v>
      </c>
      <c r="I130" s="32">
        <f>F130/F132</f>
        <v>0.940482179731288</v>
      </c>
      <c r="J130" s="30">
        <f t="shared" si="7"/>
        <v>-854.83333333331393</v>
      </c>
      <c r="K130" s="32">
        <f t="shared" si="8"/>
        <v>-1.9462295738861268E-3</v>
      </c>
      <c r="L130" s="32">
        <f t="shared" si="9"/>
        <v>0.35645768674982148</v>
      </c>
      <c r="M130" s="21" t="s">
        <v>59</v>
      </c>
      <c r="N130" s="21" t="s">
        <v>40</v>
      </c>
      <c r="O130" s="21" t="s">
        <v>41</v>
      </c>
    </row>
    <row r="131" spans="1:15" ht="19" customHeight="1">
      <c r="A131" s="18">
        <v>45900</v>
      </c>
      <c r="B131" s="19">
        <v>2025</v>
      </c>
      <c r="C131" s="19" t="s">
        <v>51</v>
      </c>
      <c r="D131" s="19" t="s">
        <v>42</v>
      </c>
      <c r="E131" s="19" t="s">
        <v>43</v>
      </c>
      <c r="F131" s="27">
        <f>'Sources &amp; Checks'!$J$80</f>
        <v>27742</v>
      </c>
      <c r="G131" s="28">
        <f>0</f>
        <v>0</v>
      </c>
      <c r="H131" s="27">
        <f>0</f>
        <v>0</v>
      </c>
      <c r="I131" s="29">
        <f>F131/F132</f>
        <v>5.9517820268711948E-2</v>
      </c>
      <c r="J131" s="27">
        <f t="shared" si="7"/>
        <v>-87.666666666664241</v>
      </c>
      <c r="K131" s="29">
        <f t="shared" si="8"/>
        <v>-3.1501155840888417E-3</v>
      </c>
      <c r="L131" s="29">
        <f t="shared" si="9"/>
        <v>4.5270435749138027E-2</v>
      </c>
      <c r="M131" s="19" t="s">
        <v>59</v>
      </c>
      <c r="N131" s="19" t="s">
        <v>44</v>
      </c>
      <c r="O131" s="19" t="s">
        <v>41</v>
      </c>
    </row>
    <row r="132" spans="1:15" ht="19" customHeight="1">
      <c r="A132" s="22">
        <v>45900</v>
      </c>
      <c r="B132" s="23">
        <v>2025</v>
      </c>
      <c r="C132" s="23" t="s">
        <v>51</v>
      </c>
      <c r="D132" s="23" t="s">
        <v>45</v>
      </c>
      <c r="E132" s="23" t="s">
        <v>46</v>
      </c>
      <c r="F132" s="33">
        <f>SUM(F130,F131)</f>
        <v>466112.50000000006</v>
      </c>
      <c r="G132" s="34">
        <f>H132*12/F132</f>
        <v>3.0813889377282196E-2</v>
      </c>
      <c r="H132" s="33">
        <f>SUM(H130,H131)</f>
        <v>1196.8949176973708</v>
      </c>
      <c r="I132" s="35">
        <f>F132/F132</f>
        <v>1</v>
      </c>
      <c r="J132" s="33">
        <f t="shared" si="7"/>
        <v>-942.5</v>
      </c>
      <c r="K132" s="35">
        <f t="shared" si="8"/>
        <v>-2.0179636231278941E-3</v>
      </c>
      <c r="L132" s="35">
        <f t="shared" si="9"/>
        <v>0.33284102558236972</v>
      </c>
      <c r="M132" s="23" t="s">
        <v>59</v>
      </c>
      <c r="N132" s="23" t="s">
        <v>47</v>
      </c>
      <c r="O132" s="23" t="s">
        <v>48</v>
      </c>
    </row>
    <row r="133" spans="1:15" ht="19" customHeight="1">
      <c r="A133" s="16">
        <v>45930</v>
      </c>
      <c r="B133" s="17">
        <v>2025</v>
      </c>
      <c r="C133" s="17" t="s">
        <v>51</v>
      </c>
      <c r="D133" s="17" t="s">
        <v>32</v>
      </c>
      <c r="E133" s="17" t="s">
        <v>33</v>
      </c>
      <c r="F133" s="24">
        <f>'Sources &amp; Checks'!$C$81*'Sources &amp; Checks'!$G$36</f>
        <v>35443.309613895544</v>
      </c>
      <c r="G133" s="25">
        <f>H133*12/F133</f>
        <v>1.2094517616067788E-2</v>
      </c>
      <c r="H133" s="24">
        <f>'Sources &amp; Checks'!$D$81*'Sources &amp; Checks'!$D$36/'Sources &amp; Checks'!$D$39</f>
        <v>35.722477708083709</v>
      </c>
      <c r="I133" s="26">
        <f>F133/F138</f>
        <v>7.5813755176726561E-2</v>
      </c>
      <c r="J133" s="24">
        <f t="shared" si="7"/>
        <v>117.50542097906873</v>
      </c>
      <c r="K133" s="26">
        <f t="shared" si="8"/>
        <v>3.3263339268192471E-3</v>
      </c>
      <c r="L133" s="26">
        <f t="shared" si="9"/>
        <v>4.140390370363245E-2</v>
      </c>
      <c r="M133" s="17" t="s">
        <v>59</v>
      </c>
      <c r="N133" s="17" t="s">
        <v>35</v>
      </c>
      <c r="O133" s="17" t="s">
        <v>36</v>
      </c>
    </row>
    <row r="134" spans="1:15" ht="19" customHeight="1">
      <c r="A134" s="18">
        <v>45930</v>
      </c>
      <c r="B134" s="19">
        <v>2025</v>
      </c>
      <c r="C134" s="19" t="s">
        <v>51</v>
      </c>
      <c r="D134" s="19" t="s">
        <v>37</v>
      </c>
      <c r="E134" s="19" t="s">
        <v>33</v>
      </c>
      <c r="F134" s="27">
        <f>'Sources &amp; Checks'!$C$81*'Sources &amp; Checks'!$G$37</f>
        <v>300592.16809282097</v>
      </c>
      <c r="G134" s="28">
        <f>H134*12/F134</f>
        <v>3.1387179626060406E-2</v>
      </c>
      <c r="H134" s="27">
        <f>'Sources &amp; Checks'!$D$81*'Sources &amp; Checks'!$D$37/'Sources &amp; Checks'!$D$39</f>
        <v>786.22836450969282</v>
      </c>
      <c r="I134" s="29">
        <f>F134/F138</f>
        <v>0.6429710229683554</v>
      </c>
      <c r="J134" s="27">
        <f t="shared" si="7"/>
        <v>996.55505198385799</v>
      </c>
      <c r="K134" s="29">
        <f t="shared" si="8"/>
        <v>3.3263339268190251E-3</v>
      </c>
      <c r="L134" s="29">
        <f t="shared" si="9"/>
        <v>0.41641710359511031</v>
      </c>
      <c r="M134" s="19" t="s">
        <v>59</v>
      </c>
      <c r="N134" s="19" t="s">
        <v>35</v>
      </c>
      <c r="O134" s="19" t="s">
        <v>36</v>
      </c>
    </row>
    <row r="135" spans="1:15" ht="19" customHeight="1">
      <c r="A135" s="18">
        <v>45930</v>
      </c>
      <c r="B135" s="19">
        <v>2025</v>
      </c>
      <c r="C135" s="19" t="s">
        <v>51</v>
      </c>
      <c r="D135" s="19" t="s">
        <v>38</v>
      </c>
      <c r="E135" s="19" t="s">
        <v>33</v>
      </c>
      <c r="F135" s="27">
        <f>'Sources &amp; Checks'!$C$81*'Sources &amp; Checks'!$G$38</f>
        <v>103793.18895995012</v>
      </c>
      <c r="G135" s="28">
        <f>H135*12/F135</f>
        <v>4.3809273203548806E-2</v>
      </c>
      <c r="H135" s="27">
        <f>'Sources &amp; Checks'!$D$81*'Sources &amp; Checks'!$D$38/'Sources &amp; Checks'!$D$39</f>
        <v>378.92534765116835</v>
      </c>
      <c r="I135" s="29">
        <f>F135/F138</f>
        <v>0.22201514199837463</v>
      </c>
      <c r="J135" s="27">
        <f t="shared" si="7"/>
        <v>344.10619370367203</v>
      </c>
      <c r="K135" s="29">
        <f t="shared" si="8"/>
        <v>3.3263339268190251E-3</v>
      </c>
      <c r="L135" s="29">
        <f t="shared" si="9"/>
        <v>0.31062907989088417</v>
      </c>
      <c r="M135" s="19" t="s">
        <v>59</v>
      </c>
      <c r="N135" s="19" t="s">
        <v>35</v>
      </c>
      <c r="O135" s="19" t="s">
        <v>36</v>
      </c>
    </row>
    <row r="136" spans="1:15" ht="19" customHeight="1">
      <c r="A136" s="20">
        <v>45930</v>
      </c>
      <c r="B136" s="21">
        <v>2025</v>
      </c>
      <c r="C136" s="21" t="s">
        <v>51</v>
      </c>
      <c r="D136" s="21" t="s">
        <v>39</v>
      </c>
      <c r="E136" s="21" t="s">
        <v>33</v>
      </c>
      <c r="F136" s="30">
        <f>SUM(F133:F135)</f>
        <v>439828.66666666663</v>
      </c>
      <c r="G136" s="31">
        <f>H136*12/F136</f>
        <v>3.276392688916898E-2</v>
      </c>
      <c r="H136" s="30">
        <f>SUM(H133:H135)</f>
        <v>1200.8761898689449</v>
      </c>
      <c r="I136" s="32">
        <f>F136/F138</f>
        <v>0.94079992014345659</v>
      </c>
      <c r="J136" s="30">
        <f t="shared" si="7"/>
        <v>1458.1666666665697</v>
      </c>
      <c r="K136" s="32">
        <f t="shared" si="8"/>
        <v>3.326333926818803E-3</v>
      </c>
      <c r="L136" s="32">
        <f t="shared" si="9"/>
        <v>0.35145742838326299</v>
      </c>
      <c r="M136" s="21" t="s">
        <v>59</v>
      </c>
      <c r="N136" s="21" t="s">
        <v>40</v>
      </c>
      <c r="O136" s="21" t="s">
        <v>41</v>
      </c>
    </row>
    <row r="137" spans="1:15" ht="19" customHeight="1">
      <c r="A137" s="18">
        <v>45930</v>
      </c>
      <c r="B137" s="19">
        <v>2025</v>
      </c>
      <c r="C137" s="19" t="s">
        <v>51</v>
      </c>
      <c r="D137" s="19" t="s">
        <v>42</v>
      </c>
      <c r="E137" s="19" t="s">
        <v>43</v>
      </c>
      <c r="F137" s="27">
        <f>'Sources &amp; Checks'!$J$81</f>
        <v>27676.333333333336</v>
      </c>
      <c r="G137" s="28">
        <f>0</f>
        <v>0</v>
      </c>
      <c r="H137" s="27">
        <f>0</f>
        <v>0</v>
      </c>
      <c r="I137" s="29">
        <f>F137/F138</f>
        <v>5.9200079856543436E-2</v>
      </c>
      <c r="J137" s="27">
        <f t="shared" si="7"/>
        <v>-65.666666666664241</v>
      </c>
      <c r="K137" s="29">
        <f t="shared" si="8"/>
        <v>-2.3670487588012268E-3</v>
      </c>
      <c r="L137" s="29">
        <f t="shared" si="9"/>
        <v>4.8068062761136732E-2</v>
      </c>
      <c r="M137" s="19" t="s">
        <v>59</v>
      </c>
      <c r="N137" s="19" t="s">
        <v>44</v>
      </c>
      <c r="O137" s="19" t="s">
        <v>41</v>
      </c>
    </row>
    <row r="138" spans="1:15" ht="19" customHeight="1">
      <c r="A138" s="22">
        <v>45930</v>
      </c>
      <c r="B138" s="23">
        <v>2025</v>
      </c>
      <c r="C138" s="23" t="s">
        <v>51</v>
      </c>
      <c r="D138" s="23" t="s">
        <v>45</v>
      </c>
      <c r="E138" s="23" t="s">
        <v>46</v>
      </c>
      <c r="F138" s="33">
        <f>SUM(F136,F137)</f>
        <v>467504.99999999994</v>
      </c>
      <c r="G138" s="34">
        <f>H138*12/F138</f>
        <v>3.0824299800916229E-2</v>
      </c>
      <c r="H138" s="33">
        <f>SUM(H136,H137)</f>
        <v>1200.8761898689449</v>
      </c>
      <c r="I138" s="35">
        <f>F138/F138</f>
        <v>1</v>
      </c>
      <c r="J138" s="33">
        <f t="shared" si="7"/>
        <v>1392.4999999998836</v>
      </c>
      <c r="K138" s="35">
        <f t="shared" si="8"/>
        <v>2.9874761994150845E-3</v>
      </c>
      <c r="L138" s="35">
        <f t="shared" si="9"/>
        <v>0.32868779155029926</v>
      </c>
      <c r="M138" s="23" t="s">
        <v>59</v>
      </c>
      <c r="N138" s="23" t="s">
        <v>47</v>
      </c>
      <c r="O138" s="23" t="s">
        <v>48</v>
      </c>
    </row>
    <row r="139" spans="1:15" ht="19" customHeight="1">
      <c r="A139" s="16">
        <v>45961</v>
      </c>
      <c r="B139" s="17">
        <v>2025</v>
      </c>
      <c r="C139" s="17" t="s">
        <v>53</v>
      </c>
      <c r="D139" s="17" t="s">
        <v>32</v>
      </c>
      <c r="E139" s="17" t="s">
        <v>33</v>
      </c>
      <c r="F139" s="24">
        <f>'Sources &amp; Checks'!$C$82*'Sources &amp; Checks'!$G$41</f>
        <v>36106.048525953287</v>
      </c>
      <c r="G139" s="25">
        <f>H139*12/F139</f>
        <v>1.0920602985371248E-2</v>
      </c>
      <c r="H139" s="24">
        <f>'Sources &amp; Checks'!$D$82*'Sources &amp; Checks'!$D$41/'Sources &amp; Checks'!$D$44</f>
        <v>32.858318443540384</v>
      </c>
      <c r="I139" s="26">
        <f>F139/F144</f>
        <v>7.6969860708501397E-2</v>
      </c>
      <c r="J139" s="24">
        <f t="shared" si="7"/>
        <v>662.73891205774271</v>
      </c>
      <c r="K139" s="26">
        <f t="shared" si="8"/>
        <v>1.86985617110067E-2</v>
      </c>
      <c r="L139" s="26">
        <f t="shared" si="9"/>
        <v>3.7545560511155207E-2</v>
      </c>
      <c r="M139" s="17" t="s">
        <v>60</v>
      </c>
      <c r="N139" s="17" t="s">
        <v>35</v>
      </c>
      <c r="O139" s="17" t="s">
        <v>55</v>
      </c>
    </row>
    <row r="140" spans="1:15" ht="19" customHeight="1">
      <c r="A140" s="18">
        <v>45961</v>
      </c>
      <c r="B140" s="19">
        <v>2025</v>
      </c>
      <c r="C140" s="19" t="s">
        <v>53</v>
      </c>
      <c r="D140" s="19" t="s">
        <v>37</v>
      </c>
      <c r="E140" s="19" t="s">
        <v>33</v>
      </c>
      <c r="F140" s="27">
        <f>'Sources &amp; Checks'!$C$82*'Sources &amp; Checks'!$G$42</f>
        <v>300287.67231256003</v>
      </c>
      <c r="G140" s="28">
        <f>H140*12/F140</f>
        <v>3.0691437977215429E-2</v>
      </c>
      <c r="H140" s="27">
        <f>'Sources &amp; Checks'!$D$82*'Sources &amp; Checks'!$D$42/'Sources &amp; Checks'!$D$44</f>
        <v>768.02170584194391</v>
      </c>
      <c r="I140" s="29">
        <f>F140/F144</f>
        <v>0.64014483040878856</v>
      </c>
      <c r="J140" s="27">
        <f t="shared" si="7"/>
        <v>-304.49578026094241</v>
      </c>
      <c r="K140" s="29">
        <f t="shared" si="8"/>
        <v>-1.0129864067746075E-3</v>
      </c>
      <c r="L140" s="29">
        <f t="shared" si="9"/>
        <v>0.39441145893656571</v>
      </c>
      <c r="M140" s="19" t="s">
        <v>60</v>
      </c>
      <c r="N140" s="19" t="s">
        <v>35</v>
      </c>
      <c r="O140" s="19" t="s">
        <v>55</v>
      </c>
    </row>
    <row r="141" spans="1:15" ht="19" customHeight="1">
      <c r="A141" s="18">
        <v>45961</v>
      </c>
      <c r="B141" s="19">
        <v>2025</v>
      </c>
      <c r="C141" s="19" t="s">
        <v>53</v>
      </c>
      <c r="D141" s="19" t="s">
        <v>38</v>
      </c>
      <c r="E141" s="19" t="s">
        <v>33</v>
      </c>
      <c r="F141" s="27">
        <f>'Sources &amp; Checks'!$C$82*'Sources &amp; Checks'!$G$43</f>
        <v>104402.61249482003</v>
      </c>
      <c r="G141" s="28">
        <f>H141*12/F141</f>
        <v>4.1200622220624081E-2</v>
      </c>
      <c r="H141" s="27">
        <f>'Sources &amp; Checks'!$D$82*'Sources &amp; Checks'!$D$43/'Sources &amp; Checks'!$D$44</f>
        <v>358.45438302044062</v>
      </c>
      <c r="I141" s="29">
        <f>F141/F144</f>
        <v>0.22256255861268551</v>
      </c>
      <c r="J141" s="27">
        <f t="shared" si="7"/>
        <v>609.42353486991487</v>
      </c>
      <c r="K141" s="29">
        <f t="shared" si="8"/>
        <v>5.8715175916317364E-3</v>
      </c>
      <c r="L141" s="29">
        <f t="shared" si="9"/>
        <v>0.33236248061677864</v>
      </c>
      <c r="M141" s="19" t="s">
        <v>60</v>
      </c>
      <c r="N141" s="19" t="s">
        <v>35</v>
      </c>
      <c r="O141" s="19" t="s">
        <v>55</v>
      </c>
    </row>
    <row r="142" spans="1:15" ht="19" customHeight="1">
      <c r="A142" s="20">
        <v>45961</v>
      </c>
      <c r="B142" s="21">
        <v>2025</v>
      </c>
      <c r="C142" s="21" t="s">
        <v>53</v>
      </c>
      <c r="D142" s="21" t="s">
        <v>39</v>
      </c>
      <c r="E142" s="21" t="s">
        <v>33</v>
      </c>
      <c r="F142" s="30">
        <f>SUM(F139:F141)</f>
        <v>440796.33333333337</v>
      </c>
      <c r="G142" s="31">
        <f>H142*12/F142</f>
        <v>3.156109031685328E-2</v>
      </c>
      <c r="H142" s="30">
        <f>SUM(H139:H141)</f>
        <v>1159.334407305925</v>
      </c>
      <c r="I142" s="32">
        <f>F142/F144</f>
        <v>0.93967724972997557</v>
      </c>
      <c r="J142" s="30">
        <f t="shared" si="7"/>
        <v>967.66666666674428</v>
      </c>
      <c r="K142" s="32">
        <f t="shared" si="8"/>
        <v>2.2000991295096917E-3</v>
      </c>
      <c r="L142" s="32">
        <f t="shared" si="9"/>
        <v>0.34180764016851883</v>
      </c>
      <c r="M142" s="21" t="s">
        <v>60</v>
      </c>
      <c r="N142" s="21" t="s">
        <v>40</v>
      </c>
      <c r="O142" s="21" t="s">
        <v>41</v>
      </c>
    </row>
    <row r="143" spans="1:15" ht="19" customHeight="1">
      <c r="A143" s="18">
        <v>45961</v>
      </c>
      <c r="B143" s="19">
        <v>2025</v>
      </c>
      <c r="C143" s="19" t="s">
        <v>53</v>
      </c>
      <c r="D143" s="19" t="s">
        <v>42</v>
      </c>
      <c r="E143" s="19" t="s">
        <v>43</v>
      </c>
      <c r="F143" s="27">
        <f>'Sources &amp; Checks'!$J$82</f>
        <v>28297</v>
      </c>
      <c r="G143" s="28">
        <f>0</f>
        <v>0</v>
      </c>
      <c r="H143" s="27">
        <f>0</f>
        <v>0</v>
      </c>
      <c r="I143" s="29">
        <f>F143/F144</f>
        <v>6.0322750270024442E-2</v>
      </c>
      <c r="J143" s="27">
        <f t="shared" si="7"/>
        <v>620.66666666666424</v>
      </c>
      <c r="K143" s="29">
        <f t="shared" si="8"/>
        <v>2.2425899384552306E-2</v>
      </c>
      <c r="L143" s="29">
        <f t="shared" si="9"/>
        <v>5.4193003588858257E-2</v>
      </c>
      <c r="M143" s="19" t="s">
        <v>60</v>
      </c>
      <c r="N143" s="19" t="s">
        <v>44</v>
      </c>
      <c r="O143" s="19" t="s">
        <v>56</v>
      </c>
    </row>
    <row r="144" spans="1:15" ht="19" customHeight="1">
      <c r="A144" s="22">
        <v>45961</v>
      </c>
      <c r="B144" s="23">
        <v>2025</v>
      </c>
      <c r="C144" s="23" t="s">
        <v>53</v>
      </c>
      <c r="D144" s="23" t="s">
        <v>45</v>
      </c>
      <c r="E144" s="23" t="s">
        <v>46</v>
      </c>
      <c r="F144" s="33">
        <f>SUM(F142,F143)</f>
        <v>469093.33333333337</v>
      </c>
      <c r="G144" s="34">
        <f>H144*12/F144</f>
        <v>2.9657238547420053E-2</v>
      </c>
      <c r="H144" s="33">
        <f>SUM(H142,H143)</f>
        <v>1159.334407305925</v>
      </c>
      <c r="I144" s="35">
        <f>F144/F144</f>
        <v>1</v>
      </c>
      <c r="J144" s="33">
        <f t="shared" si="7"/>
        <v>1588.3333333334303</v>
      </c>
      <c r="K144" s="35">
        <f t="shared" si="8"/>
        <v>3.397468119770819E-3</v>
      </c>
      <c r="L144" s="35">
        <f t="shared" si="9"/>
        <v>0.3200819845129943</v>
      </c>
      <c r="M144" s="23" t="s">
        <v>60</v>
      </c>
      <c r="N144" s="23" t="s">
        <v>47</v>
      </c>
      <c r="O144" s="23" t="s">
        <v>48</v>
      </c>
    </row>
    <row r="145" spans="1:15" ht="19" customHeight="1">
      <c r="A145" s="16">
        <v>45991</v>
      </c>
      <c r="B145" s="17">
        <v>2025</v>
      </c>
      <c r="C145" s="17" t="s">
        <v>53</v>
      </c>
      <c r="D145" s="17" t="s">
        <v>32</v>
      </c>
      <c r="E145" s="17" t="s">
        <v>33</v>
      </c>
      <c r="F145" s="24">
        <f>'Sources &amp; Checks'!$C$83*'Sources &amp; Checks'!$G$41</f>
        <v>36177.201842003728</v>
      </c>
      <c r="G145" s="25">
        <f>H145*12/F145</f>
        <v>1.0920602985371251E-2</v>
      </c>
      <c r="H145" s="24">
        <f>'Sources &amp; Checks'!$D$83*'Sources &amp; Checks'!$D$41/'Sources &amp; Checks'!$D$44</f>
        <v>32.923071536513682</v>
      </c>
      <c r="I145" s="26">
        <f>F145/F150</f>
        <v>7.6880186503070186E-2</v>
      </c>
      <c r="J145" s="24">
        <f t="shared" si="7"/>
        <v>71.15331605044048</v>
      </c>
      <c r="K145" s="26">
        <f t="shared" si="8"/>
        <v>1.9706757996320601E-3</v>
      </c>
      <c r="L145" s="26">
        <f t="shared" si="9"/>
        <v>3.0768023237540687E-2</v>
      </c>
      <c r="M145" s="17" t="s">
        <v>60</v>
      </c>
      <c r="N145" s="17" t="s">
        <v>35</v>
      </c>
      <c r="O145" s="17" t="s">
        <v>55</v>
      </c>
    </row>
    <row r="146" spans="1:15" ht="19" customHeight="1">
      <c r="A146" s="18">
        <v>45991</v>
      </c>
      <c r="B146" s="19">
        <v>2025</v>
      </c>
      <c r="C146" s="19" t="s">
        <v>53</v>
      </c>
      <c r="D146" s="19" t="s">
        <v>37</v>
      </c>
      <c r="E146" s="19" t="s">
        <v>33</v>
      </c>
      <c r="F146" s="27">
        <f>'Sources &amp; Checks'!$C$83*'Sources &amp; Checks'!$G$42</f>
        <v>300879.4419613143</v>
      </c>
      <c r="G146" s="28">
        <f>H146*12/F146</f>
        <v>3.0691437977215432E-2</v>
      </c>
      <c r="H146" s="27">
        <f>'Sources &amp; Checks'!$D$83*'Sources &amp; Checks'!$D$42/'Sources &amp; Checks'!$D$44</f>
        <v>769.53522763123908</v>
      </c>
      <c r="I146" s="29">
        <f>F146/F150</f>
        <v>0.63939902577176055</v>
      </c>
      <c r="J146" s="27">
        <f t="shared" si="7"/>
        <v>591.76964875427075</v>
      </c>
      <c r="K146" s="29">
        <f t="shared" si="8"/>
        <v>1.9706757996322821E-3</v>
      </c>
      <c r="L146" s="29">
        <f t="shared" si="9"/>
        <v>0.38530277398104285</v>
      </c>
      <c r="M146" s="19" t="s">
        <v>60</v>
      </c>
      <c r="N146" s="19" t="s">
        <v>35</v>
      </c>
      <c r="O146" s="19" t="s">
        <v>55</v>
      </c>
    </row>
    <row r="147" spans="1:15" ht="19" customHeight="1">
      <c r="A147" s="18">
        <v>45991</v>
      </c>
      <c r="B147" s="19">
        <v>2025</v>
      </c>
      <c r="C147" s="19" t="s">
        <v>53</v>
      </c>
      <c r="D147" s="19" t="s">
        <v>38</v>
      </c>
      <c r="E147" s="19" t="s">
        <v>33</v>
      </c>
      <c r="F147" s="27">
        <f>'Sources &amp; Checks'!$C$83*'Sources &amp; Checks'!$G$43</f>
        <v>104608.35619668195</v>
      </c>
      <c r="G147" s="28">
        <f>H147*12/F147</f>
        <v>4.1200622220624081E-2</v>
      </c>
      <c r="H147" s="27">
        <f>'Sources &amp; Checks'!$D$83*'Sources &amp; Checks'!$D$43/'Sources &amp; Checks'!$D$44</f>
        <v>359.1607803983311</v>
      </c>
      <c r="I147" s="29">
        <f>F147/F150</f>
        <v>0.22230326074701945</v>
      </c>
      <c r="J147" s="27">
        <f t="shared" ref="J147:J178" si="10">F147-F141</f>
        <v>205.74370186192391</v>
      </c>
      <c r="K147" s="29">
        <f t="shared" ref="K147:K178" si="11">IF(F141=0,"n.a.",F147/F141-1)</f>
        <v>1.9706757996322821E-3</v>
      </c>
      <c r="L147" s="29">
        <f t="shared" si="9"/>
        <v>0.32365911691109539</v>
      </c>
      <c r="M147" s="19" t="s">
        <v>60</v>
      </c>
      <c r="N147" s="19" t="s">
        <v>35</v>
      </c>
      <c r="O147" s="19" t="s">
        <v>55</v>
      </c>
    </row>
    <row r="148" spans="1:15" ht="19" customHeight="1">
      <c r="A148" s="20">
        <v>45991</v>
      </c>
      <c r="B148" s="21">
        <v>2025</v>
      </c>
      <c r="C148" s="21" t="s">
        <v>53</v>
      </c>
      <c r="D148" s="21" t="s">
        <v>39</v>
      </c>
      <c r="E148" s="21" t="s">
        <v>33</v>
      </c>
      <c r="F148" s="30">
        <f>SUM(F145:F147)</f>
        <v>441665</v>
      </c>
      <c r="G148" s="31">
        <f>H148*12/F148</f>
        <v>3.1561090316853287E-2</v>
      </c>
      <c r="H148" s="30">
        <f>SUM(H145:H147)</f>
        <v>1161.6190795660839</v>
      </c>
      <c r="I148" s="32">
        <f>F148/F150</f>
        <v>0.93858247302185027</v>
      </c>
      <c r="J148" s="30">
        <f t="shared" si="10"/>
        <v>868.66666666662786</v>
      </c>
      <c r="K148" s="32">
        <f t="shared" si="11"/>
        <v>1.9706757996322821E-3</v>
      </c>
      <c r="L148" s="32">
        <f t="shared" si="9"/>
        <v>0.33304257804364945</v>
      </c>
      <c r="M148" s="21" t="s">
        <v>60</v>
      </c>
      <c r="N148" s="21" t="s">
        <v>40</v>
      </c>
      <c r="O148" s="21" t="s">
        <v>41</v>
      </c>
    </row>
    <row r="149" spans="1:15" ht="19" customHeight="1">
      <c r="A149" s="18">
        <v>45991</v>
      </c>
      <c r="B149" s="19">
        <v>2025</v>
      </c>
      <c r="C149" s="19" t="s">
        <v>53</v>
      </c>
      <c r="D149" s="19" t="s">
        <v>42</v>
      </c>
      <c r="E149" s="19" t="s">
        <v>43</v>
      </c>
      <c r="F149" s="27">
        <f>'Sources &amp; Checks'!$J$83</f>
        <v>28901</v>
      </c>
      <c r="G149" s="28">
        <f>0</f>
        <v>0</v>
      </c>
      <c r="H149" s="27">
        <f>0</f>
        <v>0</v>
      </c>
      <c r="I149" s="29">
        <f>F149/F150</f>
        <v>6.1417526978149721E-2</v>
      </c>
      <c r="J149" s="27">
        <f t="shared" si="10"/>
        <v>604</v>
      </c>
      <c r="K149" s="29">
        <f t="shared" si="11"/>
        <v>2.134501890659779E-2</v>
      </c>
      <c r="L149" s="29">
        <f t="shared" ref="L149:L180" si="12">IF(F77=0,"n.a.",F149/F77-1)</f>
        <v>6.0042546948356756E-2</v>
      </c>
      <c r="M149" s="19" t="s">
        <v>60</v>
      </c>
      <c r="N149" s="19" t="s">
        <v>44</v>
      </c>
      <c r="O149" s="19" t="s">
        <v>56</v>
      </c>
    </row>
    <row r="150" spans="1:15" ht="19" customHeight="1">
      <c r="A150" s="22">
        <v>45991</v>
      </c>
      <c r="B150" s="23">
        <v>2025</v>
      </c>
      <c r="C150" s="23" t="s">
        <v>53</v>
      </c>
      <c r="D150" s="23" t="s">
        <v>45</v>
      </c>
      <c r="E150" s="23" t="s">
        <v>46</v>
      </c>
      <c r="F150" s="33">
        <f>SUM(F148,F149)</f>
        <v>470566</v>
      </c>
      <c r="G150" s="34">
        <f>H150*12/F150</f>
        <v>2.9622686200858128E-2</v>
      </c>
      <c r="H150" s="33">
        <f>SUM(H148,H149)</f>
        <v>1161.6190795660839</v>
      </c>
      <c r="I150" s="35">
        <f>F150/F150</f>
        <v>1</v>
      </c>
      <c r="J150" s="33">
        <f t="shared" si="10"/>
        <v>1472.6666666666279</v>
      </c>
      <c r="K150" s="35">
        <f t="shared" si="11"/>
        <v>3.1393894605193928E-3</v>
      </c>
      <c r="L150" s="35">
        <f t="shared" si="12"/>
        <v>0.31228578998006062</v>
      </c>
      <c r="M150" s="23" t="s">
        <v>60</v>
      </c>
      <c r="N150" s="23" t="s">
        <v>47</v>
      </c>
      <c r="O150" s="23" t="s">
        <v>48</v>
      </c>
    </row>
    <row r="151" spans="1:15" ht="19" customHeight="1">
      <c r="A151" s="16">
        <v>46022</v>
      </c>
      <c r="B151" s="17">
        <v>2025</v>
      </c>
      <c r="C151" s="17" t="s">
        <v>53</v>
      </c>
      <c r="D151" s="17" t="s">
        <v>32</v>
      </c>
      <c r="E151" s="17" t="s">
        <v>33</v>
      </c>
      <c r="F151" s="24">
        <f>'Sources &amp; Checks'!$C$84*'Sources &amp; Checks'!$G$41</f>
        <v>36501.951474046713</v>
      </c>
      <c r="G151" s="25">
        <f>H151*12/F151</f>
        <v>1.0920602985371251E-2</v>
      </c>
      <c r="H151" s="24">
        <f>'Sources &amp; Checks'!$D$84*'Sources &amp; Checks'!$D$41/'Sources &amp; Checks'!$D$44</f>
        <v>33.21861001994592</v>
      </c>
      <c r="I151" s="26">
        <f>F151/F156</f>
        <v>7.7048865663612187E-2</v>
      </c>
      <c r="J151" s="24">
        <f t="shared" si="10"/>
        <v>324.74963204298547</v>
      </c>
      <c r="K151" s="26">
        <f t="shared" si="11"/>
        <v>8.9766376476894116E-3</v>
      </c>
      <c r="L151" s="26">
        <f t="shared" si="12"/>
        <v>2.9426890857201515E-2</v>
      </c>
      <c r="M151" s="17" t="s">
        <v>60</v>
      </c>
      <c r="N151" s="17" t="s">
        <v>35</v>
      </c>
      <c r="O151" s="17" t="s">
        <v>55</v>
      </c>
    </row>
    <row r="152" spans="1:15" ht="19" customHeight="1">
      <c r="A152" s="18">
        <v>46022</v>
      </c>
      <c r="B152" s="19">
        <v>2025</v>
      </c>
      <c r="C152" s="19" t="s">
        <v>53</v>
      </c>
      <c r="D152" s="19" t="s">
        <v>37</v>
      </c>
      <c r="E152" s="19" t="s">
        <v>33</v>
      </c>
      <c r="F152" s="27">
        <f>'Sources &amp; Checks'!$C$84*'Sources &amp; Checks'!$G$42</f>
        <v>303580.32768743992</v>
      </c>
      <c r="G152" s="28">
        <f>H152*12/F152</f>
        <v>3.0691437977215439E-2</v>
      </c>
      <c r="H152" s="27">
        <f>'Sources &amp; Checks'!$D$84*'Sources &amp; Checks'!$D$42/'Sources &amp; Checks'!$D$44</f>
        <v>776.44306652681678</v>
      </c>
      <c r="I152" s="29">
        <f>F152/F156</f>
        <v>0.64080190076236998</v>
      </c>
      <c r="J152" s="27">
        <f t="shared" si="10"/>
        <v>2700.8857261256198</v>
      </c>
      <c r="K152" s="29">
        <f t="shared" si="11"/>
        <v>8.9766376476891896E-3</v>
      </c>
      <c r="L152" s="29">
        <f t="shared" si="12"/>
        <v>0.38350035640029145</v>
      </c>
      <c r="M152" s="19" t="s">
        <v>60</v>
      </c>
      <c r="N152" s="19" t="s">
        <v>35</v>
      </c>
      <c r="O152" s="19" t="s">
        <v>55</v>
      </c>
    </row>
    <row r="153" spans="1:15" ht="19" customHeight="1">
      <c r="A153" s="18">
        <v>46022</v>
      </c>
      <c r="B153" s="19">
        <v>2025</v>
      </c>
      <c r="C153" s="19" t="s">
        <v>53</v>
      </c>
      <c r="D153" s="19" t="s">
        <v>38</v>
      </c>
      <c r="E153" s="19" t="s">
        <v>33</v>
      </c>
      <c r="F153" s="27">
        <f>'Sources &amp; Checks'!$C$84*'Sources &amp; Checks'!$G$43</f>
        <v>105547.38750517997</v>
      </c>
      <c r="G153" s="28">
        <f>H153*12/F153</f>
        <v>4.1200622220624088E-2</v>
      </c>
      <c r="H153" s="27">
        <f>'Sources &amp; Checks'!$D$84*'Sources &amp; Checks'!$D$43/'Sources &amp; Checks'!$D$44</f>
        <v>362.38483658122823</v>
      </c>
      <c r="I153" s="29">
        <f>F153/F156</f>
        <v>0.22279100575797953</v>
      </c>
      <c r="J153" s="27">
        <f t="shared" si="10"/>
        <v>939.03130849801528</v>
      </c>
      <c r="K153" s="29">
        <f t="shared" si="11"/>
        <v>8.9766376476891896E-3</v>
      </c>
      <c r="L153" s="29">
        <f t="shared" si="12"/>
        <v>0.32193690389885554</v>
      </c>
      <c r="M153" s="19" t="s">
        <v>60</v>
      </c>
      <c r="N153" s="19" t="s">
        <v>35</v>
      </c>
      <c r="O153" s="19" t="s">
        <v>55</v>
      </c>
    </row>
    <row r="154" spans="1:15" ht="19" customHeight="1">
      <c r="A154" s="20">
        <v>46022</v>
      </c>
      <c r="B154" s="21">
        <v>2025</v>
      </c>
      <c r="C154" s="21" t="s">
        <v>53</v>
      </c>
      <c r="D154" s="21" t="s">
        <v>39</v>
      </c>
      <c r="E154" s="21" t="s">
        <v>33</v>
      </c>
      <c r="F154" s="30">
        <f>SUM(F151:F153)</f>
        <v>445629.66666666663</v>
      </c>
      <c r="G154" s="31">
        <f>H154*12/F154</f>
        <v>3.1561090316853294E-2</v>
      </c>
      <c r="H154" s="30">
        <f>SUM(H151:H153)</f>
        <v>1172.0465131279909</v>
      </c>
      <c r="I154" s="32">
        <f>F154/F156</f>
        <v>0.94064177218396172</v>
      </c>
      <c r="J154" s="30">
        <f t="shared" si="10"/>
        <v>3964.6666666666279</v>
      </c>
      <c r="K154" s="32">
        <f t="shared" si="11"/>
        <v>8.9766376476891896E-3</v>
      </c>
      <c r="L154" s="32">
        <f t="shared" si="12"/>
        <v>0.33130815620917109</v>
      </c>
      <c r="M154" s="21" t="s">
        <v>60</v>
      </c>
      <c r="N154" s="21" t="s">
        <v>40</v>
      </c>
      <c r="O154" s="21" t="s">
        <v>41</v>
      </c>
    </row>
    <row r="155" spans="1:15" ht="19" customHeight="1">
      <c r="A155" s="18">
        <v>46022</v>
      </c>
      <c r="B155" s="19">
        <v>2025</v>
      </c>
      <c r="C155" s="19" t="s">
        <v>53</v>
      </c>
      <c r="D155" s="19" t="s">
        <v>42</v>
      </c>
      <c r="E155" s="19" t="s">
        <v>43</v>
      </c>
      <c r="F155" s="27">
        <f>'Sources &amp; Checks'!$J$84</f>
        <v>28121</v>
      </c>
      <c r="G155" s="28">
        <f>0</f>
        <v>0</v>
      </c>
      <c r="H155" s="27">
        <f>0</f>
        <v>0</v>
      </c>
      <c r="I155" s="29">
        <f>F155/F156</f>
        <v>5.9358227816038257E-2</v>
      </c>
      <c r="J155" s="27">
        <f t="shared" si="10"/>
        <v>-780</v>
      </c>
      <c r="K155" s="29">
        <f t="shared" si="11"/>
        <v>-2.6988685512612021E-2</v>
      </c>
      <c r="L155" s="29">
        <f t="shared" si="12"/>
        <v>5.4339811285384121E-2</v>
      </c>
      <c r="M155" s="19" t="s">
        <v>60</v>
      </c>
      <c r="N155" s="19" t="s">
        <v>44</v>
      </c>
      <c r="O155" s="19" t="s">
        <v>56</v>
      </c>
    </row>
    <row r="156" spans="1:15" ht="19" customHeight="1">
      <c r="A156" s="22">
        <v>46022</v>
      </c>
      <c r="B156" s="23">
        <v>2025</v>
      </c>
      <c r="C156" s="23" t="s">
        <v>53</v>
      </c>
      <c r="D156" s="23" t="s">
        <v>45</v>
      </c>
      <c r="E156" s="23" t="s">
        <v>46</v>
      </c>
      <c r="F156" s="33">
        <f>SUM(F154,F155)</f>
        <v>473750.66666666663</v>
      </c>
      <c r="G156" s="34">
        <f>H156*12/F156</f>
        <v>2.9687679927702954E-2</v>
      </c>
      <c r="H156" s="33">
        <f>SUM(H154,H155)</f>
        <v>1172.0465131279909</v>
      </c>
      <c r="I156" s="35">
        <f>F156/F156</f>
        <v>1</v>
      </c>
      <c r="J156" s="33">
        <f t="shared" si="10"/>
        <v>3184.6666666666279</v>
      </c>
      <c r="K156" s="35">
        <f t="shared" si="11"/>
        <v>6.7677364422134012E-3</v>
      </c>
      <c r="L156" s="35">
        <f t="shared" si="12"/>
        <v>0.31086775864756455</v>
      </c>
      <c r="M156" s="23" t="s">
        <v>60</v>
      </c>
      <c r="N156" s="23" t="s">
        <v>47</v>
      </c>
      <c r="O156" s="23" t="s">
        <v>48</v>
      </c>
    </row>
    <row r="157" spans="1:15" ht="19" customHeight="1">
      <c r="A157" s="16">
        <v>46053</v>
      </c>
      <c r="B157" s="17">
        <v>2026</v>
      </c>
      <c r="C157" s="17" t="s">
        <v>31</v>
      </c>
      <c r="D157" s="17" t="s">
        <v>32</v>
      </c>
      <c r="E157" s="17" t="s">
        <v>33</v>
      </c>
      <c r="F157" s="24">
        <f>'Sources &amp; Checks'!$C$85*'Sources &amp; Checks'!$G$46</f>
        <v>38279.169537515001</v>
      </c>
      <c r="G157" s="25">
        <f>H157*12/F157</f>
        <v>1.1825003203823467E-2</v>
      </c>
      <c r="H157" s="24">
        <f>'Sources &amp; Checks'!$D$85*'Sources &amp; Checks'!$D$46/'Sources &amp; Checks'!$D$49</f>
        <v>37.720941868401383</v>
      </c>
      <c r="I157" s="26">
        <f>F157/F162</f>
        <v>8.0497793771831749E-2</v>
      </c>
      <c r="J157" s="24">
        <f t="shared" si="10"/>
        <v>1777.2180634682882</v>
      </c>
      <c r="K157" s="26">
        <f t="shared" si="11"/>
        <v>4.8688302726277888E-2</v>
      </c>
      <c r="L157" s="26">
        <f t="shared" si="12"/>
        <v>5.9536327545579137E-2</v>
      </c>
      <c r="M157" s="17" t="s">
        <v>61</v>
      </c>
      <c r="N157" s="17" t="s">
        <v>35</v>
      </c>
      <c r="O157" s="17" t="s">
        <v>36</v>
      </c>
    </row>
    <row r="158" spans="1:15" ht="19" customHeight="1">
      <c r="A158" s="18">
        <v>46053</v>
      </c>
      <c r="B158" s="19">
        <v>2026</v>
      </c>
      <c r="C158" s="19" t="s">
        <v>31</v>
      </c>
      <c r="D158" s="19" t="s">
        <v>37</v>
      </c>
      <c r="E158" s="19" t="s">
        <v>33</v>
      </c>
      <c r="F158" s="27">
        <f>'Sources &amp; Checks'!$C$85*'Sources &amp; Checks'!$G$47</f>
        <v>306436.43144517438</v>
      </c>
      <c r="G158" s="28">
        <f>H158*12/F158</f>
        <v>2.9322640827080724E-2</v>
      </c>
      <c r="H158" s="27">
        <f>'Sources &amp; Checks'!$D$85*'Sources &amp; Checks'!$D$47/'Sources &amp; Checks'!$D$49</f>
        <v>748.79378463326611</v>
      </c>
      <c r="I158" s="29">
        <f>F158/F162</f>
        <v>0.64440939969908928</v>
      </c>
      <c r="J158" s="27">
        <f t="shared" si="10"/>
        <v>2856.1037577344687</v>
      </c>
      <c r="K158" s="29">
        <f t="shared" si="11"/>
        <v>9.4080659952218149E-3</v>
      </c>
      <c r="L158" s="29">
        <f t="shared" si="12"/>
        <v>0.35115533196898885</v>
      </c>
      <c r="M158" s="19" t="s">
        <v>61</v>
      </c>
      <c r="N158" s="19" t="s">
        <v>35</v>
      </c>
      <c r="O158" s="19" t="s">
        <v>36</v>
      </c>
    </row>
    <row r="159" spans="1:15" ht="19" customHeight="1">
      <c r="A159" s="18">
        <v>46053</v>
      </c>
      <c r="B159" s="19">
        <v>2026</v>
      </c>
      <c r="C159" s="19" t="s">
        <v>31</v>
      </c>
      <c r="D159" s="19" t="s">
        <v>38</v>
      </c>
      <c r="E159" s="19" t="s">
        <v>33</v>
      </c>
      <c r="F159" s="27">
        <f>'Sources &amp; Checks'!$C$85*'Sources &amp; Checks'!$G$48</f>
        <v>102997.73235064399</v>
      </c>
      <c r="G159" s="28">
        <f>H159*12/F159</f>
        <v>3.8936116581453725E-2</v>
      </c>
      <c r="H159" s="27">
        <f>'Sources &amp; Checks'!$D$85*'Sources &amp; Checks'!$D$48/'Sources &amp; Checks'!$D$49</f>
        <v>334.19430953583685</v>
      </c>
      <c r="I159" s="29">
        <f>F159/F162</f>
        <v>0.21659535245671638</v>
      </c>
      <c r="J159" s="27">
        <f t="shared" si="10"/>
        <v>-2549.6551545359835</v>
      </c>
      <c r="K159" s="29">
        <f t="shared" si="11"/>
        <v>-2.415649704651246E-2</v>
      </c>
      <c r="L159" s="29">
        <f t="shared" si="12"/>
        <v>0.40216433653205041</v>
      </c>
      <c r="M159" s="19" t="s">
        <v>61</v>
      </c>
      <c r="N159" s="19" t="s">
        <v>35</v>
      </c>
      <c r="O159" s="19" t="s">
        <v>36</v>
      </c>
    </row>
    <row r="160" spans="1:15" ht="19" customHeight="1">
      <c r="A160" s="20">
        <v>46053</v>
      </c>
      <c r="B160" s="21">
        <v>2026</v>
      </c>
      <c r="C160" s="21" t="s">
        <v>31</v>
      </c>
      <c r="D160" s="21" t="s">
        <v>39</v>
      </c>
      <c r="E160" s="21" t="s">
        <v>33</v>
      </c>
      <c r="F160" s="30">
        <f>SUM(F157:F159)</f>
        <v>447713.33333333337</v>
      </c>
      <c r="G160" s="31">
        <f>H160*12/F160</f>
        <v>3.0038212917008023E-2</v>
      </c>
      <c r="H160" s="30">
        <f>SUM(H157:H159)</f>
        <v>1120.7090360375043</v>
      </c>
      <c r="I160" s="32">
        <f>F160/F162</f>
        <v>0.94150254592763738</v>
      </c>
      <c r="J160" s="30">
        <f t="shared" si="10"/>
        <v>2083.6666666667443</v>
      </c>
      <c r="K160" s="32">
        <f t="shared" si="11"/>
        <v>4.6757808613879792E-3</v>
      </c>
      <c r="L160" s="32">
        <f t="shared" si="12"/>
        <v>0.33097357059122556</v>
      </c>
      <c r="M160" s="21" t="s">
        <v>61</v>
      </c>
      <c r="N160" s="21" t="s">
        <v>40</v>
      </c>
      <c r="O160" s="21" t="s">
        <v>41</v>
      </c>
    </row>
    <row r="161" spans="1:15" ht="19" customHeight="1">
      <c r="A161" s="18">
        <v>46053</v>
      </c>
      <c r="B161" s="19">
        <v>2026</v>
      </c>
      <c r="C161" s="19" t="s">
        <v>31</v>
      </c>
      <c r="D161" s="19" t="s">
        <v>42</v>
      </c>
      <c r="E161" s="19" t="s">
        <v>43</v>
      </c>
      <c r="F161" s="27">
        <f>'Sources &amp; Checks'!$J$85</f>
        <v>27817.333333333336</v>
      </c>
      <c r="G161" s="28">
        <f>0</f>
        <v>0</v>
      </c>
      <c r="H161" s="27">
        <f>0</f>
        <v>0</v>
      </c>
      <c r="I161" s="29">
        <f>F161/F162</f>
        <v>5.8497454072362669E-2</v>
      </c>
      <c r="J161" s="27">
        <f t="shared" si="10"/>
        <v>-303.66666666666424</v>
      </c>
      <c r="K161" s="29">
        <f t="shared" si="11"/>
        <v>-1.079857283406227E-2</v>
      </c>
      <c r="L161" s="29">
        <f t="shared" si="12"/>
        <v>6.5308415032679923E-2</v>
      </c>
      <c r="M161" s="19" t="s">
        <v>61</v>
      </c>
      <c r="N161" s="19" t="s">
        <v>44</v>
      </c>
      <c r="O161" s="19" t="s">
        <v>41</v>
      </c>
    </row>
    <row r="162" spans="1:15" ht="19" customHeight="1">
      <c r="A162" s="22">
        <v>46053</v>
      </c>
      <c r="B162" s="23">
        <v>2026</v>
      </c>
      <c r="C162" s="23" t="s">
        <v>31</v>
      </c>
      <c r="D162" s="23" t="s">
        <v>45</v>
      </c>
      <c r="E162" s="23" t="s">
        <v>46</v>
      </c>
      <c r="F162" s="33">
        <f>SUM(F160,F161)</f>
        <v>475530.66666666669</v>
      </c>
      <c r="G162" s="34">
        <f>H162*12/F162</f>
        <v>2.8281053936479495E-2</v>
      </c>
      <c r="H162" s="33">
        <f>SUM(H160,H161)</f>
        <v>1120.7090360375043</v>
      </c>
      <c r="I162" s="35">
        <f>F162/F162</f>
        <v>1</v>
      </c>
      <c r="J162" s="33">
        <f t="shared" si="10"/>
        <v>1780.0000000000582</v>
      </c>
      <c r="K162" s="35">
        <f t="shared" si="11"/>
        <v>3.757250649427446E-3</v>
      </c>
      <c r="L162" s="35">
        <f t="shared" si="12"/>
        <v>0.31183648021981147</v>
      </c>
      <c r="M162" s="23" t="s">
        <v>61</v>
      </c>
      <c r="N162" s="23" t="s">
        <v>47</v>
      </c>
      <c r="O162" s="23" t="s">
        <v>48</v>
      </c>
    </row>
    <row r="163" spans="1:15" ht="19" customHeight="1">
      <c r="A163" s="16">
        <v>46081</v>
      </c>
      <c r="B163" s="17">
        <v>2026</v>
      </c>
      <c r="C163" s="17" t="s">
        <v>31</v>
      </c>
      <c r="D163" s="17" t="s">
        <v>32</v>
      </c>
      <c r="E163" s="17" t="s">
        <v>33</v>
      </c>
      <c r="F163" s="24">
        <f>'Sources &amp; Checks'!$C$86*'Sources &amp; Checks'!$G$46</f>
        <v>38403.07225023619</v>
      </c>
      <c r="G163" s="25">
        <f>H163*12/F163</f>
        <v>1.1825003203823471E-2</v>
      </c>
      <c r="H163" s="24">
        <f>'Sources &amp; Checks'!$D$86*'Sources &amp; Checks'!$D$46/'Sources &amp; Checks'!$D$49</f>
        <v>37.843037699642259</v>
      </c>
      <c r="I163" s="26">
        <f>F163/F168</f>
        <v>8.0424608485449731E-2</v>
      </c>
      <c r="J163" s="24">
        <f t="shared" si="10"/>
        <v>123.90271272118844</v>
      </c>
      <c r="K163" s="26">
        <f t="shared" si="11"/>
        <v>3.2368182021231817E-3</v>
      </c>
      <c r="L163" s="26">
        <f t="shared" si="12"/>
        <v>6.1308907975632376E-2</v>
      </c>
      <c r="M163" s="17" t="s">
        <v>61</v>
      </c>
      <c r="N163" s="17" t="s">
        <v>35</v>
      </c>
      <c r="O163" s="17" t="s">
        <v>36</v>
      </c>
    </row>
    <row r="164" spans="1:15" ht="19" customHeight="1">
      <c r="A164" s="18">
        <v>46081</v>
      </c>
      <c r="B164" s="19">
        <v>2026</v>
      </c>
      <c r="C164" s="19" t="s">
        <v>31</v>
      </c>
      <c r="D164" s="19" t="s">
        <v>37</v>
      </c>
      <c r="E164" s="19" t="s">
        <v>33</v>
      </c>
      <c r="F164" s="27">
        <f>'Sources &amp; Checks'!$C$86*'Sources &amp; Checks'!$G$47</f>
        <v>307428.31046426983</v>
      </c>
      <c r="G164" s="28">
        <f>H164*12/F164</f>
        <v>2.932264082708072E-2</v>
      </c>
      <c r="H164" s="27">
        <f>'Sources &amp; Checks'!$D$86*'Sources &amp; Checks'!$D$47/'Sources &amp; Checks'!$D$49</f>
        <v>751.21749398500378</v>
      </c>
      <c r="I164" s="29">
        <f>F164/F168</f>
        <v>0.64382352915215335</v>
      </c>
      <c r="J164" s="27">
        <f t="shared" si="10"/>
        <v>991.87901909544598</v>
      </c>
      <c r="K164" s="29">
        <f t="shared" si="11"/>
        <v>3.2368182021231817E-3</v>
      </c>
      <c r="L164" s="29">
        <f t="shared" si="12"/>
        <v>0.35341578443026389</v>
      </c>
      <c r="M164" s="19" t="s">
        <v>61</v>
      </c>
      <c r="N164" s="19" t="s">
        <v>35</v>
      </c>
      <c r="O164" s="19" t="s">
        <v>36</v>
      </c>
    </row>
    <row r="165" spans="1:15" ht="19" customHeight="1">
      <c r="A165" s="18">
        <v>46081</v>
      </c>
      <c r="B165" s="19">
        <v>2026</v>
      </c>
      <c r="C165" s="19" t="s">
        <v>31</v>
      </c>
      <c r="D165" s="19" t="s">
        <v>38</v>
      </c>
      <c r="E165" s="19" t="s">
        <v>33</v>
      </c>
      <c r="F165" s="27">
        <f>'Sources &amp; Checks'!$C$86*'Sources &amp; Checks'!$G$48</f>
        <v>103331.11728549397</v>
      </c>
      <c r="G165" s="28">
        <f>H165*12/F165</f>
        <v>3.8936116581453732E-2</v>
      </c>
      <c r="H165" s="27">
        <f>'Sources &amp; Checks'!$D$86*'Sources &amp; Checks'!$D$48/'Sources &amp; Checks'!$D$49</f>
        <v>335.27603575998847</v>
      </c>
      <c r="I165" s="29">
        <f>F165/F168</f>
        <v>0.21639843286232988</v>
      </c>
      <c r="J165" s="27">
        <f t="shared" si="10"/>
        <v>333.38493484997889</v>
      </c>
      <c r="K165" s="29">
        <f t="shared" si="11"/>
        <v>3.2368182021231817E-3</v>
      </c>
      <c r="L165" s="29">
        <f t="shared" si="12"/>
        <v>0.40451012590995017</v>
      </c>
      <c r="M165" s="19" t="s">
        <v>61</v>
      </c>
      <c r="N165" s="19" t="s">
        <v>35</v>
      </c>
      <c r="O165" s="19" t="s">
        <v>36</v>
      </c>
    </row>
    <row r="166" spans="1:15" ht="19" customHeight="1">
      <c r="A166" s="20">
        <v>46081</v>
      </c>
      <c r="B166" s="21">
        <v>2026</v>
      </c>
      <c r="C166" s="21" t="s">
        <v>31</v>
      </c>
      <c r="D166" s="21" t="s">
        <v>39</v>
      </c>
      <c r="E166" s="21" t="s">
        <v>33</v>
      </c>
      <c r="F166" s="30">
        <f>SUM(F163:F165)</f>
        <v>449162.5</v>
      </c>
      <c r="G166" s="31">
        <f>H166*12/F166</f>
        <v>3.003821291700802E-2</v>
      </c>
      <c r="H166" s="30">
        <f>SUM(H163:H165)</f>
        <v>1124.3365674446345</v>
      </c>
      <c r="I166" s="32">
        <f>F166/F168</f>
        <v>0.94064657049993294</v>
      </c>
      <c r="J166" s="30">
        <f t="shared" si="10"/>
        <v>1449.1666666666279</v>
      </c>
      <c r="K166" s="32">
        <f t="shared" si="11"/>
        <v>3.2368182021234038E-3</v>
      </c>
      <c r="L166" s="32">
        <f t="shared" si="12"/>
        <v>0.33320025941992637</v>
      </c>
      <c r="M166" s="21" t="s">
        <v>61</v>
      </c>
      <c r="N166" s="21" t="s">
        <v>40</v>
      </c>
      <c r="O166" s="21" t="s">
        <v>41</v>
      </c>
    </row>
    <row r="167" spans="1:15" ht="19" customHeight="1">
      <c r="A167" s="18">
        <v>46081</v>
      </c>
      <c r="B167" s="19">
        <v>2026</v>
      </c>
      <c r="C167" s="19" t="s">
        <v>31</v>
      </c>
      <c r="D167" s="19" t="s">
        <v>42</v>
      </c>
      <c r="E167" s="19" t="s">
        <v>43</v>
      </c>
      <c r="F167" s="27">
        <f>'Sources &amp; Checks'!$J$86</f>
        <v>28341.5</v>
      </c>
      <c r="G167" s="28">
        <f>0</f>
        <v>0</v>
      </c>
      <c r="H167" s="27">
        <f>0</f>
        <v>0</v>
      </c>
      <c r="I167" s="29">
        <f>F167/F168</f>
        <v>5.9353429500067015E-2</v>
      </c>
      <c r="J167" s="27">
        <f t="shared" si="10"/>
        <v>524.16666666666424</v>
      </c>
      <c r="K167" s="29">
        <f t="shared" si="11"/>
        <v>1.8843167329722466E-2</v>
      </c>
      <c r="L167" s="29">
        <f t="shared" si="12"/>
        <v>8.3183642270208358E-2</v>
      </c>
      <c r="M167" s="19" t="s">
        <v>61</v>
      </c>
      <c r="N167" s="19" t="s">
        <v>44</v>
      </c>
      <c r="O167" s="19" t="s">
        <v>41</v>
      </c>
    </row>
    <row r="168" spans="1:15" ht="19" customHeight="1">
      <c r="A168" s="22">
        <v>46081</v>
      </c>
      <c r="B168" s="23">
        <v>2026</v>
      </c>
      <c r="C168" s="23" t="s">
        <v>31</v>
      </c>
      <c r="D168" s="23" t="s">
        <v>45</v>
      </c>
      <c r="E168" s="23" t="s">
        <v>46</v>
      </c>
      <c r="F168" s="33">
        <f>SUM(F166,F167)</f>
        <v>477504</v>
      </c>
      <c r="G168" s="34">
        <f>H168*12/F168</f>
        <v>2.8255341964330379E-2</v>
      </c>
      <c r="H168" s="33">
        <f>SUM(H166,H167)</f>
        <v>1124.3365674446345</v>
      </c>
      <c r="I168" s="35">
        <f>F168/F168</f>
        <v>1</v>
      </c>
      <c r="J168" s="33">
        <f t="shared" si="10"/>
        <v>1973.3333333333139</v>
      </c>
      <c r="K168" s="35">
        <f t="shared" si="11"/>
        <v>4.1497498934524035E-3</v>
      </c>
      <c r="L168" s="35">
        <f t="shared" si="12"/>
        <v>0.31518258850553815</v>
      </c>
      <c r="M168" s="23" t="s">
        <v>61</v>
      </c>
      <c r="N168" s="23" t="s">
        <v>47</v>
      </c>
      <c r="O168" s="23" t="s">
        <v>48</v>
      </c>
    </row>
    <row r="169" spans="1:15" ht="19" customHeight="1">
      <c r="A169" s="16">
        <v>46112</v>
      </c>
      <c r="B169" s="17">
        <v>2026</v>
      </c>
      <c r="C169" s="17" t="s">
        <v>31</v>
      </c>
      <c r="D169" s="17" t="s">
        <v>32</v>
      </c>
      <c r="E169" s="17" t="s">
        <v>33</v>
      </c>
      <c r="F169" s="24">
        <f>'Sources &amp; Checks'!$C$87*'Sources &amp; Checks'!$G$46</f>
        <v>39004.830462484992</v>
      </c>
      <c r="G169" s="25">
        <f>H169*12/F169</f>
        <v>1.1825003203823473E-2</v>
      </c>
      <c r="H169" s="24">
        <f>'Sources &amp; Checks'!$D$87*'Sources &amp; Checks'!$D$46/'Sources &amp; Checks'!$D$49</f>
        <v>38.436020431956365</v>
      </c>
      <c r="I169" s="26">
        <f>F169/F174</f>
        <v>8.0524383746449088E-2</v>
      </c>
      <c r="J169" s="24">
        <f t="shared" si="10"/>
        <v>601.75821224880201</v>
      </c>
      <c r="K169" s="26">
        <f t="shared" si="11"/>
        <v>1.5669533112552037E-2</v>
      </c>
      <c r="L169" s="26">
        <f t="shared" si="12"/>
        <v>7.0332967872046126E-2</v>
      </c>
      <c r="M169" s="17" t="s">
        <v>61</v>
      </c>
      <c r="N169" s="17" t="s">
        <v>35</v>
      </c>
      <c r="O169" s="17" t="s">
        <v>36</v>
      </c>
    </row>
    <row r="170" spans="1:15" ht="19" customHeight="1">
      <c r="A170" s="18">
        <v>46112</v>
      </c>
      <c r="B170" s="19">
        <v>2026</v>
      </c>
      <c r="C170" s="19" t="s">
        <v>31</v>
      </c>
      <c r="D170" s="19" t="s">
        <v>37</v>
      </c>
      <c r="E170" s="19" t="s">
        <v>33</v>
      </c>
      <c r="F170" s="27">
        <f>'Sources &amp; Checks'!$C$87*'Sources &amp; Checks'!$G$47</f>
        <v>312245.56855482562</v>
      </c>
      <c r="G170" s="28">
        <f>H170*12/F170</f>
        <v>2.9322640827080724E-2</v>
      </c>
      <c r="H170" s="27">
        <f>'Sources &amp; Checks'!$D$87*'Sources &amp; Checks'!$D$47/'Sources &amp; Checks'!$D$49</f>
        <v>762.98872138173022</v>
      </c>
      <c r="I170" s="29">
        <f>F170/F174</f>
        <v>0.64462226055872662</v>
      </c>
      <c r="J170" s="27">
        <f t="shared" si="10"/>
        <v>4817.2580905557843</v>
      </c>
      <c r="K170" s="29">
        <f t="shared" si="11"/>
        <v>1.5669533112552037E-2</v>
      </c>
      <c r="L170" s="29">
        <f t="shared" si="12"/>
        <v>0.36492356035833584</v>
      </c>
      <c r="M170" s="19" t="s">
        <v>61</v>
      </c>
      <c r="N170" s="19" t="s">
        <v>35</v>
      </c>
      <c r="O170" s="19" t="s">
        <v>36</v>
      </c>
    </row>
    <row r="171" spans="1:15" ht="19" customHeight="1">
      <c r="A171" s="18">
        <v>46112</v>
      </c>
      <c r="B171" s="19">
        <v>2026</v>
      </c>
      <c r="C171" s="19" t="s">
        <v>31</v>
      </c>
      <c r="D171" s="19" t="s">
        <v>38</v>
      </c>
      <c r="E171" s="19" t="s">
        <v>33</v>
      </c>
      <c r="F171" s="27">
        <f>'Sources &amp; Checks'!$C$87*'Sources &amp; Checks'!$G$48</f>
        <v>104950.26764935601</v>
      </c>
      <c r="G171" s="28">
        <f>H171*12/F171</f>
        <v>3.8936116581453725E-2</v>
      </c>
      <c r="H171" s="27">
        <f>'Sources &amp; Checks'!$D$87*'Sources &amp; Checks'!$D$48/'Sources &amp; Checks'!$D$49</f>
        <v>340.52965470417479</v>
      </c>
      <c r="I171" s="29">
        <f>F171/F174</f>
        <v>0.21666689808118883</v>
      </c>
      <c r="J171" s="27">
        <f t="shared" si="10"/>
        <v>1619.1503638620488</v>
      </c>
      <c r="K171" s="29">
        <f t="shared" si="11"/>
        <v>1.5669533112552037E-2</v>
      </c>
      <c r="L171" s="29">
        <f t="shared" si="12"/>
        <v>0.41645234500006056</v>
      </c>
      <c r="M171" s="19" t="s">
        <v>61</v>
      </c>
      <c r="N171" s="19" t="s">
        <v>35</v>
      </c>
      <c r="O171" s="19" t="s">
        <v>36</v>
      </c>
    </row>
    <row r="172" spans="1:15" ht="19" customHeight="1">
      <c r="A172" s="20">
        <v>46112</v>
      </c>
      <c r="B172" s="21">
        <v>2026</v>
      </c>
      <c r="C172" s="21" t="s">
        <v>31</v>
      </c>
      <c r="D172" s="21" t="s">
        <v>39</v>
      </c>
      <c r="E172" s="21" t="s">
        <v>33</v>
      </c>
      <c r="F172" s="30">
        <f>SUM(F169:F171)</f>
        <v>456200.66666666663</v>
      </c>
      <c r="G172" s="31">
        <f>H172*12/F172</f>
        <v>3.0038212917008023E-2</v>
      </c>
      <c r="H172" s="30">
        <f>SUM(H169:H171)</f>
        <v>1141.9543965178614</v>
      </c>
      <c r="I172" s="32">
        <f>F172/F174</f>
        <v>0.9418135423863645</v>
      </c>
      <c r="J172" s="30">
        <f t="shared" si="10"/>
        <v>7038.1666666666279</v>
      </c>
      <c r="K172" s="32">
        <f t="shared" si="11"/>
        <v>1.5669533112552037E-2</v>
      </c>
      <c r="L172" s="32">
        <f t="shared" si="12"/>
        <v>0.34453614749596961</v>
      </c>
      <c r="M172" s="21" t="s">
        <v>61</v>
      </c>
      <c r="N172" s="21" t="s">
        <v>40</v>
      </c>
      <c r="O172" s="21" t="s">
        <v>41</v>
      </c>
    </row>
    <row r="173" spans="1:15" ht="19" customHeight="1">
      <c r="A173" s="18">
        <v>46112</v>
      </c>
      <c r="B173" s="19">
        <v>2026</v>
      </c>
      <c r="C173" s="19" t="s">
        <v>31</v>
      </c>
      <c r="D173" s="19" t="s">
        <v>42</v>
      </c>
      <c r="E173" s="19" t="s">
        <v>43</v>
      </c>
      <c r="F173" s="27">
        <f>'Sources &amp; Checks'!$J$87</f>
        <v>28184.666666666664</v>
      </c>
      <c r="G173" s="28">
        <f>0</f>
        <v>0</v>
      </c>
      <c r="H173" s="27">
        <f>0</f>
        <v>0</v>
      </c>
      <c r="I173" s="29">
        <f>F173/F174</f>
        <v>5.8186457613635424E-2</v>
      </c>
      <c r="J173" s="27">
        <f t="shared" si="10"/>
        <v>-156.83333333333576</v>
      </c>
      <c r="K173" s="29">
        <f t="shared" si="11"/>
        <v>-5.5336991102565847E-3</v>
      </c>
      <c r="L173" s="29">
        <f t="shared" si="12"/>
        <v>6.9058817579527476E-2</v>
      </c>
      <c r="M173" s="19" t="s">
        <v>61</v>
      </c>
      <c r="N173" s="19" t="s">
        <v>44</v>
      </c>
      <c r="O173" s="19" t="s">
        <v>41</v>
      </c>
    </row>
    <row r="174" spans="1:15" ht="19" customHeight="1">
      <c r="A174" s="22">
        <v>46112</v>
      </c>
      <c r="B174" s="23">
        <v>2026</v>
      </c>
      <c r="C174" s="23" t="s">
        <v>31</v>
      </c>
      <c r="D174" s="23" t="s">
        <v>45</v>
      </c>
      <c r="E174" s="23" t="s">
        <v>46</v>
      </c>
      <c r="F174" s="33">
        <f>SUM(F172,F173)</f>
        <v>484385.33333333331</v>
      </c>
      <c r="G174" s="34">
        <f>H174*12/F174</f>
        <v>2.8290395714323176E-2</v>
      </c>
      <c r="H174" s="33">
        <f>SUM(H172,H173)</f>
        <v>1141.9543965178614</v>
      </c>
      <c r="I174" s="35">
        <f>F174/F174</f>
        <v>1</v>
      </c>
      <c r="J174" s="33">
        <f t="shared" si="10"/>
        <v>6881.3333333333139</v>
      </c>
      <c r="K174" s="35">
        <f t="shared" si="11"/>
        <v>1.4411048563641948E-2</v>
      </c>
      <c r="L174" s="35">
        <f t="shared" si="12"/>
        <v>0.3246744959621366</v>
      </c>
      <c r="M174" s="23" t="s">
        <v>61</v>
      </c>
      <c r="N174" s="23" t="s">
        <v>47</v>
      </c>
      <c r="O174" s="23" t="s">
        <v>48</v>
      </c>
    </row>
    <row r="175" spans="1:15" ht="19" customHeight="1">
      <c r="A175" s="16">
        <v>46142</v>
      </c>
      <c r="B175" s="17">
        <v>2026</v>
      </c>
      <c r="C175" s="17" t="s">
        <v>49</v>
      </c>
      <c r="D175" s="17" t="s">
        <v>32</v>
      </c>
      <c r="E175" s="17" t="s">
        <v>33</v>
      </c>
      <c r="F175" s="24">
        <f>'Sources &amp; Checks'!$C$88*'Sources &amp; Checks'!$G$51</f>
        <v>39893.604171305087</v>
      </c>
      <c r="G175" s="25">
        <f>H175*12/F175</f>
        <v>1.1675924818705948E-2</v>
      </c>
      <c r="H175" s="24">
        <f>'Sources &amp; Checks'!$D$88*'Sources &amp; Checks'!$D$51/'Sources &amp; Checks'!$D$54</f>
        <v>38.816226920947685</v>
      </c>
      <c r="I175" s="26">
        <f>F175/F180</f>
        <v>8.1683964453189525E-2</v>
      </c>
      <c r="J175" s="24">
        <f t="shared" si="10"/>
        <v>888.77370882009564</v>
      </c>
      <c r="K175" s="26">
        <f t="shared" si="11"/>
        <v>2.2786247197636778E-2</v>
      </c>
      <c r="L175" s="26">
        <f t="shared" si="12"/>
        <v>0.21930910703828599</v>
      </c>
      <c r="M175" s="17" t="s">
        <v>62</v>
      </c>
      <c r="N175" s="17" t="s">
        <v>35</v>
      </c>
      <c r="O175" s="17" t="s">
        <v>36</v>
      </c>
    </row>
    <row r="176" spans="1:15" ht="19" customHeight="1">
      <c r="A176" s="18">
        <v>46142</v>
      </c>
      <c r="B176" s="19">
        <v>2026</v>
      </c>
      <c r="C176" s="19" t="s">
        <v>49</v>
      </c>
      <c r="D176" s="19" t="s">
        <v>37</v>
      </c>
      <c r="E176" s="19" t="s">
        <v>33</v>
      </c>
      <c r="F176" s="27">
        <f>'Sources &amp; Checks'!$C$88*'Sources &amp; Checks'!$G$52</f>
        <v>315442.3273263048</v>
      </c>
      <c r="G176" s="28">
        <f>H176*12/F176</f>
        <v>2.8132535806771893E-2</v>
      </c>
      <c r="H176" s="27">
        <f>'Sources &amp; Checks'!$D$88*'Sources &amp; Checks'!$D$52/'Sources &amp; Checks'!$D$54</f>
        <v>739.51604737322748</v>
      </c>
      <c r="I176" s="29">
        <f>F176/F180</f>
        <v>0.64588247634157847</v>
      </c>
      <c r="J176" s="27">
        <f t="shared" si="10"/>
        <v>3196.758771479188</v>
      </c>
      <c r="K176" s="29">
        <f t="shared" si="11"/>
        <v>1.0237963620348012E-2</v>
      </c>
      <c r="L176" s="29">
        <f t="shared" si="12"/>
        <v>0.29854872781142761</v>
      </c>
      <c r="M176" s="19" t="s">
        <v>62</v>
      </c>
      <c r="N176" s="19" t="s">
        <v>35</v>
      </c>
      <c r="O176" s="19" t="s">
        <v>36</v>
      </c>
    </row>
    <row r="177" spans="1:15" ht="19" customHeight="1">
      <c r="A177" s="18">
        <v>46142</v>
      </c>
      <c r="B177" s="19">
        <v>2026</v>
      </c>
      <c r="C177" s="19" t="s">
        <v>49</v>
      </c>
      <c r="D177" s="19" t="s">
        <v>38</v>
      </c>
      <c r="E177" s="19" t="s">
        <v>33</v>
      </c>
      <c r="F177" s="27">
        <f>'Sources &amp; Checks'!$C$88*'Sources &amp; Checks'!$G$53</f>
        <v>104345.06850239016</v>
      </c>
      <c r="G177" s="28">
        <f>H177*12/F177</f>
        <v>3.8944412704612824E-2</v>
      </c>
      <c r="H177" s="27">
        <f>'Sources &amp; Checks'!$D$88*'Sources &amp; Checks'!$D$53/'Sources &amp; Checks'!$D$54</f>
        <v>338.63811762068156</v>
      </c>
      <c r="I177" s="29">
        <f>F177/F180</f>
        <v>0.21365126173647575</v>
      </c>
      <c r="J177" s="27">
        <f t="shared" si="10"/>
        <v>-605.19914696585329</v>
      </c>
      <c r="K177" s="29">
        <f t="shared" si="11"/>
        <v>-5.7665326684811502E-3</v>
      </c>
      <c r="L177" s="29">
        <f t="shared" si="12"/>
        <v>0.33071701302826906</v>
      </c>
      <c r="M177" s="19" t="s">
        <v>62</v>
      </c>
      <c r="N177" s="19" t="s">
        <v>35</v>
      </c>
      <c r="O177" s="19" t="s">
        <v>36</v>
      </c>
    </row>
    <row r="178" spans="1:15" ht="19" customHeight="1">
      <c r="A178" s="20">
        <v>46142</v>
      </c>
      <c r="B178" s="21">
        <v>2026</v>
      </c>
      <c r="C178" s="21" t="s">
        <v>49</v>
      </c>
      <c r="D178" s="21" t="s">
        <v>39</v>
      </c>
      <c r="E178" s="21" t="s">
        <v>33</v>
      </c>
      <c r="F178" s="30">
        <f>SUM(F175:F177)</f>
        <v>459681.00000000006</v>
      </c>
      <c r="G178" s="31">
        <f>H178*12/F178</f>
        <v>2.9158578890531212E-2</v>
      </c>
      <c r="H178" s="30">
        <f>SUM(H175:H177)</f>
        <v>1116.9703919148567</v>
      </c>
      <c r="I178" s="32">
        <f>F178/F180</f>
        <v>0.94121770253124382</v>
      </c>
      <c r="J178" s="30">
        <f t="shared" si="10"/>
        <v>3480.3333333334303</v>
      </c>
      <c r="K178" s="32">
        <f t="shared" si="11"/>
        <v>7.6289527561703707E-3</v>
      </c>
      <c r="L178" s="32">
        <f t="shared" si="12"/>
        <v>0.29835051546391766</v>
      </c>
      <c r="M178" s="21" t="s">
        <v>62</v>
      </c>
      <c r="N178" s="21" t="s">
        <v>40</v>
      </c>
      <c r="O178" s="21" t="s">
        <v>41</v>
      </c>
    </row>
    <row r="179" spans="1:15" ht="19" customHeight="1">
      <c r="A179" s="18">
        <v>46142</v>
      </c>
      <c r="B179" s="19">
        <v>2026</v>
      </c>
      <c r="C179" s="19" t="s">
        <v>49</v>
      </c>
      <c r="D179" s="19" t="s">
        <v>42</v>
      </c>
      <c r="E179" s="19" t="s">
        <v>43</v>
      </c>
      <c r="F179" s="27">
        <f>'Sources &amp; Checks'!$J$88</f>
        <v>28708.666666666664</v>
      </c>
      <c r="G179" s="28">
        <f>0</f>
        <v>0</v>
      </c>
      <c r="H179" s="27">
        <f>0</f>
        <v>0</v>
      </c>
      <c r="I179" s="29">
        <f>F179/F180</f>
        <v>5.8782297468756149E-2</v>
      </c>
      <c r="J179" s="27">
        <f t="shared" ref="J179:J210" si="13">F179-F173</f>
        <v>524</v>
      </c>
      <c r="K179" s="29">
        <f t="shared" ref="K179:K210" si="14">IF(F173=0,"n.a.",F179/F173-1)</f>
        <v>1.8591669229131691E-2</v>
      </c>
      <c r="L179" s="29">
        <f t="shared" si="12"/>
        <v>6.4493004400059117E-2</v>
      </c>
      <c r="M179" s="19" t="s">
        <v>62</v>
      </c>
      <c r="N179" s="19" t="s">
        <v>44</v>
      </c>
      <c r="O179" s="19" t="s">
        <v>41</v>
      </c>
    </row>
    <row r="180" spans="1:15" ht="19" customHeight="1">
      <c r="A180" s="22">
        <v>46142</v>
      </c>
      <c r="B180" s="23">
        <v>2026</v>
      </c>
      <c r="C180" s="23" t="s">
        <v>49</v>
      </c>
      <c r="D180" s="23" t="s">
        <v>45</v>
      </c>
      <c r="E180" s="23" t="s">
        <v>46</v>
      </c>
      <c r="F180" s="33">
        <f>SUM(F178,F179)</f>
        <v>488389.66666666674</v>
      </c>
      <c r="G180" s="34">
        <f>H180*12/F180</f>
        <v>2.7444570632421811E-2</v>
      </c>
      <c r="H180" s="33">
        <f>SUM(H178,H179)</f>
        <v>1116.9703919148567</v>
      </c>
      <c r="I180" s="35">
        <f>F180/F180</f>
        <v>1</v>
      </c>
      <c r="J180" s="33">
        <f t="shared" si="13"/>
        <v>4004.3333333334303</v>
      </c>
      <c r="K180" s="35">
        <f t="shared" si="14"/>
        <v>8.2668343935545785E-3</v>
      </c>
      <c r="L180" s="35">
        <f t="shared" si="12"/>
        <v>0.28179759907196344</v>
      </c>
      <c r="M180" s="23" t="s">
        <v>62</v>
      </c>
      <c r="N180" s="23" t="s">
        <v>47</v>
      </c>
      <c r="O180" s="23" t="s">
        <v>48</v>
      </c>
    </row>
    <row r="181" spans="1:15" ht="19" customHeight="1">
      <c r="A181" s="16">
        <v>46173</v>
      </c>
      <c r="B181" s="17">
        <v>2026</v>
      </c>
      <c r="C181" s="17" t="s">
        <v>49</v>
      </c>
      <c r="D181" s="17" t="s">
        <v>32</v>
      </c>
      <c r="E181" s="17" t="s">
        <v>33</v>
      </c>
      <c r="F181" s="24">
        <f>'Sources &amp; Checks'!$C$89*'Sources &amp; Checks'!$G$51</f>
        <v>39701.67823652675</v>
      </c>
      <c r="G181" s="25">
        <f>H181*12/F181</f>
        <v>1.1675924818705949E-2</v>
      </c>
      <c r="H181" s="24">
        <f>'Sources &amp; Checks'!$D$89*'Sources &amp; Checks'!$D$51/'Sources &amp; Checks'!$D$54</f>
        <v>38.629484188845048</v>
      </c>
      <c r="I181" s="26">
        <f>F181/F186</f>
        <v>8.1535175162861684E-2</v>
      </c>
      <c r="J181" s="24">
        <f t="shared" si="13"/>
        <v>-191.92593477833725</v>
      </c>
      <c r="K181" s="26">
        <f t="shared" si="14"/>
        <v>-4.8109449814109917E-3</v>
      </c>
      <c r="L181" s="26">
        <f t="shared" ref="L181:L212" si="15">IF(F109=0,"n.a.",F181/F109-1)</f>
        <v>0.11973249036394451</v>
      </c>
      <c r="M181" s="17" t="s">
        <v>62</v>
      </c>
      <c r="N181" s="17" t="s">
        <v>35</v>
      </c>
      <c r="O181" s="17" t="s">
        <v>36</v>
      </c>
    </row>
    <row r="182" spans="1:15" ht="19" customHeight="1">
      <c r="A182" s="18">
        <v>46173</v>
      </c>
      <c r="B182" s="19">
        <v>2026</v>
      </c>
      <c r="C182" s="19" t="s">
        <v>49</v>
      </c>
      <c r="D182" s="19" t="s">
        <v>37</v>
      </c>
      <c r="E182" s="19" t="s">
        <v>33</v>
      </c>
      <c r="F182" s="27">
        <f>'Sources &amp; Checks'!$C$89*'Sources &amp; Checks'!$G$52</f>
        <v>313924.75164472969</v>
      </c>
      <c r="G182" s="28">
        <f>H182*12/F182</f>
        <v>2.8132535806771899E-2</v>
      </c>
      <c r="H182" s="27">
        <f>'Sources &amp; Checks'!$D$89*'Sources &amp; Checks'!$D$52/'Sources &amp; Checks'!$D$54</f>
        <v>735.95827635644446</v>
      </c>
      <c r="I182" s="29">
        <f>F182/F186</f>
        <v>0.64470598599939966</v>
      </c>
      <c r="J182" s="27">
        <f t="shared" si="13"/>
        <v>-1517.5756815751083</v>
      </c>
      <c r="K182" s="29">
        <f t="shared" si="14"/>
        <v>-4.8109449814111027E-3</v>
      </c>
      <c r="L182" s="29">
        <f t="shared" si="15"/>
        <v>0.19250089452958186</v>
      </c>
      <c r="M182" s="19" t="s">
        <v>62</v>
      </c>
      <c r="N182" s="19" t="s">
        <v>35</v>
      </c>
      <c r="O182" s="19" t="s">
        <v>36</v>
      </c>
    </row>
    <row r="183" spans="1:15" ht="19" customHeight="1">
      <c r="A183" s="18">
        <v>46173</v>
      </c>
      <c r="B183" s="19">
        <v>2026</v>
      </c>
      <c r="C183" s="19" t="s">
        <v>49</v>
      </c>
      <c r="D183" s="19" t="s">
        <v>38</v>
      </c>
      <c r="E183" s="19" t="s">
        <v>33</v>
      </c>
      <c r="F183" s="27">
        <f>'Sources &amp; Checks'!$C$89*'Sources &amp; Checks'!$G$53</f>
        <v>103843.07011874359</v>
      </c>
      <c r="G183" s="28">
        <f>H183*12/F183</f>
        <v>3.8944412704612831E-2</v>
      </c>
      <c r="H183" s="27">
        <f>'Sources &amp; Checks'!$D$89*'Sources &amp; Checks'!$D$53/'Sources &amp; Checks'!$D$54</f>
        <v>337.0089482681999</v>
      </c>
      <c r="I183" s="29">
        <f>F183/F186</f>
        <v>0.21326209086525</v>
      </c>
      <c r="J183" s="27">
        <f t="shared" si="13"/>
        <v>-501.99838364656898</v>
      </c>
      <c r="K183" s="29">
        <f t="shared" si="14"/>
        <v>-4.8109449814111027E-3</v>
      </c>
      <c r="L183" s="29">
        <f t="shared" si="15"/>
        <v>0.22204211086977987</v>
      </c>
      <c r="M183" s="19" t="s">
        <v>62</v>
      </c>
      <c r="N183" s="19" t="s">
        <v>35</v>
      </c>
      <c r="O183" s="19" t="s">
        <v>36</v>
      </c>
    </row>
    <row r="184" spans="1:15" ht="19" customHeight="1">
      <c r="A184" s="20">
        <v>46173</v>
      </c>
      <c r="B184" s="21">
        <v>2026</v>
      </c>
      <c r="C184" s="21" t="s">
        <v>49</v>
      </c>
      <c r="D184" s="21" t="s">
        <v>39</v>
      </c>
      <c r="E184" s="21" t="s">
        <v>33</v>
      </c>
      <c r="F184" s="30">
        <f>SUM(F181:F183)</f>
        <v>457469.5</v>
      </c>
      <c r="G184" s="31">
        <f>H184*12/F184</f>
        <v>2.9158578890531223E-2</v>
      </c>
      <c r="H184" s="30">
        <f>SUM(H181:H183)</f>
        <v>1111.5967088134894</v>
      </c>
      <c r="I184" s="32">
        <f>F184/F186</f>
        <v>0.93950325202751128</v>
      </c>
      <c r="J184" s="30">
        <f t="shared" si="13"/>
        <v>-2211.5000000000582</v>
      </c>
      <c r="K184" s="32">
        <f t="shared" si="14"/>
        <v>-4.8109449814111027E-3</v>
      </c>
      <c r="L184" s="32">
        <f t="shared" si="15"/>
        <v>0.19231886947603538</v>
      </c>
      <c r="M184" s="21" t="s">
        <v>62</v>
      </c>
      <c r="N184" s="21" t="s">
        <v>40</v>
      </c>
      <c r="O184" s="21" t="s">
        <v>41</v>
      </c>
    </row>
    <row r="185" spans="1:15" ht="19" customHeight="1">
      <c r="A185" s="18">
        <v>46173</v>
      </c>
      <c r="B185" s="19">
        <v>2026</v>
      </c>
      <c r="C185" s="19" t="s">
        <v>49</v>
      </c>
      <c r="D185" s="19" t="s">
        <v>42</v>
      </c>
      <c r="E185" s="19" t="s">
        <v>43</v>
      </c>
      <c r="F185" s="27">
        <f>'Sources &amp; Checks'!$J$89</f>
        <v>29457.5</v>
      </c>
      <c r="G185" s="28">
        <f>0</f>
        <v>0</v>
      </c>
      <c r="H185" s="27">
        <f>0</f>
        <v>0</v>
      </c>
      <c r="I185" s="29">
        <f>F185/F186</f>
        <v>6.049674797248869E-2</v>
      </c>
      <c r="J185" s="27">
        <f t="shared" si="13"/>
        <v>748.83333333333576</v>
      </c>
      <c r="K185" s="29">
        <f t="shared" si="14"/>
        <v>2.6083877110280485E-2</v>
      </c>
      <c r="L185" s="29">
        <f t="shared" si="15"/>
        <v>6.4658366011890678E-2</v>
      </c>
      <c r="M185" s="19" t="s">
        <v>62</v>
      </c>
      <c r="N185" s="19" t="s">
        <v>44</v>
      </c>
      <c r="O185" s="19" t="s">
        <v>41</v>
      </c>
    </row>
    <row r="186" spans="1:15" ht="19" customHeight="1">
      <c r="A186" s="22">
        <v>46173</v>
      </c>
      <c r="B186" s="23">
        <v>2026</v>
      </c>
      <c r="C186" s="23" t="s">
        <v>49</v>
      </c>
      <c r="D186" s="23" t="s">
        <v>45</v>
      </c>
      <c r="E186" s="23" t="s">
        <v>46</v>
      </c>
      <c r="F186" s="33">
        <f>SUM(F184,F185)</f>
        <v>486927</v>
      </c>
      <c r="G186" s="34">
        <f>H186*12/F186</f>
        <v>2.7394579692154825E-2</v>
      </c>
      <c r="H186" s="33">
        <f>SUM(H184,H185)</f>
        <v>1111.5967088134894</v>
      </c>
      <c r="I186" s="35">
        <f>F186/F186</f>
        <v>1</v>
      </c>
      <c r="J186" s="33">
        <f t="shared" si="13"/>
        <v>-1462.6666666667443</v>
      </c>
      <c r="K186" s="35">
        <f t="shared" si="14"/>
        <v>-2.9948763589731087E-3</v>
      </c>
      <c r="L186" s="35">
        <f t="shared" si="15"/>
        <v>0.18373206206894865</v>
      </c>
      <c r="M186" s="23" t="s">
        <v>62</v>
      </c>
      <c r="N186" s="23" t="s">
        <v>47</v>
      </c>
      <c r="O186" s="23" t="s">
        <v>48</v>
      </c>
    </row>
    <row r="187" spans="1:15" ht="19" customHeight="1">
      <c r="A187" s="16">
        <v>46203</v>
      </c>
      <c r="B187" s="17">
        <v>2026</v>
      </c>
      <c r="C187" s="17" t="s">
        <v>49</v>
      </c>
      <c r="D187" s="17" t="s">
        <v>32</v>
      </c>
      <c r="E187" s="17" t="s">
        <v>33</v>
      </c>
      <c r="F187" s="24">
        <f>'Sources &amp; Checks'!$C$90*'Sources &amp; Checks'!$G$51</f>
        <v>39624.395828694913</v>
      </c>
      <c r="G187" s="25">
        <f>H187*12/F187</f>
        <v>1.1675924818705948E-2</v>
      </c>
      <c r="H187" s="24">
        <f>'Sources &amp; Checks'!$D$90*'Sources &amp; Checks'!$D$51/'Sources &amp; Checks'!$D$54</f>
        <v>38.554288890207282</v>
      </c>
      <c r="I187" s="26">
        <f>F187/F192</f>
        <v>8.166739889822712E-2</v>
      </c>
      <c r="J187" s="24">
        <f t="shared" si="13"/>
        <v>-77.28240783183719</v>
      </c>
      <c r="K187" s="26">
        <f t="shared" si="14"/>
        <v>-1.9465778592889782E-3</v>
      </c>
      <c r="L187" s="26">
        <f t="shared" si="15"/>
        <v>2.035855278584342E-2</v>
      </c>
      <c r="M187" s="17" t="s">
        <v>62</v>
      </c>
      <c r="N187" s="17" t="s">
        <v>35</v>
      </c>
      <c r="O187" s="17" t="s">
        <v>36</v>
      </c>
    </row>
    <row r="188" spans="1:15" ht="19" customHeight="1">
      <c r="A188" s="18">
        <v>46203</v>
      </c>
      <c r="B188" s="19">
        <v>2026</v>
      </c>
      <c r="C188" s="19" t="s">
        <v>49</v>
      </c>
      <c r="D188" s="19" t="s">
        <v>37</v>
      </c>
      <c r="E188" s="19" t="s">
        <v>33</v>
      </c>
      <c r="F188" s="27">
        <f>'Sources &amp; Checks'!$C$90*'Sources &amp; Checks'!$G$52</f>
        <v>313313.67267369526</v>
      </c>
      <c r="G188" s="28">
        <f>H188*12/F188</f>
        <v>2.8132535806771896E-2</v>
      </c>
      <c r="H188" s="27">
        <f>'Sources &amp; Checks'!$D$90*'Sources &amp; Checks'!$D$52/'Sources &amp; Checks'!$D$54</f>
        <v>734.5256762703284</v>
      </c>
      <c r="I188" s="29">
        <f>F188/F192</f>
        <v>0.64575149100397011</v>
      </c>
      <c r="J188" s="27">
        <f t="shared" si="13"/>
        <v>-611.07897103443975</v>
      </c>
      <c r="K188" s="29">
        <f t="shared" si="14"/>
        <v>-1.9465778592890892E-3</v>
      </c>
      <c r="L188" s="29">
        <f t="shared" si="15"/>
        <v>8.6668911913541535E-2</v>
      </c>
      <c r="M188" s="19" t="s">
        <v>62</v>
      </c>
      <c r="N188" s="19" t="s">
        <v>35</v>
      </c>
      <c r="O188" s="19" t="s">
        <v>36</v>
      </c>
    </row>
    <row r="189" spans="1:15" ht="19" customHeight="1">
      <c r="A189" s="18">
        <v>46203</v>
      </c>
      <c r="B189" s="19">
        <v>2026</v>
      </c>
      <c r="C189" s="19" t="s">
        <v>49</v>
      </c>
      <c r="D189" s="19" t="s">
        <v>38</v>
      </c>
      <c r="E189" s="19" t="s">
        <v>33</v>
      </c>
      <c r="F189" s="27">
        <f>'Sources &amp; Checks'!$C$90*'Sources &amp; Checks'!$G$53</f>
        <v>103640.93149760985</v>
      </c>
      <c r="G189" s="28">
        <f>H189*12/F189</f>
        <v>3.8944412704612817E-2</v>
      </c>
      <c r="H189" s="27">
        <f>'Sources &amp; Checks'!$D$90*'Sources &amp; Checks'!$D$53/'Sources &amp; Checks'!$D$54</f>
        <v>336.35293411111866</v>
      </c>
      <c r="I189" s="29">
        <f>F189/F192</f>
        <v>0.21360793313773821</v>
      </c>
      <c r="J189" s="27">
        <f t="shared" si="13"/>
        <v>-202.13862113373762</v>
      </c>
      <c r="K189" s="29">
        <f t="shared" si="14"/>
        <v>-1.9465778592889782E-3</v>
      </c>
      <c r="L189" s="29">
        <f t="shared" si="15"/>
        <v>0.11358840653553015</v>
      </c>
      <c r="M189" s="19" t="s">
        <v>62</v>
      </c>
      <c r="N189" s="19" t="s">
        <v>35</v>
      </c>
      <c r="O189" s="19" t="s">
        <v>36</v>
      </c>
    </row>
    <row r="190" spans="1:15" ht="19" customHeight="1">
      <c r="A190" s="20">
        <v>46203</v>
      </c>
      <c r="B190" s="21">
        <v>2026</v>
      </c>
      <c r="C190" s="21" t="s">
        <v>49</v>
      </c>
      <c r="D190" s="21" t="s">
        <v>39</v>
      </c>
      <c r="E190" s="21" t="s">
        <v>33</v>
      </c>
      <c r="F190" s="30">
        <f>SUM(F187:F189)</f>
        <v>456579</v>
      </c>
      <c r="G190" s="31">
        <f>H190*12/F190</f>
        <v>2.9158578890531216E-2</v>
      </c>
      <c r="H190" s="30">
        <f>SUM(H187:H189)</f>
        <v>1109.4328992716544</v>
      </c>
      <c r="I190" s="32">
        <f>F190/F192</f>
        <v>0.94102682303993546</v>
      </c>
      <c r="J190" s="30">
        <f t="shared" si="13"/>
        <v>-890.5</v>
      </c>
      <c r="K190" s="32">
        <f t="shared" si="14"/>
        <v>-1.9465778592889782E-3</v>
      </c>
      <c r="L190" s="32">
        <f t="shared" si="15"/>
        <v>8.6503041206202225E-2</v>
      </c>
      <c r="M190" s="21" t="s">
        <v>62</v>
      </c>
      <c r="N190" s="21" t="s">
        <v>40</v>
      </c>
      <c r="O190" s="21" t="s">
        <v>41</v>
      </c>
    </row>
    <row r="191" spans="1:15" ht="19" customHeight="1">
      <c r="A191" s="18">
        <v>46203</v>
      </c>
      <c r="B191" s="19">
        <v>2026</v>
      </c>
      <c r="C191" s="19" t="s">
        <v>49</v>
      </c>
      <c r="D191" s="19" t="s">
        <v>42</v>
      </c>
      <c r="E191" s="19" t="s">
        <v>43</v>
      </c>
      <c r="F191" s="27">
        <f>'Sources &amp; Checks'!$J$90</f>
        <v>28613.333333333336</v>
      </c>
      <c r="G191" s="28">
        <f>0</f>
        <v>0</v>
      </c>
      <c r="H191" s="27">
        <f>0</f>
        <v>0</v>
      </c>
      <c r="I191" s="29">
        <f>F191/F192</f>
        <v>5.8973176960064641E-2</v>
      </c>
      <c r="J191" s="27">
        <f t="shared" si="13"/>
        <v>-844.16666666666424</v>
      </c>
      <c r="K191" s="29">
        <f t="shared" si="14"/>
        <v>-2.8657104868595962E-2</v>
      </c>
      <c r="L191" s="29">
        <f t="shared" si="15"/>
        <v>2.5984270791002517E-2</v>
      </c>
      <c r="M191" s="19" t="s">
        <v>62</v>
      </c>
      <c r="N191" s="19" t="s">
        <v>44</v>
      </c>
      <c r="O191" s="19" t="s">
        <v>41</v>
      </c>
    </row>
    <row r="192" spans="1:15" ht="19" customHeight="1">
      <c r="A192" s="22">
        <v>46203</v>
      </c>
      <c r="B192" s="23">
        <v>2026</v>
      </c>
      <c r="C192" s="23" t="s">
        <v>49</v>
      </c>
      <c r="D192" s="23" t="s">
        <v>45</v>
      </c>
      <c r="E192" s="23" t="s">
        <v>46</v>
      </c>
      <c r="F192" s="33">
        <f>SUM(F190,F191)</f>
        <v>485192.33333333331</v>
      </c>
      <c r="G192" s="34">
        <f>H192*12/F192</f>
        <v>2.7439004857715915E-2</v>
      </c>
      <c r="H192" s="33">
        <f>SUM(H190,H191)</f>
        <v>1109.4328992716544</v>
      </c>
      <c r="I192" s="35">
        <f>F192/F192</f>
        <v>1</v>
      </c>
      <c r="J192" s="33">
        <f t="shared" si="13"/>
        <v>-1734.6666666666861</v>
      </c>
      <c r="K192" s="35">
        <f t="shared" si="14"/>
        <v>-3.5624778799834278E-3</v>
      </c>
      <c r="L192" s="35">
        <f t="shared" si="15"/>
        <v>8.2736638524193662E-2</v>
      </c>
      <c r="M192" s="23" t="s">
        <v>62</v>
      </c>
      <c r="N192" s="23" t="s">
        <v>47</v>
      </c>
      <c r="O192" s="23" t="s">
        <v>48</v>
      </c>
    </row>
  </sheetData>
  <mergeCells count="1">
    <mergeCell ref="A3:O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41230"/>
  </sheetPr>
  <dimension ref="A2:R117"/>
  <sheetViews>
    <sheetView showGridLines="0" tabSelected="1" workbookViewId="0">
      <pane ySplit="5" topLeftCell="A6" activePane="bottomLeft" state="frozen"/>
      <selection pane="bottomLeft"/>
    </sheetView>
  </sheetViews>
  <sheetFormatPr baseColWidth="10" defaultColWidth="8.83203125" defaultRowHeight="14"/>
  <cols>
    <col min="1" max="1" width="14" customWidth="1"/>
    <col min="2" max="2" width="31" customWidth="1"/>
    <col min="3" max="4" width="18" customWidth="1"/>
    <col min="5" max="7" width="17" customWidth="1"/>
    <col min="8" max="8" width="42" customWidth="1"/>
    <col min="9" max="10" width="18" customWidth="1"/>
    <col min="11" max="13" width="3" customWidth="1"/>
    <col min="14" max="14" width="13" customWidth="1"/>
    <col min="15" max="17" width="18" customWidth="1"/>
    <col min="18" max="18" width="12" customWidth="1"/>
  </cols>
  <sheetData>
    <row r="2" spans="1:18" ht="18">
      <c r="A2" s="1" t="s">
        <v>63</v>
      </c>
    </row>
    <row r="3" spans="1:18">
      <c r="A3" s="42" t="s">
        <v>64</v>
      </c>
      <c r="B3" s="43"/>
      <c r="C3" s="43"/>
      <c r="D3" s="43"/>
      <c r="E3" s="43"/>
      <c r="F3" s="43"/>
      <c r="G3" s="43"/>
      <c r="H3" s="43"/>
      <c r="I3" s="2"/>
      <c r="J3" s="2"/>
      <c r="K3" s="2"/>
      <c r="L3" s="2"/>
      <c r="M3" s="2"/>
      <c r="N3" s="2"/>
      <c r="O3" s="2"/>
      <c r="P3" s="2"/>
      <c r="Q3" s="2"/>
      <c r="R3" s="2"/>
    </row>
    <row r="5" spans="1:18" ht="34" customHeight="1">
      <c r="A5" s="3" t="s">
        <v>28</v>
      </c>
      <c r="B5" s="3" t="s">
        <v>19</v>
      </c>
      <c r="C5" s="3" t="s">
        <v>65</v>
      </c>
      <c r="D5" s="3" t="s">
        <v>66</v>
      </c>
      <c r="E5" s="3" t="s">
        <v>67</v>
      </c>
      <c r="F5" s="3" t="s">
        <v>68</v>
      </c>
      <c r="G5" s="3" t="s">
        <v>69</v>
      </c>
      <c r="H5" s="3" t="s">
        <v>70</v>
      </c>
      <c r="I5" s="36"/>
      <c r="J5" s="36"/>
      <c r="K5" s="36"/>
      <c r="L5" s="36"/>
      <c r="M5" s="36"/>
      <c r="N5" s="3" t="s">
        <v>16</v>
      </c>
      <c r="O5" s="3" t="s">
        <v>71</v>
      </c>
      <c r="P5" s="3" t="s">
        <v>72</v>
      </c>
      <c r="Q5" s="3" t="s">
        <v>73</v>
      </c>
      <c r="R5" s="3" t="s">
        <v>74</v>
      </c>
    </row>
    <row r="6" spans="1:18">
      <c r="A6" s="13" t="s">
        <v>34</v>
      </c>
      <c r="B6" s="13" t="s">
        <v>32</v>
      </c>
      <c r="C6" s="37">
        <v>35707</v>
      </c>
      <c r="D6" s="37">
        <v>148</v>
      </c>
      <c r="E6" s="38">
        <v>1.66E-2</v>
      </c>
      <c r="F6" s="15">
        <f>D6*4/C6</f>
        <v>1.6579382193967568E-2</v>
      </c>
      <c r="G6" s="15">
        <f>C6/C9</f>
        <v>0.11212749254200031</v>
      </c>
      <c r="H6" s="13" t="s">
        <v>75</v>
      </c>
      <c r="I6" s="36"/>
      <c r="J6" s="36"/>
      <c r="K6" s="36"/>
      <c r="L6" s="36"/>
      <c r="M6" s="36"/>
      <c r="N6" s="12">
        <f>'Deposit Actuals'!A16</f>
        <v>45322</v>
      </c>
      <c r="O6" s="39">
        <f>ROUND('Deposit Actuals'!F16-C61,2)</f>
        <v>0</v>
      </c>
      <c r="P6" s="39">
        <f>ROUND('Deposit Actuals'!H16-D61,2)</f>
        <v>0</v>
      </c>
      <c r="Q6" s="39" t="str">
        <f>""</f>
        <v/>
      </c>
      <c r="R6" s="13" t="str">
        <f>IF(AND(ABS(O6)&lt;0.01,ABS(P6)&lt;0.01),"OK","Review")</f>
        <v>OK</v>
      </c>
    </row>
    <row r="7" spans="1:18">
      <c r="A7" s="13" t="s">
        <v>34</v>
      </c>
      <c r="B7" s="13" t="s">
        <v>37</v>
      </c>
      <c r="C7" s="37">
        <v>206621</v>
      </c>
      <c r="D7" s="37">
        <v>1721</v>
      </c>
      <c r="E7" s="38">
        <v>3.3300000000000003E-2</v>
      </c>
      <c r="F7" s="15">
        <f>D7*4/C7</f>
        <v>3.3317039410321311E-2</v>
      </c>
      <c r="G7" s="15">
        <f>C7/C9</f>
        <v>0.64883341183859322</v>
      </c>
      <c r="H7" s="13" t="s">
        <v>75</v>
      </c>
      <c r="I7" s="36"/>
      <c r="J7" s="36"/>
      <c r="K7" s="36"/>
      <c r="L7" s="36"/>
      <c r="M7" s="36"/>
      <c r="N7" s="12">
        <f>'Deposit Actuals'!A22</f>
        <v>45351</v>
      </c>
      <c r="O7" s="39">
        <f>ROUND('Deposit Actuals'!F22-C62,2)</f>
        <v>0</v>
      </c>
      <c r="P7" s="39">
        <f>ROUND('Deposit Actuals'!H22-D62,2)</f>
        <v>0</v>
      </c>
      <c r="Q7" s="39" t="str">
        <f>""</f>
        <v/>
      </c>
      <c r="R7" s="13" t="str">
        <f>IF(AND(ABS(O7)&lt;0.01,ABS(P7)&lt;0.01),"OK","Review")</f>
        <v>OK</v>
      </c>
    </row>
    <row r="8" spans="1:18">
      <c r="A8" s="13" t="s">
        <v>34</v>
      </c>
      <c r="B8" s="13" t="s">
        <v>38</v>
      </c>
      <c r="C8" s="37">
        <v>76122</v>
      </c>
      <c r="D8" s="37">
        <v>943</v>
      </c>
      <c r="E8" s="38">
        <v>4.9500000000000002E-2</v>
      </c>
      <c r="F8" s="15">
        <f>D8*4/C8</f>
        <v>4.9552034891358607E-2</v>
      </c>
      <c r="G8" s="15">
        <f>C8/C9</f>
        <v>0.23903909561940651</v>
      </c>
      <c r="H8" s="13" t="s">
        <v>75</v>
      </c>
      <c r="I8" s="36"/>
      <c r="J8" s="36"/>
      <c r="K8" s="36"/>
      <c r="L8" s="36"/>
      <c r="M8" s="36"/>
      <c r="N8" s="12">
        <f>'Deposit Actuals'!A28</f>
        <v>45382</v>
      </c>
      <c r="O8" s="39">
        <f>ROUND('Deposit Actuals'!F28-C63,2)</f>
        <v>0</v>
      </c>
      <c r="P8" s="39">
        <f>ROUND('Deposit Actuals'!H28-D63,2)</f>
        <v>0</v>
      </c>
      <c r="Q8" s="39">
        <f>ROUND(I63-G63,2)</f>
        <v>0</v>
      </c>
      <c r="R8" s="13" t="str">
        <f>IF(AND(ABS(O8)&lt;0.01,ABS(P8)&lt;0.01,ABS(Q8)&lt;0.01),"OK","Review")</f>
        <v>OK</v>
      </c>
    </row>
    <row r="9" spans="1:18">
      <c r="A9" s="13" t="s">
        <v>34</v>
      </c>
      <c r="B9" s="13" t="s">
        <v>39</v>
      </c>
      <c r="C9" s="37">
        <v>318450</v>
      </c>
      <c r="D9" s="37">
        <v>2812</v>
      </c>
      <c r="E9" s="38">
        <v>3.5299999999999998E-2</v>
      </c>
      <c r="F9" s="15">
        <f>D9*4/C9</f>
        <v>3.5321086512796356E-2</v>
      </c>
      <c r="G9" s="15">
        <f>1</f>
        <v>1</v>
      </c>
      <c r="H9" s="13" t="s">
        <v>75</v>
      </c>
      <c r="I9" s="36"/>
      <c r="J9" s="36"/>
      <c r="K9" s="36"/>
      <c r="L9" s="36"/>
      <c r="M9" s="36"/>
      <c r="N9" s="12">
        <f>'Deposit Actuals'!A34</f>
        <v>45412</v>
      </c>
      <c r="O9" s="39">
        <f>ROUND('Deposit Actuals'!F34-C64,2)</f>
        <v>0</v>
      </c>
      <c r="P9" s="39">
        <f>ROUND('Deposit Actuals'!H34-D64,2)</f>
        <v>0</v>
      </c>
      <c r="Q9" s="39" t="str">
        <f>""</f>
        <v/>
      </c>
      <c r="R9" s="13" t="str">
        <f>IF(AND(ABS(O9)&lt;0.01,ABS(P9)&lt;0.01),"OK","Review")</f>
        <v>OK</v>
      </c>
    </row>
    <row r="10" spans="1:18">
      <c r="A10" s="13" t="s">
        <v>34</v>
      </c>
      <c r="B10" s="13" t="s">
        <v>42</v>
      </c>
      <c r="C10" s="37">
        <v>27207</v>
      </c>
      <c r="D10" s="37">
        <v>0</v>
      </c>
      <c r="E10" s="38">
        <v>0</v>
      </c>
      <c r="F10" s="15">
        <f>0</f>
        <v>0</v>
      </c>
      <c r="G10" s="15" t="str">
        <f>""</f>
        <v/>
      </c>
      <c r="H10" s="13" t="s">
        <v>75</v>
      </c>
      <c r="I10" s="36"/>
      <c r="J10" s="36"/>
      <c r="K10" s="36"/>
      <c r="L10" s="36"/>
      <c r="M10" s="36"/>
      <c r="N10" s="12">
        <f>'Deposit Actuals'!A40</f>
        <v>45443</v>
      </c>
      <c r="O10" s="39">
        <f>ROUND('Deposit Actuals'!F40-C65,2)</f>
        <v>0</v>
      </c>
      <c r="P10" s="39">
        <f>ROUND('Deposit Actuals'!H40-D65,2)</f>
        <v>0</v>
      </c>
      <c r="Q10" s="39" t="str">
        <f>""</f>
        <v/>
      </c>
      <c r="R10" s="13" t="str">
        <f>IF(AND(ABS(O10)&lt;0.01,ABS(P10)&lt;0.01),"OK","Review")</f>
        <v>OK</v>
      </c>
    </row>
    <row r="11" spans="1:18">
      <c r="A11" s="13" t="s">
        <v>50</v>
      </c>
      <c r="B11" s="13" t="s">
        <v>32</v>
      </c>
      <c r="C11" s="37">
        <v>34855</v>
      </c>
      <c r="D11" s="37">
        <v>138</v>
      </c>
      <c r="E11" s="38">
        <v>1.5800000000000002E-2</v>
      </c>
      <c r="F11" s="15">
        <f>D11*4/C11</f>
        <v>1.583703916224358E-2</v>
      </c>
      <c r="G11" s="15">
        <f>C11/C14</f>
        <v>0.10805038114458074</v>
      </c>
      <c r="H11" s="13" t="s">
        <v>75</v>
      </c>
      <c r="I11" s="36"/>
      <c r="J11" s="36"/>
      <c r="K11" s="36"/>
      <c r="L11" s="36"/>
      <c r="M11" s="36"/>
      <c r="N11" s="12">
        <f>'Deposit Actuals'!A46</f>
        <v>45473</v>
      </c>
      <c r="O11" s="39">
        <f>ROUND('Deposit Actuals'!F46-C66,2)</f>
        <v>0</v>
      </c>
      <c r="P11" s="39">
        <f>ROUND('Deposit Actuals'!H46-D66,2)</f>
        <v>0</v>
      </c>
      <c r="Q11" s="39">
        <f>ROUND(I66-G66,2)</f>
        <v>0</v>
      </c>
      <c r="R11" s="13" t="str">
        <f>IF(AND(ABS(O11)&lt;0.01,ABS(P11)&lt;0.01,ABS(Q11)&lt;0.01),"OK","Review")</f>
        <v>OK</v>
      </c>
    </row>
    <row r="12" spans="1:18">
      <c r="A12" s="13" t="s">
        <v>50</v>
      </c>
      <c r="B12" s="13" t="s">
        <v>37</v>
      </c>
      <c r="C12" s="37">
        <v>208832</v>
      </c>
      <c r="D12" s="37">
        <v>1753</v>
      </c>
      <c r="E12" s="38">
        <v>3.3599999999999998E-2</v>
      </c>
      <c r="F12" s="15">
        <f>D12*4/C12</f>
        <v>3.3577229543364999E-2</v>
      </c>
      <c r="G12" s="15">
        <f>C12/C14</f>
        <v>0.64737848788366337</v>
      </c>
      <c r="H12" s="13" t="s">
        <v>75</v>
      </c>
      <c r="I12" s="36"/>
      <c r="J12" s="36"/>
      <c r="K12" s="36"/>
      <c r="L12" s="36"/>
      <c r="M12" s="36"/>
      <c r="N12" s="12">
        <f>'Deposit Actuals'!A52</f>
        <v>45504</v>
      </c>
      <c r="O12" s="39">
        <f>ROUND('Deposit Actuals'!F52-C67,2)</f>
        <v>0</v>
      </c>
      <c r="P12" s="39">
        <f>ROUND('Deposit Actuals'!H52-D67,2)</f>
        <v>0</v>
      </c>
      <c r="Q12" s="39" t="str">
        <f>""</f>
        <v/>
      </c>
      <c r="R12" s="13" t="str">
        <f>IF(AND(ABS(O12)&lt;0.01,ABS(P12)&lt;0.01),"OK","Review")</f>
        <v>OK</v>
      </c>
    </row>
    <row r="13" spans="1:18">
      <c r="A13" s="13" t="s">
        <v>50</v>
      </c>
      <c r="B13" s="13" t="s">
        <v>38</v>
      </c>
      <c r="C13" s="37">
        <v>78894</v>
      </c>
      <c r="D13" s="37">
        <v>983</v>
      </c>
      <c r="E13" s="38">
        <v>4.99E-2</v>
      </c>
      <c r="F13" s="15">
        <f>D13*4/C13</f>
        <v>4.9839024513904734E-2</v>
      </c>
      <c r="G13" s="15">
        <f>C13/C14</f>
        <v>0.24457113097175592</v>
      </c>
      <c r="H13" s="13" t="s">
        <v>75</v>
      </c>
      <c r="I13" s="36"/>
      <c r="J13" s="36"/>
      <c r="K13" s="36"/>
      <c r="L13" s="36"/>
      <c r="M13" s="36"/>
      <c r="N13" s="12">
        <f>'Deposit Actuals'!A58</f>
        <v>45535</v>
      </c>
      <c r="O13" s="39">
        <f>ROUND('Deposit Actuals'!F58-C68,2)</f>
        <v>0</v>
      </c>
      <c r="P13" s="39">
        <f>ROUND('Deposit Actuals'!H58-D68,2)</f>
        <v>0</v>
      </c>
      <c r="Q13" s="39" t="str">
        <f>""</f>
        <v/>
      </c>
      <c r="R13" s="13" t="str">
        <f>IF(AND(ABS(O13)&lt;0.01,ABS(P13)&lt;0.01),"OK","Review")</f>
        <v>OK</v>
      </c>
    </row>
    <row r="14" spans="1:18">
      <c r="A14" s="13" t="s">
        <v>50</v>
      </c>
      <c r="B14" s="13" t="s">
        <v>39</v>
      </c>
      <c r="C14" s="37">
        <v>322581</v>
      </c>
      <c r="D14" s="37">
        <v>2874</v>
      </c>
      <c r="E14" s="38">
        <v>3.56E-2</v>
      </c>
      <c r="F14" s="15">
        <f>D14*4/C14</f>
        <v>3.5637560798683118E-2</v>
      </c>
      <c r="G14" s="15">
        <f>1</f>
        <v>1</v>
      </c>
      <c r="H14" s="13" t="s">
        <v>75</v>
      </c>
      <c r="I14" s="36"/>
      <c r="J14" s="36"/>
      <c r="K14" s="36"/>
      <c r="L14" s="36"/>
      <c r="M14" s="36"/>
      <c r="N14" s="12">
        <f>'Deposit Actuals'!A64</f>
        <v>45565</v>
      </c>
      <c r="O14" s="39">
        <f>ROUND('Deposit Actuals'!F64-C69,2)</f>
        <v>0</v>
      </c>
      <c r="P14" s="39">
        <f>ROUND('Deposit Actuals'!H64-D69,2)</f>
        <v>0</v>
      </c>
      <c r="Q14" s="39">
        <f>ROUND(I69-G69,2)</f>
        <v>0</v>
      </c>
      <c r="R14" s="13" t="str">
        <f>IF(AND(ABS(O14)&lt;0.01,ABS(P14)&lt;0.01,ABS(Q14)&lt;0.01),"OK","Review")</f>
        <v>OK</v>
      </c>
    </row>
    <row r="15" spans="1:18">
      <c r="A15" s="13" t="s">
        <v>50</v>
      </c>
      <c r="B15" s="13" t="s">
        <v>42</v>
      </c>
      <c r="C15" s="37">
        <v>26907</v>
      </c>
      <c r="D15" s="37">
        <v>0</v>
      </c>
      <c r="E15" s="38">
        <v>0</v>
      </c>
      <c r="F15" s="15">
        <f>0</f>
        <v>0</v>
      </c>
      <c r="G15" s="15" t="str">
        <f>""</f>
        <v/>
      </c>
      <c r="H15" s="13" t="s">
        <v>75</v>
      </c>
      <c r="I15" s="36"/>
      <c r="J15" s="36"/>
      <c r="K15" s="36"/>
      <c r="L15" s="36"/>
      <c r="M15" s="36"/>
      <c r="N15" s="12">
        <f>'Deposit Actuals'!A70</f>
        <v>45596</v>
      </c>
      <c r="O15" s="39">
        <f>ROUND('Deposit Actuals'!F70-C70,2)</f>
        <v>0</v>
      </c>
      <c r="P15" s="39">
        <f>ROUND('Deposit Actuals'!H70-D70,2)</f>
        <v>0</v>
      </c>
      <c r="Q15" s="39" t="str">
        <f>""</f>
        <v/>
      </c>
      <c r="R15" s="13" t="str">
        <f>IF(AND(ABS(O15)&lt;0.01,ABS(P15)&lt;0.01),"OK","Review")</f>
        <v>OK</v>
      </c>
    </row>
    <row r="16" spans="1:18">
      <c r="A16" s="13" t="s">
        <v>52</v>
      </c>
      <c r="B16" s="13" t="s">
        <v>32</v>
      </c>
      <c r="C16" s="37">
        <v>33936</v>
      </c>
      <c r="D16" s="37">
        <v>135</v>
      </c>
      <c r="E16" s="38">
        <v>1.5900000000000001E-2</v>
      </c>
      <c r="F16" s="15">
        <f>D16*4/C16</f>
        <v>1.5912305516265914E-2</v>
      </c>
      <c r="G16" s="15">
        <f>C16/C19</f>
        <v>0.1045764524250483</v>
      </c>
      <c r="H16" s="13" t="s">
        <v>75</v>
      </c>
      <c r="I16" s="36"/>
      <c r="J16" s="36"/>
      <c r="K16" s="36"/>
      <c r="L16" s="36"/>
      <c r="M16" s="36"/>
      <c r="N16" s="12">
        <f>'Deposit Actuals'!A76</f>
        <v>45626</v>
      </c>
      <c r="O16" s="39">
        <f>ROUND('Deposit Actuals'!F76-C71,2)</f>
        <v>0</v>
      </c>
      <c r="P16" s="39">
        <f>ROUND('Deposit Actuals'!H76-D71,2)</f>
        <v>0</v>
      </c>
      <c r="Q16" s="39" t="str">
        <f>""</f>
        <v/>
      </c>
      <c r="R16" s="13" t="str">
        <f>IF(AND(ABS(O16)&lt;0.01,ABS(P16)&lt;0.01),"OK","Review")</f>
        <v>OK</v>
      </c>
    </row>
    <row r="17" spans="1:18">
      <c r="A17" s="13" t="s">
        <v>52</v>
      </c>
      <c r="B17" s="13" t="s">
        <v>37</v>
      </c>
      <c r="C17" s="37">
        <v>211608</v>
      </c>
      <c r="D17" s="37">
        <v>1825</v>
      </c>
      <c r="E17" s="38">
        <v>3.4500000000000003E-2</v>
      </c>
      <c r="F17" s="15">
        <f>D17*4/C17</f>
        <v>3.4497750557634869E-2</v>
      </c>
      <c r="G17" s="15">
        <f>C17/C19</f>
        <v>0.65208669097005012</v>
      </c>
      <c r="H17" s="13" t="s">
        <v>75</v>
      </c>
      <c r="I17" s="36"/>
      <c r="J17" s="36"/>
      <c r="K17" s="36"/>
      <c r="L17" s="36"/>
      <c r="M17" s="36"/>
      <c r="N17" s="12">
        <f>'Deposit Actuals'!A82</f>
        <v>45657</v>
      </c>
      <c r="O17" s="39">
        <f>ROUND('Deposit Actuals'!F82-C72,2)</f>
        <v>0</v>
      </c>
      <c r="P17" s="39">
        <f>ROUND('Deposit Actuals'!H82-D72,2)</f>
        <v>0</v>
      </c>
      <c r="Q17" s="39">
        <f>ROUND(I72-G72,2)</f>
        <v>0</v>
      </c>
      <c r="R17" s="13" t="str">
        <f>IF(AND(ABS(O17)&lt;0.01,ABS(P17)&lt;0.01,ABS(Q17)&lt;0.01),"OK","Review")</f>
        <v>OK</v>
      </c>
    </row>
    <row r="18" spans="1:18">
      <c r="A18" s="13" t="s">
        <v>52</v>
      </c>
      <c r="B18" s="13" t="s">
        <v>38</v>
      </c>
      <c r="C18" s="37">
        <v>78965</v>
      </c>
      <c r="D18" s="37">
        <v>985</v>
      </c>
      <c r="E18" s="38">
        <v>4.99E-2</v>
      </c>
      <c r="F18" s="15">
        <f>D18*4/C18</f>
        <v>4.989552333312227E-2</v>
      </c>
      <c r="G18" s="15">
        <f>C18/C19</f>
        <v>0.24333685660490156</v>
      </c>
      <c r="H18" s="13" t="s">
        <v>75</v>
      </c>
      <c r="I18" s="36"/>
      <c r="J18" s="36"/>
      <c r="K18" s="36"/>
      <c r="L18" s="36"/>
      <c r="M18" s="36"/>
      <c r="N18" s="12">
        <f>'Deposit Actuals'!A88</f>
        <v>45688</v>
      </c>
      <c r="O18" s="39">
        <f>ROUND('Deposit Actuals'!F88-C73,2)</f>
        <v>0</v>
      </c>
      <c r="P18" s="39">
        <f>ROUND('Deposit Actuals'!H88-D73,2)</f>
        <v>0</v>
      </c>
      <c r="Q18" s="39" t="str">
        <f>""</f>
        <v/>
      </c>
      <c r="R18" s="13" t="str">
        <f>IF(AND(ABS(O18)&lt;0.01,ABS(P18)&lt;0.01),"OK","Review")</f>
        <v>OK</v>
      </c>
    </row>
    <row r="19" spans="1:18">
      <c r="A19" s="13" t="s">
        <v>52</v>
      </c>
      <c r="B19" s="13" t="s">
        <v>39</v>
      </c>
      <c r="C19" s="37">
        <v>324509</v>
      </c>
      <c r="D19" s="37">
        <v>2945</v>
      </c>
      <c r="E19" s="38">
        <v>3.6299999999999999E-2</v>
      </c>
      <c r="F19" s="15">
        <f>D19*4/C19</f>
        <v>3.6300996274371437E-2</v>
      </c>
      <c r="G19" s="15">
        <f>1</f>
        <v>1</v>
      </c>
      <c r="H19" s="13" t="s">
        <v>75</v>
      </c>
      <c r="I19" s="36"/>
      <c r="J19" s="36"/>
      <c r="K19" s="36"/>
      <c r="L19" s="36"/>
      <c r="M19" s="36"/>
      <c r="N19" s="12">
        <f>'Deposit Actuals'!A94</f>
        <v>45716</v>
      </c>
      <c r="O19" s="39">
        <f>ROUND('Deposit Actuals'!F94-C74,2)</f>
        <v>0</v>
      </c>
      <c r="P19" s="39">
        <f>ROUND('Deposit Actuals'!H94-D74,2)</f>
        <v>0</v>
      </c>
      <c r="Q19" s="39" t="str">
        <f>""</f>
        <v/>
      </c>
      <c r="R19" s="13" t="str">
        <f>IF(AND(ABS(O19)&lt;0.01,ABS(P19)&lt;0.01),"OK","Review")</f>
        <v>OK</v>
      </c>
    </row>
    <row r="20" spans="1:18">
      <c r="A20" s="13" t="s">
        <v>52</v>
      </c>
      <c r="B20" s="13" t="s">
        <v>42</v>
      </c>
      <c r="C20" s="37">
        <v>26616</v>
      </c>
      <c r="D20" s="37">
        <v>0</v>
      </c>
      <c r="E20" s="38">
        <v>0</v>
      </c>
      <c r="F20" s="15">
        <f>0</f>
        <v>0</v>
      </c>
      <c r="G20" s="15" t="str">
        <f>""</f>
        <v/>
      </c>
      <c r="H20" s="13" t="s">
        <v>75</v>
      </c>
      <c r="I20" s="36"/>
      <c r="J20" s="36"/>
      <c r="K20" s="36"/>
      <c r="L20" s="36"/>
      <c r="M20" s="36"/>
      <c r="N20" s="12">
        <f>'Deposit Actuals'!A100</f>
        <v>45747</v>
      </c>
      <c r="O20" s="39">
        <f>ROUND('Deposit Actuals'!F100-C75,2)</f>
        <v>0</v>
      </c>
      <c r="P20" s="39">
        <f>ROUND('Deposit Actuals'!H100-D75,2)</f>
        <v>0</v>
      </c>
      <c r="Q20" s="39">
        <f>ROUND(I75-G75,2)</f>
        <v>0</v>
      </c>
      <c r="R20" s="13" t="str">
        <f>IF(AND(ABS(O20)&lt;0.01,ABS(P20)&lt;0.01,ABS(Q20)&lt;0.01),"OK","Review")</f>
        <v>OK</v>
      </c>
    </row>
    <row r="21" spans="1:18">
      <c r="A21" s="13" t="s">
        <v>54</v>
      </c>
      <c r="B21" s="13" t="s">
        <v>32</v>
      </c>
      <c r="C21" s="37">
        <v>35129</v>
      </c>
      <c r="D21" s="37">
        <v>123</v>
      </c>
      <c r="E21" s="38">
        <v>1.4005522502775484E-2</v>
      </c>
      <c r="F21" s="15">
        <f>D21*4/C21</f>
        <v>1.4005522502775484E-2</v>
      </c>
      <c r="G21" s="15">
        <f>C21/C24</f>
        <v>0.10593148784753634</v>
      </c>
      <c r="H21" s="13" t="s">
        <v>76</v>
      </c>
      <c r="I21" s="36"/>
      <c r="J21" s="36"/>
      <c r="K21" s="36"/>
      <c r="L21" s="36"/>
      <c r="M21" s="36"/>
      <c r="N21" s="12">
        <f>'Deposit Actuals'!A106</f>
        <v>45777</v>
      </c>
      <c r="O21" s="39">
        <f>ROUND('Deposit Actuals'!F106-C76,2)</f>
        <v>0</v>
      </c>
      <c r="P21" s="39">
        <f>ROUND('Deposit Actuals'!H106-D76,2)</f>
        <v>0</v>
      </c>
      <c r="Q21" s="39" t="str">
        <f>""</f>
        <v/>
      </c>
      <c r="R21" s="13" t="str">
        <f>IF(AND(ABS(O21)&lt;0.01,ABS(P21)&lt;0.01),"OK","Review")</f>
        <v>OK</v>
      </c>
    </row>
    <row r="22" spans="1:18">
      <c r="A22" s="13" t="s">
        <v>54</v>
      </c>
      <c r="B22" s="13" t="s">
        <v>37</v>
      </c>
      <c r="C22" s="37">
        <v>217390</v>
      </c>
      <c r="D22" s="37">
        <v>1784</v>
      </c>
      <c r="E22" s="38">
        <v>3.282579695478173E-2</v>
      </c>
      <c r="F22" s="15">
        <f>D22*4/C22</f>
        <v>3.282579695478173E-2</v>
      </c>
      <c r="G22" s="15">
        <f>C22/C24</f>
        <v>0.65553947289065795</v>
      </c>
      <c r="H22" s="13" t="s">
        <v>76</v>
      </c>
      <c r="I22" s="36"/>
      <c r="J22" s="36"/>
      <c r="K22" s="36"/>
      <c r="L22" s="36"/>
      <c r="M22" s="36"/>
      <c r="N22" s="12">
        <f>'Deposit Actuals'!A112</f>
        <v>45808</v>
      </c>
      <c r="O22" s="39">
        <f>ROUND('Deposit Actuals'!F112-C77,2)</f>
        <v>0</v>
      </c>
      <c r="P22" s="39">
        <f>ROUND('Deposit Actuals'!H112-D77,2)</f>
        <v>0</v>
      </c>
      <c r="Q22" s="39" t="str">
        <f>""</f>
        <v/>
      </c>
      <c r="R22" s="13" t="str">
        <f>IF(AND(ABS(O22)&lt;0.01,ABS(P22)&lt;0.01),"OK","Review")</f>
        <v>OK</v>
      </c>
    </row>
    <row r="23" spans="1:18">
      <c r="A23" s="13" t="s">
        <v>54</v>
      </c>
      <c r="B23" s="13" t="s">
        <v>38</v>
      </c>
      <c r="C23" s="37">
        <v>79101</v>
      </c>
      <c r="D23" s="37">
        <v>955</v>
      </c>
      <c r="E23" s="38">
        <v>4.8292689093690347E-2</v>
      </c>
      <c r="F23" s="15">
        <f>D23*4/C23</f>
        <v>4.8292689093690347E-2</v>
      </c>
      <c r="G23" s="15">
        <f>C23/C24</f>
        <v>0.23852903926180569</v>
      </c>
      <c r="H23" s="13" t="s">
        <v>76</v>
      </c>
      <c r="I23" s="36"/>
      <c r="J23" s="36"/>
      <c r="K23" s="36"/>
      <c r="L23" s="36"/>
      <c r="M23" s="36"/>
      <c r="N23" s="12">
        <f>'Deposit Actuals'!A118</f>
        <v>45838</v>
      </c>
      <c r="O23" s="39">
        <f>ROUND('Deposit Actuals'!F118-C78,2)</f>
        <v>0</v>
      </c>
      <c r="P23" s="39">
        <f>ROUND('Deposit Actuals'!H118-D78,2)</f>
        <v>0</v>
      </c>
      <c r="Q23" s="39">
        <f>ROUND(I78-G78,2)</f>
        <v>0</v>
      </c>
      <c r="R23" s="13" t="str">
        <f>IF(AND(ABS(O23)&lt;0.01,ABS(P23)&lt;0.01,ABS(Q23)&lt;0.01),"OK","Review")</f>
        <v>OK</v>
      </c>
    </row>
    <row r="24" spans="1:18">
      <c r="A24" s="13" t="s">
        <v>54</v>
      </c>
      <c r="B24" s="13" t="s">
        <v>39</v>
      </c>
      <c r="C24" s="37">
        <v>331620</v>
      </c>
      <c r="D24" s="37">
        <v>2862</v>
      </c>
      <c r="E24" s="38">
        <v>3.4521440202641578E-2</v>
      </c>
      <c r="F24" s="15">
        <f>D24*4/C24</f>
        <v>3.4521440202641578E-2</v>
      </c>
      <c r="G24" s="15">
        <f>1</f>
        <v>1</v>
      </c>
      <c r="H24" s="13" t="s">
        <v>76</v>
      </c>
      <c r="I24" s="36"/>
      <c r="J24" s="36"/>
      <c r="K24" s="36"/>
      <c r="L24" s="36"/>
      <c r="M24" s="36"/>
      <c r="N24" s="12">
        <f>'Deposit Actuals'!A124</f>
        <v>45869</v>
      </c>
      <c r="O24" s="39">
        <f>ROUND('Deposit Actuals'!F124-C79,2)</f>
        <v>0</v>
      </c>
      <c r="P24" s="39">
        <f>ROUND('Deposit Actuals'!H124-D79,2)</f>
        <v>0</v>
      </c>
      <c r="Q24" s="39" t="str">
        <f>""</f>
        <v/>
      </c>
      <c r="R24" s="13" t="str">
        <f>IF(AND(ABS(O24)&lt;0.01,ABS(P24)&lt;0.01),"OK","Review")</f>
        <v>OK</v>
      </c>
    </row>
    <row r="25" spans="1:18">
      <c r="A25" s="13" t="s">
        <v>54</v>
      </c>
      <c r="B25" s="13" t="s">
        <v>42</v>
      </c>
      <c r="C25" s="37">
        <v>26757</v>
      </c>
      <c r="D25" s="37">
        <v>0</v>
      </c>
      <c r="E25" s="38">
        <v>0</v>
      </c>
      <c r="F25" s="15">
        <f>0</f>
        <v>0</v>
      </c>
      <c r="G25" s="15" t="str">
        <f>""</f>
        <v/>
      </c>
      <c r="H25" s="13" t="s">
        <v>76</v>
      </c>
      <c r="I25" s="36"/>
      <c r="J25" s="36"/>
      <c r="K25" s="36"/>
      <c r="L25" s="36"/>
      <c r="M25" s="36"/>
      <c r="N25" s="12">
        <f>'Deposit Actuals'!A130</f>
        <v>45900</v>
      </c>
      <c r="O25" s="39">
        <f>ROUND('Deposit Actuals'!F130-C80,2)</f>
        <v>0</v>
      </c>
      <c r="P25" s="39">
        <f>ROUND('Deposit Actuals'!H130-D80,2)</f>
        <v>0</v>
      </c>
      <c r="Q25" s="39" t="str">
        <f>""</f>
        <v/>
      </c>
      <c r="R25" s="13" t="str">
        <f>IF(AND(ABS(O25)&lt;0.01,ABS(P25)&lt;0.01),"OK","Review")</f>
        <v>OK</v>
      </c>
    </row>
    <row r="26" spans="1:18">
      <c r="A26" s="13" t="s">
        <v>57</v>
      </c>
      <c r="B26" s="13" t="s">
        <v>32</v>
      </c>
      <c r="C26" s="37">
        <v>36285</v>
      </c>
      <c r="D26" s="37">
        <v>119</v>
      </c>
      <c r="E26" s="38">
        <v>1.3100000000000001E-2</v>
      </c>
      <c r="F26" s="15">
        <f>D26*4/C26</f>
        <v>1.3118368471820312E-2</v>
      </c>
      <c r="G26" s="15">
        <f>C26/C29</f>
        <v>0.10740291262135922</v>
      </c>
      <c r="H26" s="13" t="s">
        <v>75</v>
      </c>
      <c r="I26" s="36"/>
      <c r="J26" s="36"/>
      <c r="K26" s="36"/>
      <c r="L26" s="36"/>
      <c r="M26" s="36"/>
      <c r="N26" s="12">
        <f>'Deposit Actuals'!A136</f>
        <v>45930</v>
      </c>
      <c r="O26" s="39">
        <f>ROUND('Deposit Actuals'!F136-C81,2)</f>
        <v>0</v>
      </c>
      <c r="P26" s="39">
        <f>ROUND('Deposit Actuals'!H136-D81,2)</f>
        <v>0</v>
      </c>
      <c r="Q26" s="39">
        <f>ROUND(I81-G81,2)</f>
        <v>0</v>
      </c>
      <c r="R26" s="13" t="str">
        <f>IF(AND(ABS(O26)&lt;0.01,ABS(P26)&lt;0.01,ABS(Q26)&lt;0.01),"OK","Review")</f>
        <v>OK</v>
      </c>
    </row>
    <row r="27" spans="1:18">
      <c r="A27" s="13" t="s">
        <v>57</v>
      </c>
      <c r="B27" s="13" t="s">
        <v>37</v>
      </c>
      <c r="C27" s="37">
        <v>227780</v>
      </c>
      <c r="D27" s="37">
        <v>1768</v>
      </c>
      <c r="E27" s="38">
        <v>3.1099999999999999E-2</v>
      </c>
      <c r="F27" s="15">
        <f>D27*4/C27</f>
        <v>3.1047501975590482E-2</v>
      </c>
      <c r="G27" s="15">
        <f>C27/C29</f>
        <v>0.67422448496329623</v>
      </c>
      <c r="H27" s="13" t="s">
        <v>75</v>
      </c>
      <c r="I27" s="36"/>
      <c r="J27" s="36"/>
      <c r="K27" s="36"/>
      <c r="L27" s="36"/>
      <c r="M27" s="36"/>
      <c r="N27" s="12">
        <f>'Deposit Actuals'!A142</f>
        <v>45961</v>
      </c>
      <c r="O27" s="39">
        <f>ROUND('Deposit Actuals'!F142-C82,2)</f>
        <v>0</v>
      </c>
      <c r="P27" s="39">
        <f>ROUND('Deposit Actuals'!H142-D82,2)</f>
        <v>0</v>
      </c>
      <c r="Q27" s="39" t="str">
        <f>""</f>
        <v/>
      </c>
      <c r="R27" s="13" t="str">
        <f>IF(AND(ABS(O27)&lt;0.01,ABS(P27)&lt;0.01),"OK","Review")</f>
        <v>OK</v>
      </c>
    </row>
    <row r="28" spans="1:18">
      <c r="A28" s="13" t="s">
        <v>57</v>
      </c>
      <c r="B28" s="13" t="s">
        <v>38</v>
      </c>
      <c r="C28" s="37">
        <v>73775</v>
      </c>
      <c r="D28" s="37">
        <v>828</v>
      </c>
      <c r="E28" s="38">
        <v>4.4900000000000002E-2</v>
      </c>
      <c r="F28" s="15">
        <f>D28*4/C28</f>
        <v>4.4893256523212473E-2</v>
      </c>
      <c r="G28" s="15">
        <f>C28/C29</f>
        <v>0.21837260241534454</v>
      </c>
      <c r="H28" s="13" t="s">
        <v>75</v>
      </c>
      <c r="I28" s="36"/>
      <c r="J28" s="36"/>
      <c r="K28" s="36"/>
      <c r="L28" s="36"/>
      <c r="M28" s="36"/>
      <c r="N28" s="12">
        <f>'Deposit Actuals'!A148</f>
        <v>45991</v>
      </c>
      <c r="O28" s="39">
        <f>ROUND('Deposit Actuals'!F148-C83,2)</f>
        <v>0</v>
      </c>
      <c r="P28" s="39">
        <f>ROUND('Deposit Actuals'!H148-D83,2)</f>
        <v>0</v>
      </c>
      <c r="Q28" s="39" t="str">
        <f>""</f>
        <v/>
      </c>
      <c r="R28" s="13" t="str">
        <f>IF(AND(ABS(O28)&lt;0.01,ABS(P28)&lt;0.01),"OK","Review")</f>
        <v>OK</v>
      </c>
    </row>
    <row r="29" spans="1:18">
      <c r="A29" s="13" t="s">
        <v>57</v>
      </c>
      <c r="B29" s="13" t="s">
        <v>39</v>
      </c>
      <c r="C29" s="37">
        <v>337840</v>
      </c>
      <c r="D29" s="37">
        <v>2715</v>
      </c>
      <c r="E29" s="38">
        <v>3.2199999999999999E-2</v>
      </c>
      <c r="F29" s="15">
        <f>D29*4/C29</f>
        <v>3.2145394269476678E-2</v>
      </c>
      <c r="G29" s="15">
        <f>1</f>
        <v>1</v>
      </c>
      <c r="H29" s="13" t="s">
        <v>75</v>
      </c>
      <c r="I29" s="36"/>
      <c r="J29" s="36"/>
      <c r="K29" s="36"/>
      <c r="L29" s="36"/>
      <c r="M29" s="36"/>
      <c r="N29" s="12">
        <f>'Deposit Actuals'!A154</f>
        <v>46022</v>
      </c>
      <c r="O29" s="39">
        <f>ROUND('Deposit Actuals'!F154-C84,2)</f>
        <v>0</v>
      </c>
      <c r="P29" s="39">
        <f>ROUND('Deposit Actuals'!H154-D84,2)</f>
        <v>0</v>
      </c>
      <c r="Q29" s="39">
        <f>ROUND(I84-G84,2)</f>
        <v>0</v>
      </c>
      <c r="R29" s="13" t="str">
        <f>IF(AND(ABS(O29)&lt;0.01,ABS(P29)&lt;0.01,ABS(Q29)&lt;0.01),"OK","Review")</f>
        <v>OK</v>
      </c>
    </row>
    <row r="30" spans="1:18">
      <c r="A30" s="13" t="s">
        <v>57</v>
      </c>
      <c r="B30" s="13" t="s">
        <v>42</v>
      </c>
      <c r="C30" s="37">
        <v>26238</v>
      </c>
      <c r="D30" s="37">
        <v>0</v>
      </c>
      <c r="E30" s="38">
        <v>0</v>
      </c>
      <c r="F30" s="15">
        <f>0</f>
        <v>0</v>
      </c>
      <c r="G30" s="15" t="str">
        <f>""</f>
        <v/>
      </c>
      <c r="H30" s="13" t="s">
        <v>75</v>
      </c>
      <c r="I30" s="36"/>
      <c r="J30" s="36"/>
      <c r="K30" s="36"/>
      <c r="L30" s="36"/>
      <c r="M30" s="36"/>
      <c r="N30" s="12">
        <f>'Deposit Actuals'!A160</f>
        <v>46053</v>
      </c>
      <c r="O30" s="39">
        <f>ROUND('Deposit Actuals'!F160-C85,2)</f>
        <v>0</v>
      </c>
      <c r="P30" s="39">
        <f>ROUND('Deposit Actuals'!H160-D85,2)</f>
        <v>0</v>
      </c>
      <c r="Q30" s="39" t="str">
        <f>""</f>
        <v/>
      </c>
      <c r="R30" s="13" t="str">
        <f>IF(AND(ABS(O30)&lt;0.01,ABS(P30)&lt;0.01),"OK","Review")</f>
        <v>OK</v>
      </c>
    </row>
    <row r="31" spans="1:18">
      <c r="A31" s="13" t="s">
        <v>58</v>
      </c>
      <c r="B31" s="13" t="s">
        <v>32</v>
      </c>
      <c r="C31" s="37">
        <v>35776</v>
      </c>
      <c r="D31" s="37">
        <v>108</v>
      </c>
      <c r="E31" s="38">
        <v>1.2E-2</v>
      </c>
      <c r="F31" s="15">
        <f>D31*4/C31</f>
        <v>1.2075134168157423E-2</v>
      </c>
      <c r="G31" s="15">
        <f>C31/C34</f>
        <v>9.2411252805839769E-2</v>
      </c>
      <c r="H31" s="13" t="s">
        <v>75</v>
      </c>
      <c r="I31" s="36"/>
      <c r="J31" s="36"/>
      <c r="K31" s="36"/>
      <c r="L31" s="36"/>
      <c r="M31" s="36"/>
      <c r="N31" s="12">
        <f>'Deposit Actuals'!A166</f>
        <v>46081</v>
      </c>
      <c r="O31" s="39">
        <f>ROUND('Deposit Actuals'!F166-C86,2)</f>
        <v>0</v>
      </c>
      <c r="P31" s="39">
        <f>ROUND('Deposit Actuals'!H166-D86,2)</f>
        <v>0</v>
      </c>
      <c r="Q31" s="39" t="str">
        <f>""</f>
        <v/>
      </c>
      <c r="R31" s="13" t="str">
        <f>IF(AND(ABS(O31)&lt;0.01,ABS(P31)&lt;0.01),"OK","Review")</f>
        <v>OK</v>
      </c>
    </row>
    <row r="32" spans="1:18">
      <c r="A32" s="13" t="s">
        <v>58</v>
      </c>
      <c r="B32" s="13" t="s">
        <v>37</v>
      </c>
      <c r="C32" s="37">
        <v>265622</v>
      </c>
      <c r="D32" s="37">
        <v>2064</v>
      </c>
      <c r="E32" s="38">
        <v>3.1099999999999999E-2</v>
      </c>
      <c r="F32" s="15">
        <f>D32*4/C32</f>
        <v>3.1081762805791689E-2</v>
      </c>
      <c r="G32" s="15">
        <f>C32/C34</f>
        <v>0.68611532292019151</v>
      </c>
      <c r="H32" s="13" t="s">
        <v>75</v>
      </c>
      <c r="I32" s="36"/>
      <c r="J32" s="36"/>
      <c r="K32" s="36"/>
      <c r="L32" s="36"/>
      <c r="M32" s="36"/>
      <c r="N32" s="12">
        <f>'Deposit Actuals'!A172</f>
        <v>46112</v>
      </c>
      <c r="O32" s="39">
        <f>ROUND('Deposit Actuals'!F172-C87,2)</f>
        <v>0</v>
      </c>
      <c r="P32" s="39">
        <f>ROUND('Deposit Actuals'!H172-D87,2)</f>
        <v>0</v>
      </c>
      <c r="Q32" s="39">
        <f>ROUND(I87-G87,2)</f>
        <v>0</v>
      </c>
      <c r="R32" s="13" t="str">
        <f>IF(AND(ABS(O32)&lt;0.01,ABS(P32)&lt;0.01,ABS(Q32)&lt;0.01),"OK","Review")</f>
        <v>OK</v>
      </c>
    </row>
    <row r="33" spans="1:18">
      <c r="A33" s="13" t="s">
        <v>58</v>
      </c>
      <c r="B33" s="13" t="s">
        <v>38</v>
      </c>
      <c r="C33" s="37">
        <v>85741</v>
      </c>
      <c r="D33" s="37">
        <v>948</v>
      </c>
      <c r="E33" s="38">
        <v>4.4199999999999996E-2</v>
      </c>
      <c r="F33" s="15">
        <f>D33*4/C33</f>
        <v>4.4226216162629312E-2</v>
      </c>
      <c r="G33" s="15">
        <f>C33/C34</f>
        <v>0.22147342427396879</v>
      </c>
      <c r="H33" s="13" t="s">
        <v>75</v>
      </c>
      <c r="I33" s="36"/>
      <c r="J33" s="36"/>
      <c r="K33" s="36"/>
      <c r="L33" s="36"/>
      <c r="M33" s="36"/>
      <c r="N33" s="12">
        <f>'Deposit Actuals'!A178</f>
        <v>46142</v>
      </c>
      <c r="O33" s="39">
        <f>ROUND('Deposit Actuals'!F178-C88,2)</f>
        <v>0</v>
      </c>
      <c r="P33" s="39">
        <f>ROUND('Deposit Actuals'!H178-D88,2)</f>
        <v>0</v>
      </c>
      <c r="Q33" s="39" t="str">
        <f>""</f>
        <v/>
      </c>
      <c r="R33" s="13" t="str">
        <f>IF(AND(ABS(O33)&lt;0.01,ABS(P33)&lt;0.01),"OK","Review")</f>
        <v>OK</v>
      </c>
    </row>
    <row r="34" spans="1:18">
      <c r="A34" s="13" t="s">
        <v>58</v>
      </c>
      <c r="B34" s="13" t="s">
        <v>39</v>
      </c>
      <c r="C34" s="37">
        <v>387139</v>
      </c>
      <c r="D34" s="37">
        <v>3120</v>
      </c>
      <c r="E34" s="38">
        <v>3.2199999999999999E-2</v>
      </c>
      <c r="F34" s="15">
        <f>D34*4/C34</f>
        <v>3.2236483536920844E-2</v>
      </c>
      <c r="G34" s="15">
        <f>1</f>
        <v>1</v>
      </c>
      <c r="H34" s="13" t="s">
        <v>75</v>
      </c>
      <c r="I34" s="36"/>
      <c r="J34" s="36"/>
      <c r="K34" s="36"/>
      <c r="L34" s="36"/>
      <c r="M34" s="36"/>
      <c r="N34" s="12">
        <f>'Deposit Actuals'!A184</f>
        <v>46173</v>
      </c>
      <c r="O34" s="39">
        <f>ROUND('Deposit Actuals'!F184-C89,2)</f>
        <v>0</v>
      </c>
      <c r="P34" s="39">
        <f>ROUND('Deposit Actuals'!H184-D89,2)</f>
        <v>0</v>
      </c>
      <c r="Q34" s="39" t="str">
        <f>""</f>
        <v/>
      </c>
      <c r="R34" s="13" t="str">
        <f>IF(AND(ABS(O34)&lt;0.01,ABS(P34)&lt;0.01),"OK","Review")</f>
        <v>OK</v>
      </c>
    </row>
    <row r="35" spans="1:18">
      <c r="A35" s="13" t="s">
        <v>58</v>
      </c>
      <c r="B35" s="13" t="s">
        <v>42</v>
      </c>
      <c r="C35" s="37">
        <v>27429</v>
      </c>
      <c r="D35" s="37">
        <v>0</v>
      </c>
      <c r="E35" s="38">
        <v>0</v>
      </c>
      <c r="F35" s="15">
        <f>0</f>
        <v>0</v>
      </c>
      <c r="G35" s="15" t="str">
        <f>""</f>
        <v/>
      </c>
      <c r="H35" s="13" t="s">
        <v>75</v>
      </c>
      <c r="I35" s="36"/>
      <c r="J35" s="36"/>
      <c r="K35" s="36"/>
      <c r="L35" s="36"/>
      <c r="M35" s="36"/>
      <c r="N35" s="12">
        <f>'Deposit Actuals'!A190</f>
        <v>46203</v>
      </c>
      <c r="O35" s="39">
        <f>ROUND('Deposit Actuals'!F190-C90,2)</f>
        <v>0</v>
      </c>
      <c r="P35" s="39">
        <f>ROUND('Deposit Actuals'!H190-D90,2)</f>
        <v>0</v>
      </c>
      <c r="Q35" s="39">
        <f>ROUND(I90-G90,2)</f>
        <v>0</v>
      </c>
      <c r="R35" s="13" t="str">
        <f>IF(AND(ABS(O35)&lt;0.01,ABS(P35)&lt;0.01,ABS(Q35)&lt;0.01),"OK","Review")</f>
        <v>OK</v>
      </c>
    </row>
    <row r="36" spans="1:18">
      <c r="A36" s="13" t="s">
        <v>59</v>
      </c>
      <c r="B36" s="13" t="s">
        <v>32</v>
      </c>
      <c r="C36" s="37">
        <v>35419</v>
      </c>
      <c r="D36" s="37">
        <v>107</v>
      </c>
      <c r="E36" s="38">
        <v>1.21E-2</v>
      </c>
      <c r="F36" s="15">
        <f>D36*4/C36</f>
        <v>1.2083909765944832E-2</v>
      </c>
      <c r="G36" s="15">
        <f>C36/C39</f>
        <v>8.0584355454841231E-2</v>
      </c>
      <c r="H36" s="13" t="s">
        <v>75</v>
      </c>
      <c r="I36" s="36"/>
      <c r="J36" s="36"/>
      <c r="K36" s="36"/>
      <c r="L36" s="36"/>
      <c r="M36" s="36"/>
      <c r="N36" s="36"/>
      <c r="O36" s="36"/>
      <c r="P36" s="36"/>
      <c r="Q36" s="36"/>
      <c r="R36" s="36"/>
    </row>
    <row r="37" spans="1:18">
      <c r="A37" s="13" t="s">
        <v>59</v>
      </c>
      <c r="B37" s="13" t="s">
        <v>37</v>
      </c>
      <c r="C37" s="37">
        <v>300386</v>
      </c>
      <c r="D37" s="37">
        <v>2355</v>
      </c>
      <c r="E37" s="38">
        <v>3.1400000000000004E-2</v>
      </c>
      <c r="F37" s="15">
        <f>D37*4/C37</f>
        <v>3.1359650582916648E-2</v>
      </c>
      <c r="G37" s="15">
        <f>C37/C39</f>
        <v>0.68343014194804874</v>
      </c>
      <c r="H37" s="13" t="s">
        <v>75</v>
      </c>
      <c r="I37" s="36"/>
      <c r="J37" s="36"/>
      <c r="K37" s="36"/>
      <c r="L37" s="36"/>
      <c r="M37" s="36"/>
      <c r="N37" s="36"/>
      <c r="O37" s="36"/>
      <c r="P37" s="36"/>
      <c r="Q37" s="36"/>
      <c r="R37" s="36"/>
    </row>
    <row r="38" spans="1:18">
      <c r="A38" s="13" t="s">
        <v>59</v>
      </c>
      <c r="B38" s="13" t="s">
        <v>38</v>
      </c>
      <c r="C38" s="37">
        <v>103722</v>
      </c>
      <c r="D38" s="37">
        <v>1135</v>
      </c>
      <c r="E38" s="38">
        <v>4.3799999999999999E-2</v>
      </c>
      <c r="F38" s="15">
        <f>D38*4/C38</f>
        <v>4.3770849000212109E-2</v>
      </c>
      <c r="G38" s="15">
        <f>C38/C39</f>
        <v>0.23598550259711007</v>
      </c>
      <c r="H38" s="13" t="s">
        <v>75</v>
      </c>
      <c r="I38" s="36"/>
      <c r="J38" s="36"/>
      <c r="K38" s="36"/>
      <c r="L38" s="36"/>
      <c r="M38" s="36"/>
      <c r="N38" s="36"/>
      <c r="O38" s="36"/>
      <c r="P38" s="36"/>
      <c r="Q38" s="36"/>
      <c r="R38" s="36"/>
    </row>
    <row r="39" spans="1:18" ht="34" customHeight="1">
      <c r="A39" s="13" t="s">
        <v>59</v>
      </c>
      <c r="B39" s="13" t="s">
        <v>39</v>
      </c>
      <c r="C39" s="37">
        <v>439527</v>
      </c>
      <c r="D39" s="37">
        <v>3597</v>
      </c>
      <c r="E39" s="38">
        <v>3.27E-2</v>
      </c>
      <c r="F39" s="15">
        <f>D39*4/C39</f>
        <v>3.2735190329604327E-2</v>
      </c>
      <c r="G39" s="15">
        <f>1</f>
        <v>1</v>
      </c>
      <c r="H39" s="13" t="s">
        <v>75</v>
      </c>
      <c r="I39" s="36"/>
      <c r="J39" s="36"/>
      <c r="K39" s="36"/>
      <c r="L39" s="36"/>
      <c r="M39" s="36"/>
      <c r="N39" s="3" t="s">
        <v>28</v>
      </c>
      <c r="O39" s="3" t="s">
        <v>77</v>
      </c>
      <c r="P39" s="3" t="s">
        <v>78</v>
      </c>
      <c r="Q39" s="3" t="s">
        <v>74</v>
      </c>
      <c r="R39" s="36"/>
    </row>
    <row r="40" spans="1:18">
      <c r="A40" s="13" t="s">
        <v>59</v>
      </c>
      <c r="B40" s="13" t="s">
        <v>42</v>
      </c>
      <c r="C40" s="37">
        <v>27753</v>
      </c>
      <c r="D40" s="37">
        <v>0</v>
      </c>
      <c r="E40" s="38">
        <v>0</v>
      </c>
      <c r="F40" s="15">
        <f>0</f>
        <v>0</v>
      </c>
      <c r="G40" s="15" t="str">
        <f>""</f>
        <v/>
      </c>
      <c r="H40" s="13" t="s">
        <v>75</v>
      </c>
      <c r="I40" s="36"/>
      <c r="J40" s="36"/>
      <c r="K40" s="36"/>
      <c r="L40" s="36"/>
      <c r="M40" s="36"/>
      <c r="N40" s="13" t="str">
        <f>"2024Q1"</f>
        <v>2024Q1</v>
      </c>
      <c r="O40" s="39">
        <f>ROUND(SUM(C6,C7,C8)-C9,2)</f>
        <v>0</v>
      </c>
      <c r="P40" s="39">
        <f>ROUND(SUM(D6,D7,D8)-D9,2)</f>
        <v>0</v>
      </c>
      <c r="Q40" s="13" t="str">
        <f t="shared" ref="Q40:Q49" si="0">IF(AND(ABS(O40)&lt;0.01,ABS(P40)&lt;0.01),"OK","Review")</f>
        <v>OK</v>
      </c>
      <c r="R40" s="36"/>
    </row>
    <row r="41" spans="1:18">
      <c r="A41" s="13" t="s">
        <v>60</v>
      </c>
      <c r="B41" s="13" t="s">
        <v>32</v>
      </c>
      <c r="C41" s="37">
        <v>36304</v>
      </c>
      <c r="D41" s="37">
        <v>99</v>
      </c>
      <c r="E41" s="38">
        <v>1.0907888937858087E-2</v>
      </c>
      <c r="F41" s="15">
        <f>D41*4/C41</f>
        <v>1.0907888937858087E-2</v>
      </c>
      <c r="G41" s="15">
        <f>C41/C44</f>
        <v>8.1910954777951003E-2</v>
      </c>
      <c r="H41" s="13" t="s">
        <v>76</v>
      </c>
      <c r="I41" s="36"/>
      <c r="J41" s="36"/>
      <c r="K41" s="36"/>
      <c r="L41" s="36"/>
      <c r="M41" s="36"/>
      <c r="N41" s="13" t="str">
        <f>"2024Q2"</f>
        <v>2024Q2</v>
      </c>
      <c r="O41" s="39">
        <f>ROUND(SUM(C11,C12,C13)-C14,2)</f>
        <v>0</v>
      </c>
      <c r="P41" s="39">
        <f>ROUND(SUM(D11,D12,D13)-D14,2)</f>
        <v>0</v>
      </c>
      <c r="Q41" s="13" t="str">
        <f t="shared" si="0"/>
        <v>OK</v>
      </c>
      <c r="R41" s="36"/>
    </row>
    <row r="42" spans="1:18">
      <c r="A42" s="13" t="s">
        <v>60</v>
      </c>
      <c r="B42" s="13" t="s">
        <v>37</v>
      </c>
      <c r="C42" s="37">
        <v>301934</v>
      </c>
      <c r="D42" s="37">
        <v>2314</v>
      </c>
      <c r="E42" s="38">
        <v>3.0655706213940793E-2</v>
      </c>
      <c r="F42" s="15">
        <f>D42*4/C42</f>
        <v>3.0655706213940793E-2</v>
      </c>
      <c r="G42" s="15">
        <f>C42/C44</f>
        <v>0.68123904307861005</v>
      </c>
      <c r="H42" s="13" t="s">
        <v>76</v>
      </c>
      <c r="I42" s="36"/>
      <c r="J42" s="36"/>
      <c r="K42" s="36"/>
      <c r="L42" s="36"/>
      <c r="M42" s="36"/>
      <c r="N42" s="13" t="str">
        <f>"2024Q3"</f>
        <v>2024Q3</v>
      </c>
      <c r="O42" s="39">
        <f>ROUND(SUM(C16,C17,C18)-C19,2)</f>
        <v>0</v>
      </c>
      <c r="P42" s="39">
        <f>ROUND(SUM(D16,D17,D18)-D19,2)</f>
        <v>0</v>
      </c>
      <c r="Q42" s="13" t="str">
        <f t="shared" si="0"/>
        <v>OK</v>
      </c>
      <c r="R42" s="36"/>
    </row>
    <row r="43" spans="1:18">
      <c r="A43" s="13" t="s">
        <v>60</v>
      </c>
      <c r="B43" s="13" t="s">
        <v>38</v>
      </c>
      <c r="C43" s="37">
        <v>104975</v>
      </c>
      <c r="D43" s="37">
        <v>1080</v>
      </c>
      <c r="E43" s="38">
        <v>4.1152655394141459E-2</v>
      </c>
      <c r="F43" s="15">
        <f>D43*4/C43</f>
        <v>4.1152655394141459E-2</v>
      </c>
      <c r="G43" s="15">
        <f>C43/C44</f>
        <v>0.23685000214343893</v>
      </c>
      <c r="H43" s="13" t="s">
        <v>76</v>
      </c>
      <c r="I43" s="36"/>
      <c r="J43" s="36"/>
      <c r="K43" s="36"/>
      <c r="L43" s="36"/>
      <c r="M43" s="36"/>
      <c r="N43" s="13" t="str">
        <f>"2024Q4"</f>
        <v>2024Q4</v>
      </c>
      <c r="O43" s="39">
        <f>ROUND(SUM(C21,C22,C23)-C24,2)</f>
        <v>0</v>
      </c>
      <c r="P43" s="39">
        <f>ROUND(SUM(D21,D22,D23)-D24,2)</f>
        <v>0</v>
      </c>
      <c r="Q43" s="13" t="str">
        <f t="shared" si="0"/>
        <v>OK</v>
      </c>
      <c r="R43" s="36"/>
    </row>
    <row r="44" spans="1:18">
      <c r="A44" s="13" t="s">
        <v>60</v>
      </c>
      <c r="B44" s="13" t="s">
        <v>39</v>
      </c>
      <c r="C44" s="37">
        <v>443213</v>
      </c>
      <c r="D44" s="37">
        <v>3493</v>
      </c>
      <c r="E44" s="38">
        <v>3.1524346081906442E-2</v>
      </c>
      <c r="F44" s="15">
        <f>D44*4/C44</f>
        <v>3.1524346081906442E-2</v>
      </c>
      <c r="G44" s="15">
        <f>1</f>
        <v>1</v>
      </c>
      <c r="H44" s="13" t="s">
        <v>76</v>
      </c>
      <c r="I44" s="36"/>
      <c r="J44" s="36"/>
      <c r="K44" s="36"/>
      <c r="L44" s="36"/>
      <c r="M44" s="36"/>
      <c r="N44" s="13" t="str">
        <f>"2025Q1"</f>
        <v>2025Q1</v>
      </c>
      <c r="O44" s="39">
        <f>ROUND(SUM(C26,C27,C28)-C29,2)</f>
        <v>0</v>
      </c>
      <c r="P44" s="39">
        <f>ROUND(SUM(D26,D27,D28)-D29,2)</f>
        <v>0</v>
      </c>
      <c r="Q44" s="13" t="str">
        <f t="shared" si="0"/>
        <v>OK</v>
      </c>
      <c r="R44" s="36"/>
    </row>
    <row r="45" spans="1:18">
      <c r="A45" s="13" t="s">
        <v>60</v>
      </c>
      <c r="B45" s="13" t="s">
        <v>42</v>
      </c>
      <c r="C45" s="37">
        <v>28209</v>
      </c>
      <c r="D45" s="37">
        <v>0</v>
      </c>
      <c r="E45" s="38">
        <v>0</v>
      </c>
      <c r="F45" s="15">
        <f>0</f>
        <v>0</v>
      </c>
      <c r="G45" s="15" t="str">
        <f>""</f>
        <v/>
      </c>
      <c r="H45" s="13" t="s">
        <v>76</v>
      </c>
      <c r="I45" s="36"/>
      <c r="J45" s="36"/>
      <c r="K45" s="36"/>
      <c r="L45" s="36"/>
      <c r="M45" s="36"/>
      <c r="N45" s="13" t="str">
        <f>"2025Q2"</f>
        <v>2025Q2</v>
      </c>
      <c r="O45" s="39">
        <f>ROUND(SUM(C31,C32,C33)-C34,2)</f>
        <v>0</v>
      </c>
      <c r="P45" s="39">
        <f>ROUND(SUM(D31,D32,D33)-D34,2)</f>
        <v>0</v>
      </c>
      <c r="Q45" s="13" t="str">
        <f t="shared" si="0"/>
        <v>OK</v>
      </c>
      <c r="R45" s="36"/>
    </row>
    <row r="46" spans="1:18">
      <c r="A46" s="13" t="s">
        <v>61</v>
      </c>
      <c r="B46" s="13" t="s">
        <v>32</v>
      </c>
      <c r="C46" s="37">
        <v>38642</v>
      </c>
      <c r="D46" s="37">
        <v>114</v>
      </c>
      <c r="E46" s="38">
        <v>1.18E-2</v>
      </c>
      <c r="F46" s="15">
        <f>D46*4/C46</f>
        <v>1.1800631437296207E-2</v>
      </c>
      <c r="G46" s="15">
        <f>C46/C49</f>
        <v>8.5499284223941652E-2</v>
      </c>
      <c r="H46" s="13" t="s">
        <v>75</v>
      </c>
      <c r="I46" s="36"/>
      <c r="J46" s="36"/>
      <c r="K46" s="36"/>
      <c r="L46" s="36"/>
      <c r="M46" s="36"/>
      <c r="N46" s="13" t="str">
        <f>"2025Q3"</f>
        <v>2025Q3</v>
      </c>
      <c r="O46" s="39">
        <f>ROUND(SUM(C36,C37,C38)-C39,2)</f>
        <v>0</v>
      </c>
      <c r="P46" s="39">
        <f>ROUND(SUM(D36,D37,D38)-D39,2)</f>
        <v>0</v>
      </c>
      <c r="Q46" s="13" t="str">
        <f t="shared" si="0"/>
        <v>OK</v>
      </c>
      <c r="R46" s="36"/>
    </row>
    <row r="47" spans="1:18">
      <c r="A47" s="13" t="s">
        <v>61</v>
      </c>
      <c r="B47" s="13" t="s">
        <v>37</v>
      </c>
      <c r="C47" s="37">
        <v>309341</v>
      </c>
      <c r="D47" s="37">
        <v>2263</v>
      </c>
      <c r="E47" s="38">
        <v>2.9300000000000003E-2</v>
      </c>
      <c r="F47" s="15">
        <f>D47*4/C47</f>
        <v>2.926220578584798E-2</v>
      </c>
      <c r="G47" s="15">
        <f>C47/C49</f>
        <v>0.68444785676513475</v>
      </c>
      <c r="H47" s="13" t="s">
        <v>75</v>
      </c>
      <c r="I47" s="36"/>
      <c r="J47" s="36"/>
      <c r="K47" s="36"/>
      <c r="L47" s="36"/>
      <c r="M47" s="36"/>
      <c r="N47" s="13" t="str">
        <f>"2025Q4"</f>
        <v>2025Q4</v>
      </c>
      <c r="O47" s="39">
        <f>ROUND(SUM(C41,C42,C43)-C44,2)</f>
        <v>0</v>
      </c>
      <c r="P47" s="39">
        <f>ROUND(SUM(D41,D42,D43)-D44,2)</f>
        <v>0</v>
      </c>
      <c r="Q47" s="13" t="str">
        <f t="shared" si="0"/>
        <v>OK</v>
      </c>
      <c r="R47" s="36"/>
    </row>
    <row r="48" spans="1:18">
      <c r="A48" s="13" t="s">
        <v>61</v>
      </c>
      <c r="B48" s="13" t="s">
        <v>38</v>
      </c>
      <c r="C48" s="37">
        <v>103974</v>
      </c>
      <c r="D48" s="37">
        <v>1010</v>
      </c>
      <c r="E48" s="38">
        <v>3.8900000000000004E-2</v>
      </c>
      <c r="F48" s="15">
        <f>D48*4/C48</f>
        <v>3.8855867813107126E-2</v>
      </c>
      <c r="G48" s="15">
        <f>C48/C49</f>
        <v>0.23005285901092359</v>
      </c>
      <c r="H48" s="13" t="s">
        <v>75</v>
      </c>
      <c r="I48" s="36"/>
      <c r="J48" s="36"/>
      <c r="K48" s="36"/>
      <c r="L48" s="36"/>
      <c r="M48" s="36"/>
      <c r="N48" s="13" t="str">
        <f>"2026Q1"</f>
        <v>2026Q1</v>
      </c>
      <c r="O48" s="39">
        <f>ROUND(SUM(C46,C47,C48)-C49,2)</f>
        <v>0</v>
      </c>
      <c r="P48" s="39">
        <f>ROUND(SUM(D46,D47,D48)-D49,2)</f>
        <v>0</v>
      </c>
      <c r="Q48" s="13" t="str">
        <f t="shared" si="0"/>
        <v>OK</v>
      </c>
      <c r="R48" s="36"/>
    </row>
    <row r="49" spans="1:18">
      <c r="A49" s="13" t="s">
        <v>61</v>
      </c>
      <c r="B49" s="13" t="s">
        <v>39</v>
      </c>
      <c r="C49" s="37">
        <v>451957</v>
      </c>
      <c r="D49" s="37">
        <v>3387</v>
      </c>
      <c r="E49" s="38">
        <v>0.03</v>
      </c>
      <c r="F49" s="15">
        <f>D49*4/C49</f>
        <v>2.9976303055379162E-2</v>
      </c>
      <c r="G49" s="15">
        <f>1</f>
        <v>1</v>
      </c>
      <c r="H49" s="13" t="s">
        <v>75</v>
      </c>
      <c r="I49" s="36"/>
      <c r="J49" s="36"/>
      <c r="K49" s="36"/>
      <c r="L49" s="36"/>
      <c r="M49" s="36"/>
      <c r="N49" s="13" t="str">
        <f>"2026Q2"</f>
        <v>2026Q2</v>
      </c>
      <c r="O49" s="39">
        <f>ROUND(SUM(C51,C52,C53)-C54,2)</f>
        <v>0</v>
      </c>
      <c r="P49" s="39">
        <f>ROUND(SUM(D51,D52,D53)-D54,2)</f>
        <v>0</v>
      </c>
      <c r="Q49" s="13" t="str">
        <f t="shared" si="0"/>
        <v>OK</v>
      </c>
      <c r="R49" s="36"/>
    </row>
    <row r="50" spans="1:18">
      <c r="A50" s="13" t="s">
        <v>61</v>
      </c>
      <c r="B50" s="13" t="s">
        <v>42</v>
      </c>
      <c r="C50" s="37">
        <v>28001</v>
      </c>
      <c r="D50" s="37">
        <v>0</v>
      </c>
      <c r="E50" s="38">
        <v>0</v>
      </c>
      <c r="F50" s="15">
        <f>0</f>
        <v>0</v>
      </c>
      <c r="G50" s="15" t="str">
        <f>""</f>
        <v/>
      </c>
      <c r="H50" s="13" t="s">
        <v>75</v>
      </c>
      <c r="I50" s="36"/>
      <c r="J50" s="36"/>
      <c r="K50" s="36"/>
      <c r="L50" s="36"/>
      <c r="M50" s="36"/>
      <c r="N50" s="36"/>
      <c r="O50" s="36"/>
      <c r="P50" s="36"/>
      <c r="Q50" s="36"/>
      <c r="R50" s="36"/>
    </row>
    <row r="51" spans="1:18">
      <c r="A51" s="13" t="s">
        <v>62</v>
      </c>
      <c r="B51" s="13" t="s">
        <v>32</v>
      </c>
      <c r="C51" s="37">
        <v>39759</v>
      </c>
      <c r="D51" s="37">
        <v>116</v>
      </c>
      <c r="E51" s="38">
        <v>1.1699999999999999E-2</v>
      </c>
      <c r="F51" s="15">
        <f>D51*4/C51</f>
        <v>1.1670313639679067E-2</v>
      </c>
      <c r="G51" s="15">
        <f>C51/C54</f>
        <v>8.6785410254731188E-2</v>
      </c>
      <c r="H51" s="13" t="s">
        <v>75</v>
      </c>
      <c r="I51" s="36"/>
      <c r="J51" s="36"/>
      <c r="K51" s="36"/>
      <c r="L51" s="36"/>
      <c r="M51" s="36"/>
      <c r="N51" s="36"/>
      <c r="O51" s="36"/>
      <c r="P51" s="36"/>
      <c r="Q51" s="36"/>
      <c r="R51" s="36"/>
    </row>
    <row r="52" spans="1:18">
      <c r="A52" s="13" t="s">
        <v>62</v>
      </c>
      <c r="B52" s="13" t="s">
        <v>37</v>
      </c>
      <c r="C52" s="37">
        <v>314378</v>
      </c>
      <c r="D52" s="37">
        <v>2210</v>
      </c>
      <c r="E52" s="38">
        <v>2.81E-2</v>
      </c>
      <c r="F52" s="15">
        <f>D52*4/C52</f>
        <v>2.8119015961676708E-2</v>
      </c>
      <c r="G52" s="15">
        <f>C52/C54</f>
        <v>0.68622006853949757</v>
      </c>
      <c r="H52" s="13" t="s">
        <v>75</v>
      </c>
      <c r="I52" s="36"/>
      <c r="J52" s="36"/>
      <c r="K52" s="36"/>
      <c r="L52" s="36"/>
      <c r="M52" s="36"/>
      <c r="N52" s="36"/>
      <c r="O52" s="36"/>
      <c r="P52" s="36"/>
      <c r="Q52" s="36"/>
      <c r="R52" s="36"/>
    </row>
    <row r="53" spans="1:18">
      <c r="A53" s="13" t="s">
        <v>62</v>
      </c>
      <c r="B53" s="13" t="s">
        <v>38</v>
      </c>
      <c r="C53" s="37">
        <v>103993</v>
      </c>
      <c r="D53" s="37">
        <v>1012</v>
      </c>
      <c r="E53" s="38">
        <v>3.8900000000000004E-2</v>
      </c>
      <c r="F53" s="15">
        <f>D53*4/C53</f>
        <v>3.8925696921908205E-2</v>
      </c>
      <c r="G53" s="15">
        <f>C53/C54</f>
        <v>0.22699452120577129</v>
      </c>
      <c r="H53" s="13" t="s">
        <v>75</v>
      </c>
      <c r="I53" s="36"/>
      <c r="J53" s="36"/>
      <c r="K53" s="36"/>
      <c r="L53" s="36"/>
      <c r="M53" s="36"/>
      <c r="N53" s="36"/>
      <c r="O53" s="36"/>
      <c r="P53" s="36"/>
      <c r="Q53" s="36"/>
      <c r="R53" s="36"/>
    </row>
    <row r="54" spans="1:18">
      <c r="A54" s="13" t="s">
        <v>62</v>
      </c>
      <c r="B54" s="13" t="s">
        <v>39</v>
      </c>
      <c r="C54" s="37">
        <v>458130</v>
      </c>
      <c r="D54" s="37">
        <v>3338</v>
      </c>
      <c r="E54" s="38">
        <v>2.9100000000000001E-2</v>
      </c>
      <c r="F54" s="15">
        <f>D54*4/C54</f>
        <v>2.9144565952895465E-2</v>
      </c>
      <c r="G54" s="15">
        <f>1</f>
        <v>1</v>
      </c>
      <c r="H54" s="13" t="s">
        <v>75</v>
      </c>
      <c r="I54" s="36"/>
      <c r="J54" s="36"/>
      <c r="K54" s="36"/>
      <c r="L54" s="36"/>
      <c r="M54" s="36"/>
      <c r="N54" s="36"/>
      <c r="O54" s="36"/>
      <c r="P54" s="36"/>
      <c r="Q54" s="36"/>
      <c r="R54" s="36"/>
    </row>
    <row r="55" spans="1:18">
      <c r="A55" s="13" t="s">
        <v>62</v>
      </c>
      <c r="B55" s="13" t="s">
        <v>42</v>
      </c>
      <c r="C55" s="37">
        <v>28661</v>
      </c>
      <c r="D55" s="37">
        <v>0</v>
      </c>
      <c r="E55" s="38">
        <v>0</v>
      </c>
      <c r="F55" s="15">
        <f>0</f>
        <v>0</v>
      </c>
      <c r="G55" s="15" t="str">
        <f>""</f>
        <v/>
      </c>
      <c r="H55" s="13" t="s">
        <v>75</v>
      </c>
      <c r="I55" s="36"/>
      <c r="J55" s="36"/>
      <c r="K55" s="36"/>
      <c r="L55" s="36"/>
      <c r="M55" s="36"/>
      <c r="N55" s="36"/>
      <c r="O55" s="36"/>
      <c r="P55" s="36"/>
      <c r="Q55" s="36"/>
      <c r="R55" s="36"/>
    </row>
    <row r="56" spans="1:18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</row>
    <row r="57" spans="1:18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</row>
    <row r="58" spans="1:18">
      <c r="A58" s="44" t="s">
        <v>79</v>
      </c>
      <c r="B58" s="45"/>
      <c r="C58" s="45"/>
      <c r="D58" s="45"/>
      <c r="E58" s="45"/>
      <c r="F58" s="45"/>
      <c r="G58" s="45"/>
      <c r="H58" s="45"/>
      <c r="I58" s="45"/>
      <c r="J58" s="45"/>
      <c r="K58" s="36"/>
      <c r="L58" s="36"/>
      <c r="M58" s="36"/>
      <c r="N58" s="36"/>
      <c r="O58" s="36"/>
      <c r="P58" s="36"/>
      <c r="Q58" s="36"/>
      <c r="R58" s="36"/>
    </row>
    <row r="59" spans="1:18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</row>
    <row r="60" spans="1:18" ht="42" customHeight="1">
      <c r="A60" s="3" t="s">
        <v>16</v>
      </c>
      <c r="B60" s="3" t="s">
        <v>28</v>
      </c>
      <c r="C60" s="3" t="s">
        <v>80</v>
      </c>
      <c r="D60" s="3" t="s">
        <v>81</v>
      </c>
      <c r="E60" s="3" t="s">
        <v>82</v>
      </c>
      <c r="F60" s="3" t="s">
        <v>83</v>
      </c>
      <c r="G60" s="3" t="s">
        <v>84</v>
      </c>
      <c r="H60" s="3" t="s">
        <v>85</v>
      </c>
      <c r="I60" s="3" t="s">
        <v>86</v>
      </c>
      <c r="J60" s="3" t="s">
        <v>87</v>
      </c>
      <c r="K60" s="36"/>
      <c r="L60" s="36"/>
      <c r="M60" s="36"/>
      <c r="N60" s="36"/>
      <c r="O60" s="36"/>
      <c r="P60" s="36"/>
      <c r="Q60" s="36"/>
      <c r="R60" s="36"/>
    </row>
    <row r="61" spans="1:18">
      <c r="A61" s="40">
        <v>45322</v>
      </c>
      <c r="B61" s="41" t="s">
        <v>34</v>
      </c>
      <c r="C61" s="37">
        <v>317462.33333333337</v>
      </c>
      <c r="D61" s="37">
        <v>937.78381837450502</v>
      </c>
      <c r="E61" s="38">
        <v>3.5448003239735709E-2</v>
      </c>
      <c r="F61" s="14">
        <f>$B$96</f>
        <v>28024</v>
      </c>
      <c r="G61" s="14">
        <f>$B$97</f>
        <v>27617</v>
      </c>
      <c r="H61" s="14">
        <f>$C$10</f>
        <v>27207</v>
      </c>
      <c r="I61" s="14">
        <f>F61+(G61-F61)/3+(2*H61-F61-G61)</f>
        <v>26661.333333333332</v>
      </c>
      <c r="J61" s="14">
        <f>AVERAGE(F61,I61)</f>
        <v>27342.666666666664</v>
      </c>
      <c r="K61" s="36"/>
      <c r="L61" s="36"/>
      <c r="M61" s="36"/>
      <c r="N61" s="36"/>
      <c r="O61" s="36"/>
      <c r="P61" s="36"/>
      <c r="Q61" s="36"/>
      <c r="R61" s="36"/>
    </row>
    <row r="62" spans="1:18">
      <c r="A62" s="40">
        <v>45351</v>
      </c>
      <c r="B62" s="41" t="s">
        <v>34</v>
      </c>
      <c r="C62" s="37">
        <v>315029.5</v>
      </c>
      <c r="D62" s="37">
        <v>930.59722805102683</v>
      </c>
      <c r="E62" s="38">
        <v>3.5448003239735716E-2</v>
      </c>
      <c r="F62" s="14">
        <f>$B$96</f>
        <v>28024</v>
      </c>
      <c r="G62" s="14">
        <f>$B$97</f>
        <v>27617</v>
      </c>
      <c r="H62" s="14">
        <f>$C$10</f>
        <v>27207</v>
      </c>
      <c r="I62" s="14">
        <f>F62+2*(G62-F62)/3+(2*H62-F62-G62)</f>
        <v>26525.666666666668</v>
      </c>
      <c r="J62" s="14">
        <f>AVERAGE(I61,I62)</f>
        <v>26593.5</v>
      </c>
      <c r="K62" s="36"/>
      <c r="L62" s="36"/>
      <c r="M62" s="36"/>
      <c r="N62" s="36"/>
      <c r="O62" s="36"/>
      <c r="P62" s="36"/>
      <c r="Q62" s="36"/>
      <c r="R62" s="36"/>
    </row>
    <row r="63" spans="1:18">
      <c r="A63" s="40">
        <v>45382</v>
      </c>
      <c r="B63" s="41" t="s">
        <v>34</v>
      </c>
      <c r="C63" s="37">
        <v>319437.66666666663</v>
      </c>
      <c r="D63" s="37">
        <v>943.61895357446792</v>
      </c>
      <c r="E63" s="38">
        <v>3.5448003239735709E-2</v>
      </c>
      <c r="F63" s="14">
        <f>$B$96</f>
        <v>28024</v>
      </c>
      <c r="G63" s="14">
        <f>$B$97</f>
        <v>27617</v>
      </c>
      <c r="H63" s="14">
        <f>$C$10</f>
        <v>27207</v>
      </c>
      <c r="I63" s="14">
        <f>G63</f>
        <v>27617</v>
      </c>
      <c r="J63" s="14">
        <f>AVERAGE(I62,I63)</f>
        <v>27071.333333333336</v>
      </c>
      <c r="K63" s="36"/>
      <c r="L63" s="36"/>
      <c r="M63" s="36"/>
      <c r="N63" s="36"/>
      <c r="O63" s="36"/>
      <c r="P63" s="36"/>
      <c r="Q63" s="36"/>
      <c r="R63" s="36"/>
    </row>
    <row r="64" spans="1:18">
      <c r="A64" s="40">
        <v>45412</v>
      </c>
      <c r="B64" s="41" t="s">
        <v>50</v>
      </c>
      <c r="C64" s="37">
        <v>322219.33333333337</v>
      </c>
      <c r="D64" s="37">
        <v>958.2265069516194</v>
      </c>
      <c r="E64" s="38">
        <v>3.5685996754031203E-2</v>
      </c>
      <c r="F64" s="14">
        <f>$B$97</f>
        <v>27617</v>
      </c>
      <c r="G64" s="14">
        <f>$B$98</f>
        <v>27005</v>
      </c>
      <c r="H64" s="14">
        <f>$C$15</f>
        <v>26907</v>
      </c>
      <c r="I64" s="14">
        <f>F64+(G64-F64)/3+(2*H64-F64-G64)</f>
        <v>26605</v>
      </c>
      <c r="J64" s="14">
        <f>AVERAGE(F64,I64)</f>
        <v>27111</v>
      </c>
      <c r="K64" s="36"/>
      <c r="L64" s="36"/>
      <c r="M64" s="36"/>
      <c r="N64" s="36"/>
      <c r="O64" s="36"/>
      <c r="P64" s="36"/>
      <c r="Q64" s="36"/>
      <c r="R64" s="36"/>
    </row>
    <row r="65" spans="1:18">
      <c r="A65" s="40">
        <v>45443</v>
      </c>
      <c r="B65" s="41" t="s">
        <v>50</v>
      </c>
      <c r="C65" s="37">
        <v>321267.5</v>
      </c>
      <c r="D65" s="37">
        <v>955.39591351464321</v>
      </c>
      <c r="E65" s="38">
        <v>3.5685996754031196E-2</v>
      </c>
      <c r="F65" s="14">
        <f>$B$97</f>
        <v>27617</v>
      </c>
      <c r="G65" s="14">
        <f>$B$98</f>
        <v>27005</v>
      </c>
      <c r="H65" s="14">
        <f>$C$15</f>
        <v>26907</v>
      </c>
      <c r="I65" s="14">
        <f>F65+2*(G65-F65)/3+(2*H65-F65-G65)</f>
        <v>26401</v>
      </c>
      <c r="J65" s="14">
        <f>AVERAGE(I64,I65)</f>
        <v>26503</v>
      </c>
      <c r="K65" s="36"/>
      <c r="L65" s="36"/>
      <c r="M65" s="36"/>
      <c r="N65" s="36"/>
      <c r="O65" s="36"/>
      <c r="P65" s="36"/>
      <c r="Q65" s="36"/>
      <c r="R65" s="36"/>
    </row>
    <row r="66" spans="1:18">
      <c r="A66" s="40">
        <v>45473</v>
      </c>
      <c r="B66" s="41" t="s">
        <v>50</v>
      </c>
      <c r="C66" s="37">
        <v>322942.66666666663</v>
      </c>
      <c r="D66" s="37">
        <v>960.37757953373716</v>
      </c>
      <c r="E66" s="38">
        <v>3.5685996754031203E-2</v>
      </c>
      <c r="F66" s="14">
        <f>$B$97</f>
        <v>27617</v>
      </c>
      <c r="G66" s="14">
        <f>$B$98</f>
        <v>27005</v>
      </c>
      <c r="H66" s="14">
        <f>$C$15</f>
        <v>26907</v>
      </c>
      <c r="I66" s="14">
        <f>G66</f>
        <v>27005</v>
      </c>
      <c r="J66" s="14">
        <f>AVERAGE(I65,I66)</f>
        <v>26703</v>
      </c>
      <c r="K66" s="36"/>
      <c r="L66" s="36"/>
      <c r="M66" s="36"/>
      <c r="N66" s="36"/>
      <c r="O66" s="36"/>
      <c r="P66" s="36"/>
      <c r="Q66" s="36"/>
      <c r="R66" s="36"/>
    </row>
    <row r="67" spans="1:18">
      <c r="A67" s="40">
        <v>45504</v>
      </c>
      <c r="B67" s="41" t="s">
        <v>52</v>
      </c>
      <c r="C67" s="37">
        <v>323570.33333333337</v>
      </c>
      <c r="D67" s="37">
        <v>980.17224153141387</v>
      </c>
      <c r="E67" s="38">
        <v>3.6350881668314149E-2</v>
      </c>
      <c r="F67" s="14">
        <f>$B$98</f>
        <v>27005</v>
      </c>
      <c r="G67" s="14">
        <f>$B$99</f>
        <v>26378</v>
      </c>
      <c r="H67" s="14">
        <f>$C$20</f>
        <v>26616</v>
      </c>
      <c r="I67" s="14">
        <f>F67+(G67-F67)/3+(2*H67-F67-G67)</f>
        <v>26645</v>
      </c>
      <c r="J67" s="14">
        <f>AVERAGE(F67,I67)</f>
        <v>26825</v>
      </c>
      <c r="K67" s="36"/>
      <c r="L67" s="36"/>
      <c r="M67" s="36"/>
      <c r="N67" s="36"/>
      <c r="O67" s="36"/>
      <c r="P67" s="36"/>
      <c r="Q67" s="36"/>
      <c r="R67" s="36"/>
    </row>
    <row r="68" spans="1:18">
      <c r="A68" s="40">
        <v>45535</v>
      </c>
      <c r="B68" s="41" t="s">
        <v>52</v>
      </c>
      <c r="C68" s="37">
        <v>323173</v>
      </c>
      <c r="D68" s="37">
        <v>978.9686234495075</v>
      </c>
      <c r="E68" s="38">
        <v>3.6350881668314156E-2</v>
      </c>
      <c r="F68" s="14">
        <f>$B$98</f>
        <v>27005</v>
      </c>
      <c r="G68" s="14">
        <f>$B$99</f>
        <v>26378</v>
      </c>
      <c r="H68" s="14">
        <f>$C$20</f>
        <v>26616</v>
      </c>
      <c r="I68" s="14">
        <f>F68+2*(G68-F68)/3+(2*H68-F68-G68)</f>
        <v>26436</v>
      </c>
      <c r="J68" s="14">
        <f>AVERAGE(I67,I68)</f>
        <v>26540.5</v>
      </c>
      <c r="K68" s="36"/>
      <c r="L68" s="36"/>
      <c r="M68" s="36"/>
      <c r="N68" s="36"/>
      <c r="O68" s="36"/>
      <c r="P68" s="36"/>
      <c r="Q68" s="36"/>
      <c r="R68" s="36"/>
    </row>
    <row r="69" spans="1:18">
      <c r="A69" s="40">
        <v>45565</v>
      </c>
      <c r="B69" s="41" t="s">
        <v>52</v>
      </c>
      <c r="C69" s="37">
        <v>325447.66666666663</v>
      </c>
      <c r="D69" s="37">
        <v>985.85913501907885</v>
      </c>
      <c r="E69" s="38">
        <v>3.6350881668314149E-2</v>
      </c>
      <c r="F69" s="14">
        <f>$B$98</f>
        <v>27005</v>
      </c>
      <c r="G69" s="14">
        <f>$B$99</f>
        <v>26378</v>
      </c>
      <c r="H69" s="14">
        <f>$C$20</f>
        <v>26616</v>
      </c>
      <c r="I69" s="14">
        <f>G69</f>
        <v>26378</v>
      </c>
      <c r="J69" s="14">
        <f>AVERAGE(I68,I69)</f>
        <v>26407</v>
      </c>
      <c r="K69" s="36"/>
      <c r="L69" s="36"/>
      <c r="M69" s="36"/>
      <c r="N69" s="36"/>
      <c r="O69" s="36"/>
      <c r="P69" s="36"/>
      <c r="Q69" s="36"/>
      <c r="R69" s="36"/>
    </row>
    <row r="70" spans="1:18">
      <c r="A70" s="40">
        <v>45596</v>
      </c>
      <c r="B70" s="41" t="s">
        <v>54</v>
      </c>
      <c r="C70" s="37">
        <v>328509.33333333337</v>
      </c>
      <c r="D70" s="37">
        <v>945.3353911926971</v>
      </c>
      <c r="E70" s="38">
        <v>3.4531818561154115E-2</v>
      </c>
      <c r="F70" s="14">
        <f>$B$99</f>
        <v>26378</v>
      </c>
      <c r="G70" s="14">
        <f>$B$100</f>
        <v>26122</v>
      </c>
      <c r="H70" s="14">
        <f>$C$25</f>
        <v>26757</v>
      </c>
      <c r="I70" s="14">
        <f>F70+(G70-F70)/3+(2*H70-F70-G70)</f>
        <v>27306.666666666668</v>
      </c>
      <c r="J70" s="14">
        <f>AVERAGE(F70,I70)</f>
        <v>26842.333333333336</v>
      </c>
      <c r="K70" s="36"/>
      <c r="L70" s="36"/>
      <c r="M70" s="36"/>
      <c r="N70" s="36"/>
      <c r="O70" s="36"/>
      <c r="P70" s="36"/>
      <c r="Q70" s="36"/>
      <c r="R70" s="36"/>
    </row>
    <row r="71" spans="1:18">
      <c r="A71" s="40">
        <v>45626</v>
      </c>
      <c r="B71" s="41" t="s">
        <v>54</v>
      </c>
      <c r="C71" s="37">
        <v>331321</v>
      </c>
      <c r="D71" s="37">
        <v>953.42638812501195</v>
      </c>
      <c r="E71" s="38">
        <v>3.4531818561154122E-2</v>
      </c>
      <c r="F71" s="14">
        <f>$B$99</f>
        <v>26378</v>
      </c>
      <c r="G71" s="14">
        <f>$B$100</f>
        <v>26122</v>
      </c>
      <c r="H71" s="14">
        <f>$C$25</f>
        <v>26757</v>
      </c>
      <c r="I71" s="14">
        <f>F71+2*(G71-F71)/3+(2*H71-F71-G71)</f>
        <v>27221.333333333332</v>
      </c>
      <c r="J71" s="14">
        <f>AVERAGE(I70,I71)</f>
        <v>27264</v>
      </c>
      <c r="K71" s="36"/>
      <c r="L71" s="36"/>
      <c r="M71" s="36"/>
      <c r="N71" s="36"/>
      <c r="O71" s="36"/>
      <c r="P71" s="36"/>
      <c r="Q71" s="36"/>
      <c r="R71" s="36"/>
    </row>
    <row r="72" spans="1:18">
      <c r="A72" s="40">
        <v>45657</v>
      </c>
      <c r="B72" s="41" t="s">
        <v>54</v>
      </c>
      <c r="C72" s="37">
        <v>334730.66666666663</v>
      </c>
      <c r="D72" s="37">
        <v>963.23822068229083</v>
      </c>
      <c r="E72" s="38">
        <v>3.4531818561154115E-2</v>
      </c>
      <c r="F72" s="14">
        <f>$B$99</f>
        <v>26378</v>
      </c>
      <c r="G72" s="14">
        <f>$B$100</f>
        <v>26122</v>
      </c>
      <c r="H72" s="14">
        <f>$C$25</f>
        <v>26757</v>
      </c>
      <c r="I72" s="14">
        <f>G72</f>
        <v>26122</v>
      </c>
      <c r="J72" s="14">
        <f>AVERAGE(I71,I72)</f>
        <v>26671.666666666664</v>
      </c>
      <c r="K72" s="36"/>
      <c r="L72" s="36"/>
      <c r="M72" s="36"/>
      <c r="N72" s="36"/>
      <c r="O72" s="36"/>
      <c r="P72" s="36"/>
      <c r="Q72" s="36"/>
      <c r="R72" s="36"/>
    </row>
    <row r="73" spans="1:18">
      <c r="A73" s="40">
        <v>45688</v>
      </c>
      <c r="B73" s="41" t="s">
        <v>57</v>
      </c>
      <c r="C73" s="37">
        <v>336380.33333333337</v>
      </c>
      <c r="D73" s="37">
        <v>901.92147231023955</v>
      </c>
      <c r="E73" s="38">
        <v>3.2175060772645862E-2</v>
      </c>
      <c r="F73" s="14">
        <f>$B$100</f>
        <v>26122</v>
      </c>
      <c r="G73" s="14">
        <f>$B$101</f>
        <v>26500</v>
      </c>
      <c r="H73" s="14">
        <f>$C$30</f>
        <v>26238</v>
      </c>
      <c r="I73" s="14">
        <f>F73+(G73-F73)/3+(2*H73-F73-G73)</f>
        <v>26102</v>
      </c>
      <c r="J73" s="14">
        <f>AVERAGE(F73,I73)</f>
        <v>26112</v>
      </c>
      <c r="K73" s="36"/>
      <c r="L73" s="36"/>
      <c r="M73" s="36"/>
      <c r="N73" s="36"/>
      <c r="O73" s="36"/>
      <c r="P73" s="36"/>
      <c r="Q73" s="36"/>
      <c r="R73" s="36"/>
    </row>
    <row r="74" spans="1:18">
      <c r="A74" s="40">
        <v>45716</v>
      </c>
      <c r="B74" s="41" t="s">
        <v>57</v>
      </c>
      <c r="C74" s="37">
        <v>336905.5</v>
      </c>
      <c r="D74" s="37">
        <v>903.32957809488676</v>
      </c>
      <c r="E74" s="38">
        <v>3.2175060772645869E-2</v>
      </c>
      <c r="F74" s="14">
        <f>$B$100</f>
        <v>26122</v>
      </c>
      <c r="G74" s="14">
        <f>$B$101</f>
        <v>26500</v>
      </c>
      <c r="H74" s="14">
        <f>$C$30</f>
        <v>26238</v>
      </c>
      <c r="I74" s="14">
        <f>F74+2*(G74-F74)/3+(2*H74-F74-G74)</f>
        <v>26228</v>
      </c>
      <c r="J74" s="14">
        <f>AVERAGE(I73,I74)</f>
        <v>26165</v>
      </c>
      <c r="K74" s="36"/>
      <c r="L74" s="36"/>
      <c r="M74" s="36"/>
      <c r="N74" s="36"/>
      <c r="O74" s="36"/>
      <c r="P74" s="36"/>
      <c r="Q74" s="36"/>
      <c r="R74" s="36"/>
    </row>
    <row r="75" spans="1:18">
      <c r="A75" s="40">
        <v>45747</v>
      </c>
      <c r="B75" s="41" t="s">
        <v>57</v>
      </c>
      <c r="C75" s="37">
        <v>339299.66666666663</v>
      </c>
      <c r="D75" s="37">
        <v>909.74894959487358</v>
      </c>
      <c r="E75" s="38">
        <v>3.2175060772645862E-2</v>
      </c>
      <c r="F75" s="14">
        <f>$B$100</f>
        <v>26122</v>
      </c>
      <c r="G75" s="14">
        <f>$B$101</f>
        <v>26500</v>
      </c>
      <c r="H75" s="14">
        <f>$C$30</f>
        <v>26238</v>
      </c>
      <c r="I75" s="14">
        <f>G75</f>
        <v>26500</v>
      </c>
      <c r="J75" s="14">
        <f>AVERAGE(I74,I75)</f>
        <v>26364</v>
      </c>
      <c r="K75" s="36"/>
      <c r="L75" s="36"/>
      <c r="M75" s="36"/>
      <c r="N75" s="36"/>
      <c r="O75" s="36"/>
      <c r="P75" s="36"/>
      <c r="Q75" s="36"/>
      <c r="R75" s="36"/>
    </row>
    <row r="76" spans="1:18">
      <c r="A76" s="40">
        <v>45777</v>
      </c>
      <c r="B76" s="41" t="s">
        <v>58</v>
      </c>
      <c r="C76" s="37">
        <v>354050</v>
      </c>
      <c r="D76" s="37">
        <v>953.95128581896518</v>
      </c>
      <c r="E76" s="38">
        <v>3.2332764947966622E-2</v>
      </c>
      <c r="F76" s="14">
        <f>$B$101</f>
        <v>26500</v>
      </c>
      <c r="G76" s="14">
        <f>$B$102</f>
        <v>27879</v>
      </c>
      <c r="H76" s="14">
        <f>$C$35</f>
        <v>27429</v>
      </c>
      <c r="I76" s="14">
        <f>F76+(G76-F76)/3+(2*H76-F76-G76)</f>
        <v>27438.666666666668</v>
      </c>
      <c r="J76" s="14">
        <f>AVERAGE(F76,I76)</f>
        <v>26969.333333333336</v>
      </c>
      <c r="K76" s="36"/>
      <c r="L76" s="36"/>
      <c r="M76" s="36"/>
      <c r="N76" s="36"/>
      <c r="O76" s="36"/>
      <c r="P76" s="36"/>
      <c r="Q76" s="36"/>
      <c r="R76" s="36"/>
    </row>
    <row r="77" spans="1:18">
      <c r="A77" s="40">
        <v>45808</v>
      </c>
      <c r="B77" s="41" t="s">
        <v>58</v>
      </c>
      <c r="C77" s="37">
        <v>383680.5</v>
      </c>
      <c r="D77" s="37">
        <v>1033.7876184681922</v>
      </c>
      <c r="E77" s="38">
        <v>3.2332764947966622E-2</v>
      </c>
      <c r="F77" s="14">
        <f>$B$101</f>
        <v>26500</v>
      </c>
      <c r="G77" s="14">
        <f>$B$102</f>
        <v>27879</v>
      </c>
      <c r="H77" s="14">
        <f>$C$35</f>
        <v>27429</v>
      </c>
      <c r="I77" s="14">
        <f>F77+2*(G77-F77)/3+(2*H77-F77-G77)</f>
        <v>27898.333333333332</v>
      </c>
      <c r="J77" s="14">
        <f>AVERAGE(I76,I77)</f>
        <v>27668.5</v>
      </c>
      <c r="K77" s="36"/>
      <c r="L77" s="36"/>
      <c r="M77" s="36"/>
      <c r="N77" s="36"/>
      <c r="O77" s="36"/>
      <c r="P77" s="36"/>
      <c r="Q77" s="36"/>
      <c r="R77" s="36"/>
    </row>
    <row r="78" spans="1:18">
      <c r="A78" s="40">
        <v>45838</v>
      </c>
      <c r="B78" s="41" t="s">
        <v>58</v>
      </c>
      <c r="C78" s="37">
        <v>420228</v>
      </c>
      <c r="D78" s="37">
        <v>1132.2610957128429</v>
      </c>
      <c r="E78" s="38">
        <v>3.2332764947966615E-2</v>
      </c>
      <c r="F78" s="14">
        <f>$B$101</f>
        <v>26500</v>
      </c>
      <c r="G78" s="14">
        <f>$B$102</f>
        <v>27879</v>
      </c>
      <c r="H78" s="14">
        <f>$C$35</f>
        <v>27429</v>
      </c>
      <c r="I78" s="14">
        <f>G78</f>
        <v>27879</v>
      </c>
      <c r="J78" s="14">
        <f>AVERAGE(I77,I78)</f>
        <v>27888.666666666664</v>
      </c>
      <c r="K78" s="36"/>
      <c r="L78" s="36"/>
      <c r="M78" s="36"/>
      <c r="N78" s="36"/>
      <c r="O78" s="36"/>
      <c r="P78" s="36"/>
      <c r="Q78" s="36"/>
      <c r="R78" s="36"/>
    </row>
    <row r="79" spans="1:18">
      <c r="A79" s="40">
        <v>45869</v>
      </c>
      <c r="B79" s="41" t="s">
        <v>59</v>
      </c>
      <c r="C79" s="37">
        <v>439225.33333333337</v>
      </c>
      <c r="D79" s="37">
        <v>1199.228892433684</v>
      </c>
      <c r="E79" s="38">
        <v>3.2763926889168973E-2</v>
      </c>
      <c r="F79" s="14">
        <f>$B$102</f>
        <v>27879</v>
      </c>
      <c r="G79" s="14">
        <f>$B$103</f>
        <v>27649</v>
      </c>
      <c r="H79" s="14">
        <f>$C$40</f>
        <v>27753</v>
      </c>
      <c r="I79" s="14">
        <f>F79+(G79-F79)/3+(2*H79-F79-G79)</f>
        <v>27780.333333333332</v>
      </c>
      <c r="J79" s="14">
        <f>AVERAGE(F79,I79)</f>
        <v>27829.666666666664</v>
      </c>
      <c r="K79" s="36"/>
      <c r="L79" s="36"/>
      <c r="M79" s="36"/>
      <c r="N79" s="36"/>
      <c r="O79" s="36"/>
      <c r="P79" s="36"/>
      <c r="Q79" s="36"/>
      <c r="R79" s="36"/>
    </row>
    <row r="80" spans="1:18">
      <c r="A80" s="40">
        <v>45900</v>
      </c>
      <c r="B80" s="41" t="s">
        <v>59</v>
      </c>
      <c r="C80" s="37">
        <v>438370.5</v>
      </c>
      <c r="D80" s="37">
        <v>1196.8949176973708</v>
      </c>
      <c r="E80" s="38">
        <v>3.276392688916898E-2</v>
      </c>
      <c r="F80" s="14">
        <f>$B$102</f>
        <v>27879</v>
      </c>
      <c r="G80" s="14">
        <f>$B$103</f>
        <v>27649</v>
      </c>
      <c r="H80" s="14">
        <f>$C$40</f>
        <v>27753</v>
      </c>
      <c r="I80" s="14">
        <f>F80+2*(G80-F80)/3+(2*H80-F80-G80)</f>
        <v>27703.666666666668</v>
      </c>
      <c r="J80" s="14">
        <f>AVERAGE(I79,I80)</f>
        <v>27742</v>
      </c>
      <c r="K80" s="36"/>
      <c r="L80" s="36"/>
      <c r="M80" s="36"/>
      <c r="N80" s="36"/>
      <c r="O80" s="36"/>
      <c r="P80" s="36"/>
      <c r="Q80" s="36"/>
      <c r="R80" s="36"/>
    </row>
    <row r="81" spans="1:18">
      <c r="A81" s="40">
        <v>45930</v>
      </c>
      <c r="B81" s="41" t="s">
        <v>59</v>
      </c>
      <c r="C81" s="37">
        <v>439828.66666666663</v>
      </c>
      <c r="D81" s="37">
        <v>1200.8761898689449</v>
      </c>
      <c r="E81" s="38">
        <v>3.276392688916898E-2</v>
      </c>
      <c r="F81" s="14">
        <f>$B$102</f>
        <v>27879</v>
      </c>
      <c r="G81" s="14">
        <f>$B$103</f>
        <v>27649</v>
      </c>
      <c r="H81" s="14">
        <f>$C$40</f>
        <v>27753</v>
      </c>
      <c r="I81" s="14">
        <f>G81</f>
        <v>27649</v>
      </c>
      <c r="J81" s="14">
        <f>AVERAGE(I80,I81)</f>
        <v>27676.333333333336</v>
      </c>
      <c r="K81" s="36"/>
      <c r="L81" s="36"/>
      <c r="M81" s="36"/>
      <c r="N81" s="36"/>
      <c r="O81" s="36"/>
      <c r="P81" s="36"/>
      <c r="Q81" s="36"/>
      <c r="R81" s="36"/>
    </row>
    <row r="82" spans="1:18">
      <c r="A82" s="40">
        <v>45961</v>
      </c>
      <c r="B82" s="41" t="s">
        <v>60</v>
      </c>
      <c r="C82" s="37">
        <v>440796.33333333337</v>
      </c>
      <c r="D82" s="37">
        <v>1159.334407305925</v>
      </c>
      <c r="E82" s="38">
        <v>3.156109031685328E-2</v>
      </c>
      <c r="F82" s="14">
        <f>$B$103</f>
        <v>27649</v>
      </c>
      <c r="G82" s="14">
        <f>$B$104</f>
        <v>27385</v>
      </c>
      <c r="H82" s="14">
        <f>$C$45</f>
        <v>28209</v>
      </c>
      <c r="I82" s="14">
        <f>F82+(G82-F82)/3+(2*H82-F82-G82)</f>
        <v>28945</v>
      </c>
      <c r="J82" s="14">
        <f>AVERAGE(F82,I82)</f>
        <v>28297</v>
      </c>
      <c r="K82" s="36"/>
      <c r="L82" s="36"/>
      <c r="M82" s="36"/>
      <c r="N82" s="36"/>
      <c r="O82" s="36"/>
      <c r="P82" s="36"/>
      <c r="Q82" s="36"/>
      <c r="R82" s="36"/>
    </row>
    <row r="83" spans="1:18">
      <c r="A83" s="40">
        <v>45991</v>
      </c>
      <c r="B83" s="41" t="s">
        <v>60</v>
      </c>
      <c r="C83" s="37">
        <v>441665</v>
      </c>
      <c r="D83" s="37">
        <v>1161.6190795660839</v>
      </c>
      <c r="E83" s="38">
        <v>3.1561090316853287E-2</v>
      </c>
      <c r="F83" s="14">
        <f>$B$103</f>
        <v>27649</v>
      </c>
      <c r="G83" s="14">
        <f>$B$104</f>
        <v>27385</v>
      </c>
      <c r="H83" s="14">
        <f>$C$45</f>
        <v>28209</v>
      </c>
      <c r="I83" s="14">
        <f>F83+2*(G83-F83)/3+(2*H83-F83-G83)</f>
        <v>28857</v>
      </c>
      <c r="J83" s="14">
        <f>AVERAGE(I82,I83)</f>
        <v>28901</v>
      </c>
      <c r="K83" s="36"/>
      <c r="L83" s="36"/>
      <c r="M83" s="36"/>
      <c r="N83" s="36"/>
      <c r="O83" s="36"/>
      <c r="P83" s="36"/>
      <c r="Q83" s="36"/>
      <c r="R83" s="36"/>
    </row>
    <row r="84" spans="1:18">
      <c r="A84" s="40">
        <v>46022</v>
      </c>
      <c r="B84" s="41" t="s">
        <v>60</v>
      </c>
      <c r="C84" s="37">
        <v>445629.66666666663</v>
      </c>
      <c r="D84" s="37">
        <v>1172.0465131279909</v>
      </c>
      <c r="E84" s="38">
        <v>3.1561090316853294E-2</v>
      </c>
      <c r="F84" s="14">
        <f>$B$103</f>
        <v>27649</v>
      </c>
      <c r="G84" s="14">
        <f>$B$104</f>
        <v>27385</v>
      </c>
      <c r="H84" s="14">
        <f>$C$45</f>
        <v>28209</v>
      </c>
      <c r="I84" s="14">
        <f>G84</f>
        <v>27385</v>
      </c>
      <c r="J84" s="14">
        <f>AVERAGE(I83,I84)</f>
        <v>28121</v>
      </c>
      <c r="K84" s="36"/>
      <c r="L84" s="36"/>
      <c r="M84" s="36"/>
      <c r="N84" s="36"/>
      <c r="O84" s="36"/>
      <c r="P84" s="36"/>
      <c r="Q84" s="36"/>
      <c r="R84" s="36"/>
    </row>
    <row r="85" spans="1:18">
      <c r="A85" s="40">
        <v>46053</v>
      </c>
      <c r="B85" s="41" t="s">
        <v>61</v>
      </c>
      <c r="C85" s="37">
        <v>447713.33333333337</v>
      </c>
      <c r="D85" s="37">
        <v>1120.7090360375043</v>
      </c>
      <c r="E85" s="38">
        <v>3.0038212917008023E-2</v>
      </c>
      <c r="F85" s="14">
        <f>$B$104</f>
        <v>27385</v>
      </c>
      <c r="G85" s="14">
        <f>$B$105</f>
        <v>27936</v>
      </c>
      <c r="H85" s="14">
        <f>$C$50</f>
        <v>28001</v>
      </c>
      <c r="I85" s="14">
        <f>F85+(G85-F85)/3+(2*H85-F85-G85)</f>
        <v>28249.666666666668</v>
      </c>
      <c r="J85" s="14">
        <f>AVERAGE(F85,I85)</f>
        <v>27817.333333333336</v>
      </c>
      <c r="K85" s="36"/>
      <c r="L85" s="36"/>
      <c r="M85" s="36"/>
      <c r="N85" s="36"/>
      <c r="O85" s="36"/>
      <c r="P85" s="36"/>
      <c r="Q85" s="36"/>
      <c r="R85" s="36"/>
    </row>
    <row r="86" spans="1:18">
      <c r="A86" s="40">
        <v>46081</v>
      </c>
      <c r="B86" s="41" t="s">
        <v>61</v>
      </c>
      <c r="C86" s="37">
        <v>449162.5</v>
      </c>
      <c r="D86" s="37">
        <v>1124.3365674446345</v>
      </c>
      <c r="E86" s="38">
        <v>3.003821291700802E-2</v>
      </c>
      <c r="F86" s="14">
        <f>$B$104</f>
        <v>27385</v>
      </c>
      <c r="G86" s="14">
        <f>$B$105</f>
        <v>27936</v>
      </c>
      <c r="H86" s="14">
        <f>$C$50</f>
        <v>28001</v>
      </c>
      <c r="I86" s="14">
        <f>F86+2*(G86-F86)/3+(2*H86-F86-G86)</f>
        <v>28433.333333333332</v>
      </c>
      <c r="J86" s="14">
        <f>AVERAGE(I85,I86)</f>
        <v>28341.5</v>
      </c>
      <c r="K86" s="36"/>
      <c r="L86" s="36"/>
      <c r="M86" s="36"/>
      <c r="N86" s="36"/>
      <c r="O86" s="36"/>
      <c r="P86" s="36"/>
      <c r="Q86" s="36"/>
      <c r="R86" s="36"/>
    </row>
    <row r="87" spans="1:18">
      <c r="A87" s="40">
        <v>46112</v>
      </c>
      <c r="B87" s="41" t="s">
        <v>61</v>
      </c>
      <c r="C87" s="37">
        <v>456200.66666666663</v>
      </c>
      <c r="D87" s="37">
        <v>1141.9543965178614</v>
      </c>
      <c r="E87" s="38">
        <v>3.0038212917008023E-2</v>
      </c>
      <c r="F87" s="14">
        <f>$B$104</f>
        <v>27385</v>
      </c>
      <c r="G87" s="14">
        <f>$B$105</f>
        <v>27936</v>
      </c>
      <c r="H87" s="14">
        <f>$C$50</f>
        <v>28001</v>
      </c>
      <c r="I87" s="14">
        <f>G87</f>
        <v>27936</v>
      </c>
      <c r="J87" s="14">
        <f>AVERAGE(I86,I87)</f>
        <v>28184.666666666664</v>
      </c>
      <c r="K87" s="36"/>
      <c r="L87" s="36"/>
      <c r="M87" s="36"/>
      <c r="N87" s="36"/>
      <c r="O87" s="36"/>
      <c r="P87" s="36"/>
      <c r="Q87" s="36"/>
      <c r="R87" s="36"/>
    </row>
    <row r="88" spans="1:18">
      <c r="A88" s="40">
        <v>46142</v>
      </c>
      <c r="B88" s="41" t="s">
        <v>62</v>
      </c>
      <c r="C88" s="37">
        <v>459681</v>
      </c>
      <c r="D88" s="37">
        <v>1116.9703919148567</v>
      </c>
      <c r="E88" s="38">
        <v>2.9158578890531216E-2</v>
      </c>
      <c r="F88" s="14">
        <f>$B$105</f>
        <v>27936</v>
      </c>
      <c r="G88" s="14">
        <f>$B$106</f>
        <v>27793</v>
      </c>
      <c r="H88" s="14">
        <f>$C$55</f>
        <v>28661</v>
      </c>
      <c r="I88" s="14">
        <f>F88+(G88-F88)/3+(2*H88-F88-G88)</f>
        <v>29481.333333333332</v>
      </c>
      <c r="J88" s="14">
        <f>AVERAGE(F88,I88)</f>
        <v>28708.666666666664</v>
      </c>
      <c r="K88" s="36"/>
      <c r="L88" s="36"/>
      <c r="M88" s="36"/>
      <c r="N88" s="36"/>
      <c r="O88" s="36"/>
      <c r="P88" s="36"/>
      <c r="Q88" s="36"/>
      <c r="R88" s="36"/>
    </row>
    <row r="89" spans="1:18">
      <c r="A89" s="40">
        <v>46173</v>
      </c>
      <c r="B89" s="41" t="s">
        <v>62</v>
      </c>
      <c r="C89" s="37">
        <v>457469.5</v>
      </c>
      <c r="D89" s="37">
        <v>1111.5967088134894</v>
      </c>
      <c r="E89" s="38">
        <v>2.9158578890531223E-2</v>
      </c>
      <c r="F89" s="14">
        <f>$B$105</f>
        <v>27936</v>
      </c>
      <c r="G89" s="14">
        <f>$B$106</f>
        <v>27793</v>
      </c>
      <c r="H89" s="14">
        <f>$C$55</f>
        <v>28661</v>
      </c>
      <c r="I89" s="14">
        <f>F89+2*(G89-F89)/3+(2*H89-F89-G89)</f>
        <v>29433.666666666668</v>
      </c>
      <c r="J89" s="14">
        <f>AVERAGE(I88,I89)</f>
        <v>29457.5</v>
      </c>
      <c r="K89" s="36"/>
      <c r="L89" s="36"/>
      <c r="M89" s="36"/>
      <c r="N89" s="36"/>
      <c r="O89" s="36"/>
      <c r="P89" s="36"/>
      <c r="Q89" s="36"/>
      <c r="R89" s="36"/>
    </row>
    <row r="90" spans="1:18">
      <c r="A90" s="40">
        <v>46203</v>
      </c>
      <c r="B90" s="41" t="s">
        <v>62</v>
      </c>
      <c r="C90" s="37">
        <v>456579</v>
      </c>
      <c r="D90" s="37">
        <v>1109.4328992716544</v>
      </c>
      <c r="E90" s="38">
        <v>2.9158578890531216E-2</v>
      </c>
      <c r="F90" s="14">
        <f>$B$105</f>
        <v>27936</v>
      </c>
      <c r="G90" s="14">
        <f>$B$106</f>
        <v>27793</v>
      </c>
      <c r="H90" s="14">
        <f>$C$55</f>
        <v>28661</v>
      </c>
      <c r="I90" s="14">
        <f>G90</f>
        <v>27793</v>
      </c>
      <c r="J90" s="14">
        <f>AVERAGE(I89,I90)</f>
        <v>28613.333333333336</v>
      </c>
      <c r="K90" s="36"/>
      <c r="L90" s="36"/>
      <c r="M90" s="36"/>
      <c r="N90" s="36"/>
      <c r="O90" s="36"/>
      <c r="P90" s="36"/>
      <c r="Q90" s="36"/>
      <c r="R90" s="36"/>
    </row>
    <row r="91" spans="1:18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</row>
    <row r="92" spans="1:18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</row>
    <row r="93" spans="1:18">
      <c r="A93" s="44" t="s">
        <v>88</v>
      </c>
      <c r="B93" s="45"/>
      <c r="C93" s="45"/>
      <c r="D93" s="45"/>
      <c r="E93" s="45"/>
      <c r="F93" s="45"/>
      <c r="G93" s="45"/>
      <c r="H93" s="45"/>
      <c r="I93" s="45"/>
      <c r="J93" s="45"/>
      <c r="K93" s="36"/>
      <c r="L93" s="36"/>
      <c r="M93" s="36"/>
      <c r="N93" s="36"/>
      <c r="O93" s="36"/>
      <c r="P93" s="36"/>
      <c r="Q93" s="36"/>
      <c r="R93" s="36"/>
    </row>
    <row r="94" spans="1:18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</row>
    <row r="95" spans="1:18" ht="28">
      <c r="A95" s="3" t="s">
        <v>89</v>
      </c>
      <c r="B95" s="3" t="s">
        <v>90</v>
      </c>
      <c r="C95" s="3" t="s">
        <v>91</v>
      </c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</row>
    <row r="96" spans="1:18">
      <c r="A96" s="40">
        <v>45291</v>
      </c>
      <c r="B96" s="37">
        <v>28024</v>
      </c>
      <c r="C96" s="41" t="s">
        <v>92</v>
      </c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</row>
    <row r="97" spans="1:18">
      <c r="A97" s="40">
        <v>45382</v>
      </c>
      <c r="B97" s="37">
        <v>27617</v>
      </c>
      <c r="C97" s="41" t="s">
        <v>93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</row>
    <row r="98" spans="1:18">
      <c r="A98" s="40">
        <v>45473</v>
      </c>
      <c r="B98" s="37">
        <v>27005</v>
      </c>
      <c r="C98" s="41" t="s">
        <v>93</v>
      </c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</row>
    <row r="99" spans="1:18">
      <c r="A99" s="40">
        <v>45565</v>
      </c>
      <c r="B99" s="37">
        <v>26378</v>
      </c>
      <c r="C99" s="41" t="s">
        <v>93</v>
      </c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</row>
    <row r="100" spans="1:18">
      <c r="A100" s="40">
        <v>45657</v>
      </c>
      <c r="B100" s="37">
        <v>26122</v>
      </c>
      <c r="C100" s="41" t="s">
        <v>92</v>
      </c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</row>
    <row r="101" spans="1:18">
      <c r="A101" s="40">
        <v>45747</v>
      </c>
      <c r="B101" s="37">
        <v>26500</v>
      </c>
      <c r="C101" s="41" t="s">
        <v>93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</row>
    <row r="102" spans="1:18">
      <c r="A102" s="40">
        <v>45838</v>
      </c>
      <c r="B102" s="37">
        <v>27879</v>
      </c>
      <c r="C102" s="41" t="s">
        <v>93</v>
      </c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</row>
    <row r="103" spans="1:18">
      <c r="A103" s="40">
        <v>45930</v>
      </c>
      <c r="B103" s="37">
        <v>27649</v>
      </c>
      <c r="C103" s="41" t="s">
        <v>93</v>
      </c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</row>
    <row r="104" spans="1:18">
      <c r="A104" s="40">
        <v>46022</v>
      </c>
      <c r="B104" s="37">
        <v>27385</v>
      </c>
      <c r="C104" s="41" t="s">
        <v>92</v>
      </c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</row>
    <row r="105" spans="1:18">
      <c r="A105" s="40">
        <v>46112</v>
      </c>
      <c r="B105" s="37">
        <v>27936</v>
      </c>
      <c r="C105" s="41" t="s">
        <v>93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</row>
    <row r="106" spans="1:18">
      <c r="A106" s="40">
        <v>46203</v>
      </c>
      <c r="B106" s="37">
        <v>27793</v>
      </c>
      <c r="C106" s="41" t="s">
        <v>93</v>
      </c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</row>
    <row r="107" spans="1:18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</row>
    <row r="108" spans="1:1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</row>
    <row r="109" spans="1:18">
      <c r="A109" s="44" t="s">
        <v>94</v>
      </c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36"/>
      <c r="N109" s="36"/>
      <c r="O109" s="36"/>
      <c r="P109" s="36"/>
      <c r="Q109" s="36"/>
      <c r="R109" s="36"/>
    </row>
    <row r="110" spans="1:18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</row>
    <row r="111" spans="1:18" ht="28" customHeight="1">
      <c r="A111" s="46" t="s">
        <v>95</v>
      </c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36"/>
      <c r="N111" s="36"/>
      <c r="O111" s="36"/>
      <c r="P111" s="36"/>
      <c r="Q111" s="36"/>
      <c r="R111" s="36"/>
    </row>
    <row r="112" spans="1:18" ht="28" customHeight="1">
      <c r="A112" s="46" t="s">
        <v>96</v>
      </c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36"/>
      <c r="N112" s="36"/>
      <c r="O112" s="36"/>
      <c r="P112" s="36"/>
      <c r="Q112" s="36"/>
      <c r="R112" s="36"/>
    </row>
    <row r="113" spans="1:18" ht="28" customHeight="1">
      <c r="A113" s="46" t="s">
        <v>97</v>
      </c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36"/>
      <c r="N113" s="36"/>
      <c r="O113" s="36"/>
      <c r="P113" s="36"/>
      <c r="Q113" s="36"/>
      <c r="R113" s="36"/>
    </row>
    <row r="114" spans="1:18" ht="28" customHeight="1">
      <c r="A114" s="46" t="s">
        <v>98</v>
      </c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36"/>
      <c r="N114" s="36"/>
      <c r="O114" s="36"/>
      <c r="P114" s="36"/>
      <c r="Q114" s="36"/>
      <c r="R114" s="36"/>
    </row>
    <row r="115" spans="1:18" ht="28" customHeight="1">
      <c r="A115" s="46" t="s">
        <v>99</v>
      </c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36"/>
      <c r="N115" s="36"/>
      <c r="O115" s="36"/>
      <c r="P115" s="36"/>
      <c r="Q115" s="36"/>
      <c r="R115" s="36"/>
    </row>
    <row r="116" spans="1:18" ht="28" customHeight="1">
      <c r="A116" s="46" t="s">
        <v>100</v>
      </c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36"/>
      <c r="N116" s="36"/>
      <c r="O116" s="36"/>
      <c r="P116" s="36"/>
      <c r="Q116" s="36"/>
      <c r="R116" s="36"/>
    </row>
    <row r="117" spans="1:18" ht="28" customHeight="1">
      <c r="A117" s="46" t="s">
        <v>101</v>
      </c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36"/>
      <c r="N117" s="36"/>
      <c r="O117" s="36"/>
      <c r="P117" s="36"/>
      <c r="Q117" s="36"/>
      <c r="R117" s="36"/>
    </row>
  </sheetData>
  <mergeCells count="11">
    <mergeCell ref="A117:L117"/>
    <mergeCell ref="A112:L112"/>
    <mergeCell ref="A113:L113"/>
    <mergeCell ref="A114:L114"/>
    <mergeCell ref="A115:L115"/>
    <mergeCell ref="A116:L116"/>
    <mergeCell ref="A3:H3"/>
    <mergeCell ref="A93:J93"/>
    <mergeCell ref="A58:J58"/>
    <mergeCell ref="A109:L109"/>
    <mergeCell ref="A111:L111"/>
  </mergeCells>
  <conditionalFormatting sqref="Q40:Q49">
    <cfRule type="containsText" dxfId="1" priority="2" operator="containsText" text="Review"/>
  </conditionalFormatting>
  <conditionalFormatting sqref="R6:R35">
    <cfRule type="containsText" dxfId="0" priority="1" operator="containsText" text="Review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Deposit Actuals</vt:lpstr>
      <vt:lpstr>Sources &amp; 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CJ Box</cp:lastModifiedBy>
  <dcterms:created xsi:type="dcterms:W3CDTF">2026-10-24T08:40:50Z</dcterms:created>
  <dcterms:modified xsi:type="dcterms:W3CDTF">2026-10-24T08:40:50Z</dcterms:modified>
</cp:coreProperties>
</file>