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jwork/holodeck-archive/task/inputs/"/>
    </mc:Choice>
  </mc:AlternateContent>
  <xr:revisionPtr revIDLastSave="0" documentId="13_ncr:1_{F1BE754A-5BE5-6F46-B073-6100AF35A589}" xr6:coauthVersionLast="47" xr6:coauthVersionMax="47" xr10:uidLastSave="{00000000-0000-0000-0000-000000000000}"/>
  <bookViews>
    <workbookView xWindow="4920" yWindow="1040" windowWidth="30920" windowHeight="20980" activeTab="4" xr2:uid="{00000000-000D-0000-FFFF-FFFF00000000}"/>
  </bookViews>
  <sheets>
    <sheet name="Balance" sheetId="1" r:id="rId1"/>
    <sheet name="Rate" sheetId="2" r:id="rId2"/>
    <sheet name="Net Interest Income" sheetId="3" r:id="rId3"/>
    <sheet name="Notes &amp; Sources" sheetId="4" r:id="rId4"/>
    <sheet name="Quarter-End Anchors" sheetId="5" r:id="rId5"/>
    <sheet name="Monthly EOP Balance" sheetId="6" r:id="rId6"/>
    <sheet name="Monthly Avg Balance" sheetId="7" r:id="rId7"/>
    <sheet name="Monthly NII" sheetId="8" r:id="rId8"/>
    <sheet name="Monthly Rate" sheetId="9" r:id="rId9"/>
    <sheet name="Monthly Checks" sheetId="10" r:id="rId10"/>
    <sheet name="Forecast Drivers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3" l="1"/>
  <c r="N15" i="11"/>
  <c r="M15" i="11"/>
  <c r="K15" i="11"/>
  <c r="L15" i="11" s="1"/>
  <c r="J15" i="11"/>
  <c r="G15" i="11"/>
  <c r="H15" i="11" s="1"/>
  <c r="I15" i="11" s="1"/>
  <c r="D15" i="11"/>
  <c r="E15" i="11" s="1"/>
  <c r="F15" i="11" s="1"/>
  <c r="C15" i="11"/>
  <c r="B15" i="11"/>
  <c r="K60" i="10"/>
  <c r="J60" i="10"/>
  <c r="I60" i="10"/>
  <c r="H60" i="10"/>
  <c r="G60" i="10"/>
  <c r="F60" i="10"/>
  <c r="E60" i="10"/>
  <c r="D60" i="10"/>
  <c r="C60" i="10"/>
  <c r="B60" i="10"/>
  <c r="K59" i="10"/>
  <c r="J59" i="10"/>
  <c r="I59" i="10"/>
  <c r="H59" i="10"/>
  <c r="G59" i="10"/>
  <c r="F59" i="10"/>
  <c r="E59" i="10"/>
  <c r="D59" i="10"/>
  <c r="C59" i="10"/>
  <c r="B59" i="10"/>
  <c r="K58" i="10"/>
  <c r="J58" i="10"/>
  <c r="I58" i="10"/>
  <c r="H58" i="10"/>
  <c r="G58" i="10"/>
  <c r="F58" i="10"/>
  <c r="E58" i="10"/>
  <c r="D58" i="10"/>
  <c r="C58" i="10"/>
  <c r="B58" i="10"/>
  <c r="K57" i="10"/>
  <c r="J57" i="10"/>
  <c r="I57" i="10"/>
  <c r="H57" i="10"/>
  <c r="G57" i="10"/>
  <c r="F57" i="10"/>
  <c r="E57" i="10"/>
  <c r="D57" i="10"/>
  <c r="C57" i="10"/>
  <c r="B57" i="10"/>
  <c r="K56" i="10"/>
  <c r="J56" i="10"/>
  <c r="I56" i="10"/>
  <c r="H56" i="10"/>
  <c r="G56" i="10"/>
  <c r="F56" i="10"/>
  <c r="E56" i="10"/>
  <c r="D56" i="10"/>
  <c r="C56" i="10"/>
  <c r="B56" i="10"/>
  <c r="K55" i="10"/>
  <c r="J55" i="10"/>
  <c r="I55" i="10"/>
  <c r="H55" i="10"/>
  <c r="G55" i="10"/>
  <c r="F55" i="10"/>
  <c r="E55" i="10"/>
  <c r="D55" i="10"/>
  <c r="C55" i="10"/>
  <c r="B55" i="10"/>
  <c r="K54" i="10"/>
  <c r="J54" i="10"/>
  <c r="I54" i="10"/>
  <c r="H54" i="10"/>
  <c r="G54" i="10"/>
  <c r="F54" i="10"/>
  <c r="E54" i="10"/>
  <c r="D54" i="10"/>
  <c r="C54" i="10"/>
  <c r="B54" i="10"/>
  <c r="K53" i="10"/>
  <c r="J53" i="10"/>
  <c r="I53" i="10"/>
  <c r="H53" i="10"/>
  <c r="G53" i="10"/>
  <c r="F53" i="10"/>
  <c r="E53" i="10"/>
  <c r="D53" i="10"/>
  <c r="C53" i="10"/>
  <c r="B53" i="10"/>
  <c r="K52" i="10"/>
  <c r="J52" i="10"/>
  <c r="I52" i="10"/>
  <c r="H52" i="10"/>
  <c r="G52" i="10"/>
  <c r="F52" i="10"/>
  <c r="E52" i="10"/>
  <c r="D52" i="10"/>
  <c r="C52" i="10"/>
  <c r="B52" i="10"/>
  <c r="K51" i="10"/>
  <c r="J51" i="10"/>
  <c r="I51" i="10"/>
  <c r="H51" i="10"/>
  <c r="G51" i="10"/>
  <c r="F51" i="10"/>
  <c r="E51" i="10"/>
  <c r="D51" i="10"/>
  <c r="C51" i="10"/>
  <c r="B51" i="10"/>
  <c r="K50" i="10"/>
  <c r="J50" i="10"/>
  <c r="I50" i="10"/>
  <c r="H50" i="10"/>
  <c r="G50" i="10"/>
  <c r="F50" i="10"/>
  <c r="E50" i="10"/>
  <c r="D50" i="10"/>
  <c r="C50" i="10"/>
  <c r="B50" i="10"/>
  <c r="K49" i="10"/>
  <c r="J49" i="10"/>
  <c r="I49" i="10"/>
  <c r="H49" i="10"/>
  <c r="G49" i="10"/>
  <c r="F49" i="10"/>
  <c r="E49" i="10"/>
  <c r="D49" i="10"/>
  <c r="C49" i="10"/>
  <c r="B49" i="10"/>
  <c r="Q18" i="6"/>
  <c r="O18" i="6"/>
  <c r="N18" i="6"/>
  <c r="H18" i="6"/>
  <c r="E18" i="6"/>
  <c r="B18" i="6"/>
  <c r="AC17" i="6"/>
  <c r="B17" i="6"/>
  <c r="B16" i="6"/>
  <c r="T15" i="6"/>
  <c r="E11" i="6"/>
  <c r="N10" i="6"/>
  <c r="B8" i="6"/>
  <c r="B7" i="6"/>
  <c r="B6" i="6"/>
  <c r="L18" i="5"/>
  <c r="AF18" i="6" s="1"/>
  <c r="K18" i="5"/>
  <c r="J18" i="5"/>
  <c r="I18" i="5"/>
  <c r="H18" i="5"/>
  <c r="G18" i="5"/>
  <c r="F18" i="5"/>
  <c r="E18" i="5"/>
  <c r="D18" i="5"/>
  <c r="C16" i="10" s="1"/>
  <c r="C18" i="5"/>
  <c r="B16" i="10" s="1"/>
  <c r="B18" i="5"/>
  <c r="L17" i="5"/>
  <c r="K17" i="5"/>
  <c r="J17" i="5"/>
  <c r="I17" i="5"/>
  <c r="H17" i="5"/>
  <c r="H19" i="5" s="1"/>
  <c r="G17" i="5"/>
  <c r="Q17" i="6" s="1"/>
  <c r="F17" i="5"/>
  <c r="E17" i="5"/>
  <c r="D17" i="5"/>
  <c r="C15" i="10" s="1"/>
  <c r="C17" i="5"/>
  <c r="B15" i="10" s="1"/>
  <c r="L16" i="5"/>
  <c r="K16" i="5"/>
  <c r="J16" i="5"/>
  <c r="I16" i="5"/>
  <c r="H16" i="5"/>
  <c r="T16" i="6" s="1"/>
  <c r="R16" i="6" s="1"/>
  <c r="G16" i="5"/>
  <c r="Q16" i="6" s="1"/>
  <c r="F16" i="5"/>
  <c r="E16" i="5"/>
  <c r="D14" i="10" s="1"/>
  <c r="D16" i="5"/>
  <c r="C16" i="5"/>
  <c r="B14" i="10" s="1"/>
  <c r="L15" i="5"/>
  <c r="K15" i="5"/>
  <c r="J15" i="5"/>
  <c r="I15" i="5"/>
  <c r="H15" i="5"/>
  <c r="G15" i="5"/>
  <c r="F15" i="5"/>
  <c r="E15" i="5"/>
  <c r="D13" i="10" s="1"/>
  <c r="D15" i="5"/>
  <c r="C15" i="5"/>
  <c r="B13" i="10" s="1"/>
  <c r="B15" i="5"/>
  <c r="K12" i="5"/>
  <c r="B12" i="5"/>
  <c r="L11" i="5"/>
  <c r="K11" i="5"/>
  <c r="J11" i="5"/>
  <c r="Z11" i="6" s="1"/>
  <c r="I11" i="5"/>
  <c r="H11" i="5"/>
  <c r="G11" i="5"/>
  <c r="Q11" i="6" s="1"/>
  <c r="F11" i="5"/>
  <c r="E11" i="5"/>
  <c r="D11" i="5"/>
  <c r="C11" i="5"/>
  <c r="B11" i="5"/>
  <c r="B11" i="6" s="1"/>
  <c r="L10" i="5"/>
  <c r="L12" i="5" s="1"/>
  <c r="K10" i="5"/>
  <c r="AC10" i="6" s="1"/>
  <c r="J10" i="5"/>
  <c r="I10" i="5"/>
  <c r="H10" i="5"/>
  <c r="T10" i="6" s="1"/>
  <c r="G10" i="5"/>
  <c r="F10" i="5"/>
  <c r="E10" i="5"/>
  <c r="D10" i="5"/>
  <c r="C10" i="10" s="1"/>
  <c r="C10" i="5"/>
  <c r="B10" i="5"/>
  <c r="B10" i="6" s="1"/>
  <c r="L9" i="5"/>
  <c r="K9" i="5"/>
  <c r="J9" i="5"/>
  <c r="J7" i="5" s="1"/>
  <c r="I9" i="5"/>
  <c r="H9" i="5"/>
  <c r="H8" i="5" s="1"/>
  <c r="G9" i="5"/>
  <c r="F9" i="5"/>
  <c r="E9" i="5"/>
  <c r="E12" i="5" s="1"/>
  <c r="D9" i="5"/>
  <c r="C9" i="10" s="1"/>
  <c r="C9" i="5"/>
  <c r="B9" i="10" s="1"/>
  <c r="B9" i="5"/>
  <c r="L8" i="5"/>
  <c r="AF8" i="6" s="1"/>
  <c r="K8" i="5"/>
  <c r="I8" i="5"/>
  <c r="G8" i="5"/>
  <c r="F8" i="5"/>
  <c r="D8" i="5"/>
  <c r="C8" i="5"/>
  <c r="L7" i="5"/>
  <c r="K7" i="5"/>
  <c r="I7" i="5"/>
  <c r="H7" i="5"/>
  <c r="G7" i="5"/>
  <c r="F7" i="5"/>
  <c r="D7" i="5"/>
  <c r="C7" i="5"/>
  <c r="L6" i="5"/>
  <c r="I6" i="5"/>
  <c r="G6" i="5"/>
  <c r="D6" i="5"/>
  <c r="C6" i="5"/>
  <c r="I25" i="3"/>
  <c r="H25" i="3"/>
  <c r="G25" i="3"/>
  <c r="C25" i="3"/>
  <c r="K21" i="3"/>
  <c r="K25" i="3" s="1"/>
  <c r="J21" i="3"/>
  <c r="J25" i="3" s="1"/>
  <c r="I21" i="3"/>
  <c r="H21" i="3"/>
  <c r="G21" i="3"/>
  <c r="F21" i="3"/>
  <c r="F25" i="3" s="1"/>
  <c r="E21" i="3"/>
  <c r="E25" i="3" s="1"/>
  <c r="D21" i="3"/>
  <c r="D25" i="3" s="1"/>
  <c r="C21" i="3"/>
  <c r="B21" i="3"/>
  <c r="B25" i="3" s="1"/>
  <c r="I22" i="2"/>
  <c r="H22" i="2"/>
  <c r="G22" i="2"/>
  <c r="C22" i="2"/>
  <c r="K21" i="2"/>
  <c r="J21" i="2"/>
  <c r="I21" i="2"/>
  <c r="H21" i="2"/>
  <c r="G21" i="2"/>
  <c r="F21" i="2"/>
  <c r="E21" i="2"/>
  <c r="D21" i="2"/>
  <c r="C21" i="2"/>
  <c r="B21" i="2"/>
  <c r="K21" i="1"/>
  <c r="J21" i="1"/>
  <c r="I21" i="1"/>
  <c r="H21" i="1"/>
  <c r="G21" i="1"/>
  <c r="F21" i="1"/>
  <c r="E21" i="1"/>
  <c r="D21" i="1"/>
  <c r="C21" i="1"/>
  <c r="B21" i="1"/>
  <c r="E19" i="5" l="1"/>
  <c r="D17" i="10" s="1"/>
  <c r="T17" i="6"/>
  <c r="R17" i="6" s="1"/>
  <c r="Q17" i="7" s="1"/>
  <c r="D12" i="10"/>
  <c r="E21" i="5"/>
  <c r="AG18" i="6"/>
  <c r="Z7" i="6"/>
  <c r="T8" i="6"/>
  <c r="AG8" i="6"/>
  <c r="AF8" i="7" s="1"/>
  <c r="B6" i="10"/>
  <c r="E6" i="6"/>
  <c r="N8" i="6"/>
  <c r="C6" i="10"/>
  <c r="H6" i="6"/>
  <c r="E7" i="10"/>
  <c r="N7" i="6"/>
  <c r="F12" i="5"/>
  <c r="D10" i="10"/>
  <c r="C11" i="10"/>
  <c r="H11" i="6"/>
  <c r="D12" i="5"/>
  <c r="Q15" i="6"/>
  <c r="W17" i="6"/>
  <c r="H15" i="10" s="1"/>
  <c r="G11" i="6"/>
  <c r="G11" i="7" s="1"/>
  <c r="F6" i="5"/>
  <c r="Q7" i="6"/>
  <c r="G12" i="5"/>
  <c r="E10" i="10"/>
  <c r="D11" i="10"/>
  <c r="W16" i="6"/>
  <c r="H14" i="10" s="1"/>
  <c r="Z17" i="6"/>
  <c r="I15" i="10" s="1"/>
  <c r="F11" i="6"/>
  <c r="F11" i="7" s="1"/>
  <c r="Q6" i="6"/>
  <c r="T7" i="6"/>
  <c r="W8" i="6"/>
  <c r="Q10" i="6"/>
  <c r="P10" i="6" s="1"/>
  <c r="P10" i="7" s="1"/>
  <c r="N11" i="6"/>
  <c r="E11" i="10" s="1"/>
  <c r="H12" i="5"/>
  <c r="I19" i="5"/>
  <c r="Z16" i="6"/>
  <c r="I14" i="10" s="1"/>
  <c r="B22" i="2"/>
  <c r="H6" i="5"/>
  <c r="W7" i="6"/>
  <c r="J8" i="5"/>
  <c r="H24" i="10"/>
  <c r="V10" i="6"/>
  <c r="V10" i="7" s="1"/>
  <c r="U10" i="6"/>
  <c r="U10" i="7" s="1"/>
  <c r="J12" i="5"/>
  <c r="I13" i="10"/>
  <c r="Z15" i="6"/>
  <c r="J19" i="5"/>
  <c r="K16" i="10"/>
  <c r="K11" i="6"/>
  <c r="AC15" i="6"/>
  <c r="V16" i="6"/>
  <c r="V16" i="7" s="1"/>
  <c r="D22" i="2"/>
  <c r="J6" i="5"/>
  <c r="AC7" i="6"/>
  <c r="K8" i="10"/>
  <c r="W11" i="6"/>
  <c r="AF15" i="6"/>
  <c r="K13" i="10" s="1"/>
  <c r="L19" i="5"/>
  <c r="L21" i="5" s="1"/>
  <c r="B9" i="6"/>
  <c r="U16" i="6"/>
  <c r="T16" i="7" s="1"/>
  <c r="E22" i="2"/>
  <c r="K6" i="5"/>
  <c r="AF7" i="6"/>
  <c r="AE10" i="6"/>
  <c r="AE10" i="7" s="1"/>
  <c r="AD10" i="6"/>
  <c r="AD10" i="7" s="1"/>
  <c r="C8" i="6"/>
  <c r="AF6" i="6"/>
  <c r="K10" i="10"/>
  <c r="AF10" i="6"/>
  <c r="J11" i="10"/>
  <c r="AC11" i="6"/>
  <c r="AB11" i="6" s="1"/>
  <c r="AB11" i="7" s="1"/>
  <c r="G19" i="5"/>
  <c r="T19" i="6"/>
  <c r="G17" i="10"/>
  <c r="G18" i="6"/>
  <c r="G18" i="7" s="1"/>
  <c r="F18" i="6"/>
  <c r="F18" i="7" s="1"/>
  <c r="D18" i="6"/>
  <c r="D18" i="7" s="1"/>
  <c r="F22" i="2"/>
  <c r="AF11" i="6"/>
  <c r="B15" i="6"/>
  <c r="B19" i="5"/>
  <c r="B21" i="5" s="1"/>
  <c r="Z10" i="6"/>
  <c r="I10" i="10" s="1"/>
  <c r="J22" i="2"/>
  <c r="C14" i="10"/>
  <c r="W6" i="6"/>
  <c r="Q8" i="6"/>
  <c r="W15" i="6"/>
  <c r="N18" i="7"/>
  <c r="P18" i="6"/>
  <c r="P18" i="7" s="1"/>
  <c r="J8" i="10"/>
  <c r="AC8" i="6"/>
  <c r="K19" i="5"/>
  <c r="K22" i="2"/>
  <c r="B8" i="10"/>
  <c r="E8" i="6"/>
  <c r="D8" i="6" s="1"/>
  <c r="D8" i="7" s="1"/>
  <c r="B24" i="10"/>
  <c r="B10" i="7"/>
  <c r="D10" i="6"/>
  <c r="D10" i="7" s="1"/>
  <c r="C10" i="6"/>
  <c r="C10" i="7" s="1"/>
  <c r="C13" i="10"/>
  <c r="D19" i="5"/>
  <c r="C17" i="10" s="1"/>
  <c r="H10" i="10"/>
  <c r="W10" i="6"/>
  <c r="E7" i="6"/>
  <c r="B7" i="10"/>
  <c r="C8" i="10"/>
  <c r="H8" i="6"/>
  <c r="C7" i="10"/>
  <c r="H7" i="6"/>
  <c r="D9" i="10"/>
  <c r="E8" i="5"/>
  <c r="E7" i="5"/>
  <c r="E6" i="5"/>
  <c r="B11" i="10"/>
  <c r="C12" i="5"/>
  <c r="Q16" i="7"/>
  <c r="S16" i="6"/>
  <c r="S16" i="7" s="1"/>
  <c r="G16" i="10"/>
  <c r="T18" i="6"/>
  <c r="S17" i="6"/>
  <c r="S17" i="7" s="1"/>
  <c r="W18" i="6"/>
  <c r="AF16" i="6"/>
  <c r="K14" i="10" s="1"/>
  <c r="AC16" i="6"/>
  <c r="J14" i="10" s="1"/>
  <c r="J15" i="10"/>
  <c r="Z18" i="6"/>
  <c r="J16" i="10"/>
  <c r="AF17" i="6"/>
  <c r="K15" i="10" s="1"/>
  <c r="AC18" i="6"/>
  <c r="B10" i="10"/>
  <c r="E10" i="6"/>
  <c r="D11" i="6"/>
  <c r="D11" i="7" s="1"/>
  <c r="C11" i="6"/>
  <c r="C11" i="7" s="1"/>
  <c r="V15" i="6"/>
  <c r="F11" i="10"/>
  <c r="E16" i="6"/>
  <c r="D16" i="6" s="1"/>
  <c r="D16" i="7" s="1"/>
  <c r="G10" i="10"/>
  <c r="Q11" i="7"/>
  <c r="R11" i="6"/>
  <c r="D15" i="10"/>
  <c r="C19" i="5"/>
  <c r="B17" i="10" s="1"/>
  <c r="D7" i="6"/>
  <c r="D7" i="7" s="1"/>
  <c r="R18" i="6"/>
  <c r="G30" i="10" s="1"/>
  <c r="G11" i="10"/>
  <c r="N15" i="6"/>
  <c r="E13" i="10" s="1"/>
  <c r="N16" i="6"/>
  <c r="E14" i="10" s="1"/>
  <c r="N17" i="6"/>
  <c r="E15" i="10" s="1"/>
  <c r="D16" i="10"/>
  <c r="K18" i="6"/>
  <c r="C6" i="6"/>
  <c r="T11" i="6"/>
  <c r="V17" i="6"/>
  <c r="V17" i="7" s="1"/>
  <c r="S18" i="6"/>
  <c r="S18" i="7" s="1"/>
  <c r="F14" i="10"/>
  <c r="F15" i="10"/>
  <c r="E16" i="10"/>
  <c r="E17" i="6"/>
  <c r="B30" i="10"/>
  <c r="J10" i="10"/>
  <c r="I11" i="10"/>
  <c r="I12" i="5"/>
  <c r="G13" i="10"/>
  <c r="G14" i="10"/>
  <c r="G15" i="10"/>
  <c r="F16" i="10"/>
  <c r="F19" i="5"/>
  <c r="C18" i="6"/>
  <c r="C18" i="7" s="1"/>
  <c r="AE17" i="6" l="1"/>
  <c r="AE17" i="7" s="1"/>
  <c r="U17" i="6"/>
  <c r="U17" i="7" s="1"/>
  <c r="B22" i="10"/>
  <c r="N18" i="8"/>
  <c r="B18" i="7"/>
  <c r="P17" i="6"/>
  <c r="P17" i="7" s="1"/>
  <c r="O17" i="6"/>
  <c r="O17" i="7" s="1"/>
  <c r="Q17" i="8"/>
  <c r="F30" i="10"/>
  <c r="D15" i="6"/>
  <c r="E15" i="6"/>
  <c r="C15" i="6" s="1"/>
  <c r="B19" i="6"/>
  <c r="B12" i="6"/>
  <c r="Z6" i="6"/>
  <c r="J27" i="10"/>
  <c r="Z19" i="6"/>
  <c r="AB15" i="6"/>
  <c r="AA15" i="6"/>
  <c r="C16" i="6"/>
  <c r="B18" i="11"/>
  <c r="F21" i="5"/>
  <c r="T8" i="7"/>
  <c r="V8" i="6"/>
  <c r="V8" i="7" s="1"/>
  <c r="U8" i="6"/>
  <c r="U8" i="7" s="1"/>
  <c r="AA18" i="6"/>
  <c r="AB18" i="6"/>
  <c r="AB18" i="7" s="1"/>
  <c r="Z18" i="7"/>
  <c r="B6" i="7"/>
  <c r="M18" i="6"/>
  <c r="M18" i="7" s="1"/>
  <c r="L18" i="6"/>
  <c r="K18" i="7" s="1"/>
  <c r="Y18" i="6"/>
  <c r="Y18" i="7" s="1"/>
  <c r="X18" i="6"/>
  <c r="X18" i="7" s="1"/>
  <c r="G29" i="10"/>
  <c r="W19" i="6"/>
  <c r="H17" i="10" s="1"/>
  <c r="Y15" i="6"/>
  <c r="X15" i="6"/>
  <c r="U15" i="6"/>
  <c r="H13" i="10"/>
  <c r="O16" i="6"/>
  <c r="F28" i="10" s="1"/>
  <c r="P16" i="6"/>
  <c r="P16" i="7" s="1"/>
  <c r="H30" i="10"/>
  <c r="U18" i="6"/>
  <c r="U18" i="7" s="1"/>
  <c r="T18" i="7"/>
  <c r="V18" i="6"/>
  <c r="V18" i="7" s="1"/>
  <c r="Q8" i="7"/>
  <c r="S8" i="6"/>
  <c r="S8" i="7" s="1"/>
  <c r="R8" i="6"/>
  <c r="R8" i="7" s="1"/>
  <c r="K11" i="10"/>
  <c r="B8" i="7"/>
  <c r="J21" i="5"/>
  <c r="H21" i="5"/>
  <c r="AB17" i="6"/>
  <c r="AB17" i="7" s="1"/>
  <c r="AA17" i="6"/>
  <c r="Z17" i="7" s="1"/>
  <c r="G8" i="10"/>
  <c r="F8" i="10"/>
  <c r="H16" i="6"/>
  <c r="G16" i="6" s="1"/>
  <c r="G16" i="7" s="1"/>
  <c r="K25" i="10"/>
  <c r="AE11" i="6"/>
  <c r="AE11" i="7" s="1"/>
  <c r="AD11" i="6"/>
  <c r="AD11" i="7" s="1"/>
  <c r="Y16" i="6"/>
  <c r="Y16" i="7" s="1"/>
  <c r="X16" i="6"/>
  <c r="W16" i="7" s="1"/>
  <c r="C25" i="10"/>
  <c r="P7" i="6"/>
  <c r="P7" i="7" s="1"/>
  <c r="O7" i="6"/>
  <c r="Q10" i="7"/>
  <c r="S10" i="6"/>
  <c r="S10" i="7" s="1"/>
  <c r="R10" i="6"/>
  <c r="R10" i="7" s="1"/>
  <c r="H16" i="10"/>
  <c r="J21" i="10"/>
  <c r="Z7" i="7"/>
  <c r="AA7" i="6"/>
  <c r="AB7" i="6"/>
  <c r="AB7" i="7" s="1"/>
  <c r="I16" i="10"/>
  <c r="AG10" i="6"/>
  <c r="AF10" i="7"/>
  <c r="K24" i="10"/>
  <c r="I8" i="10"/>
  <c r="Z8" i="6"/>
  <c r="F10" i="10"/>
  <c r="Y17" i="6"/>
  <c r="Y17" i="7" s="1"/>
  <c r="X17" i="6"/>
  <c r="X17" i="7" s="1"/>
  <c r="H9" i="6"/>
  <c r="I7" i="10"/>
  <c r="D10" i="8"/>
  <c r="D10" i="9" s="1"/>
  <c r="C10" i="8"/>
  <c r="C10" i="9" s="1"/>
  <c r="B10" i="8"/>
  <c r="W9" i="6"/>
  <c r="Y6" i="6"/>
  <c r="P11" i="6"/>
  <c r="P11" i="7" s="1"/>
  <c r="O11" i="6"/>
  <c r="B11" i="7"/>
  <c r="AG7" i="6"/>
  <c r="AF7" i="7"/>
  <c r="I25" i="10"/>
  <c r="Y11" i="6"/>
  <c r="Y11" i="7" s="1"/>
  <c r="X11" i="6"/>
  <c r="X11" i="7" s="1"/>
  <c r="AD15" i="6"/>
  <c r="K27" i="10" s="1"/>
  <c r="AE15" i="6"/>
  <c r="AC19" i="6"/>
  <c r="J17" i="10" s="1"/>
  <c r="I21" i="10"/>
  <c r="Y7" i="6"/>
  <c r="Y7" i="7" s="1"/>
  <c r="X7" i="6"/>
  <c r="X7" i="7" s="1"/>
  <c r="AH18" i="6"/>
  <c r="P15" i="6"/>
  <c r="O15" i="6"/>
  <c r="N19" i="6"/>
  <c r="G28" i="10"/>
  <c r="F8" i="6"/>
  <c r="F8" i="7" s="1"/>
  <c r="G8" i="6"/>
  <c r="G8" i="7" s="1"/>
  <c r="C22" i="10"/>
  <c r="Q18" i="7"/>
  <c r="B25" i="10"/>
  <c r="H10" i="6"/>
  <c r="G10" i="6" s="1"/>
  <c r="G10" i="7" s="1"/>
  <c r="Y10" i="6"/>
  <c r="Y10" i="7" s="1"/>
  <c r="X10" i="6"/>
  <c r="W10" i="7" s="1"/>
  <c r="AF9" i="6"/>
  <c r="AF6" i="7"/>
  <c r="AG6" i="6"/>
  <c r="K7" i="10"/>
  <c r="H11" i="10"/>
  <c r="J13" i="10"/>
  <c r="H7" i="10"/>
  <c r="I22" i="10"/>
  <c r="Y8" i="6"/>
  <c r="Y8" i="7" s="1"/>
  <c r="X8" i="6"/>
  <c r="X8" i="7" s="1"/>
  <c r="G21" i="5"/>
  <c r="Q15" i="7"/>
  <c r="Q19" i="6"/>
  <c r="S15" i="6"/>
  <c r="R15" i="6"/>
  <c r="P8" i="6"/>
  <c r="P8" i="7" s="1"/>
  <c r="O8" i="6"/>
  <c r="O8" i="7" s="1"/>
  <c r="D17" i="6"/>
  <c r="D17" i="7" s="1"/>
  <c r="C17" i="6"/>
  <c r="T17" i="7"/>
  <c r="D6" i="10"/>
  <c r="K6" i="6"/>
  <c r="I18" i="6"/>
  <c r="E18" i="7"/>
  <c r="K6" i="10"/>
  <c r="AC6" i="6"/>
  <c r="G6" i="10"/>
  <c r="T6" i="6"/>
  <c r="S6" i="6" s="1"/>
  <c r="H8" i="10"/>
  <c r="F13" i="10"/>
  <c r="E8" i="10"/>
  <c r="AF18" i="7"/>
  <c r="V15" i="7"/>
  <c r="V19" i="6"/>
  <c r="AC10" i="7"/>
  <c r="AG15" i="6"/>
  <c r="AF19" i="6"/>
  <c r="AF15" i="7"/>
  <c r="H28" i="10"/>
  <c r="AC16" i="7"/>
  <c r="AE16" i="6"/>
  <c r="AE16" i="7" s="1"/>
  <c r="AD16" i="6"/>
  <c r="AD16" i="7" s="1"/>
  <c r="G7" i="6"/>
  <c r="G7" i="7" s="1"/>
  <c r="F7" i="6"/>
  <c r="F7" i="7" s="1"/>
  <c r="C7" i="6"/>
  <c r="C9" i="6" s="1"/>
  <c r="R18" i="7"/>
  <c r="B12" i="10"/>
  <c r="C21" i="5"/>
  <c r="I21" i="5"/>
  <c r="H25" i="10"/>
  <c r="V11" i="6"/>
  <c r="V11" i="7" s="1"/>
  <c r="U11" i="6"/>
  <c r="U11" i="7" s="1"/>
  <c r="S11" i="6"/>
  <c r="H29" i="10"/>
  <c r="AC18" i="7"/>
  <c r="K30" i="10"/>
  <c r="AE18" i="6"/>
  <c r="AE18" i="7" s="1"/>
  <c r="AD18" i="6"/>
  <c r="AG16" i="6"/>
  <c r="AF16" i="7" s="1"/>
  <c r="D7" i="10"/>
  <c r="K7" i="6"/>
  <c r="J7" i="6" s="1"/>
  <c r="J7" i="7" s="1"/>
  <c r="O18" i="7"/>
  <c r="P18" i="8" s="1"/>
  <c r="P18" i="9" s="1"/>
  <c r="K22" i="10"/>
  <c r="AC8" i="7"/>
  <c r="AE8" i="6"/>
  <c r="AE8" i="7" s="1"/>
  <c r="AD8" i="6"/>
  <c r="AD8" i="7" s="1"/>
  <c r="J18" i="6"/>
  <c r="J18" i="7" s="1"/>
  <c r="C30" i="10"/>
  <c r="H21" i="10"/>
  <c r="U7" i="6"/>
  <c r="T7" i="7"/>
  <c r="V7" i="6"/>
  <c r="V7" i="7" s="1"/>
  <c r="Q7" i="7"/>
  <c r="S7" i="6"/>
  <c r="S7" i="7" s="1"/>
  <c r="R7" i="6"/>
  <c r="C12" i="10"/>
  <c r="D21" i="5"/>
  <c r="E9" i="6"/>
  <c r="D6" i="6"/>
  <c r="C6" i="7" s="1"/>
  <c r="E6" i="7"/>
  <c r="G6" i="6"/>
  <c r="F6" i="6"/>
  <c r="AG17" i="6"/>
  <c r="AF17" i="7"/>
  <c r="AD17" i="6"/>
  <c r="T10" i="7"/>
  <c r="D8" i="10"/>
  <c r="K8" i="6"/>
  <c r="J8" i="6" s="1"/>
  <c r="J8" i="7" s="1"/>
  <c r="H17" i="6"/>
  <c r="F17" i="6" s="1"/>
  <c r="O10" i="6"/>
  <c r="E25" i="10"/>
  <c r="K11" i="7"/>
  <c r="M11" i="6"/>
  <c r="M11" i="7" s="1"/>
  <c r="L11" i="6"/>
  <c r="AB16" i="6"/>
  <c r="AB16" i="7" s="1"/>
  <c r="AA16" i="6"/>
  <c r="Z16" i="7"/>
  <c r="G7" i="10"/>
  <c r="F7" i="10"/>
  <c r="D25" i="10"/>
  <c r="H11" i="7"/>
  <c r="J11" i="6"/>
  <c r="J11" i="7" s="1"/>
  <c r="I11" i="6"/>
  <c r="I11" i="7" s="1"/>
  <c r="J24" i="10"/>
  <c r="Z10" i="7"/>
  <c r="AB10" i="6"/>
  <c r="AB10" i="7" s="1"/>
  <c r="AA10" i="6"/>
  <c r="AA11" i="6"/>
  <c r="H6" i="10"/>
  <c r="AC7" i="7"/>
  <c r="AE7" i="6"/>
  <c r="AE7" i="7" s="1"/>
  <c r="AD7" i="6"/>
  <c r="Q9" i="6"/>
  <c r="R6" i="6"/>
  <c r="Q6" i="7"/>
  <c r="E6" i="10"/>
  <c r="N6" i="6"/>
  <c r="AH8" i="6"/>
  <c r="AG8" i="7"/>
  <c r="K21" i="5"/>
  <c r="C8" i="7"/>
  <c r="U16" i="7"/>
  <c r="V16" i="8" s="1"/>
  <c r="V16" i="9" s="1"/>
  <c r="J7" i="10"/>
  <c r="I17" i="10"/>
  <c r="E11" i="7"/>
  <c r="F6" i="10"/>
  <c r="R17" i="7"/>
  <c r="R17" i="8" s="1"/>
  <c r="R16" i="7"/>
  <c r="Q16" i="8" s="1"/>
  <c r="Q16" i="9" s="1"/>
  <c r="I29" i="10" l="1"/>
  <c r="N17" i="7"/>
  <c r="G17" i="6"/>
  <c r="G17" i="7" s="1"/>
  <c r="F16" i="6"/>
  <c r="V19" i="7"/>
  <c r="O16" i="7"/>
  <c r="J28" i="10"/>
  <c r="S9" i="6"/>
  <c r="S6" i="7"/>
  <c r="G20" i="10"/>
  <c r="C15" i="7"/>
  <c r="C19" i="6"/>
  <c r="B19" i="7" s="1"/>
  <c r="B15" i="7"/>
  <c r="B27" i="10"/>
  <c r="C12" i="6"/>
  <c r="B9" i="7"/>
  <c r="AA15" i="7"/>
  <c r="AA19" i="6"/>
  <c r="AA19" i="7" s="1"/>
  <c r="AC6" i="7"/>
  <c r="AE6" i="6"/>
  <c r="AD6" i="6"/>
  <c r="AC9" i="6"/>
  <c r="F10" i="6"/>
  <c r="AB15" i="7"/>
  <c r="AB19" i="6"/>
  <c r="AB19" i="7" s="1"/>
  <c r="O15" i="7"/>
  <c r="O19" i="6"/>
  <c r="AC15" i="7"/>
  <c r="C11" i="8"/>
  <c r="C11" i="9" s="1"/>
  <c r="B11" i="8"/>
  <c r="B11" i="9" s="1"/>
  <c r="D11" i="8"/>
  <c r="D11" i="9" s="1"/>
  <c r="B38" i="10"/>
  <c r="I28" i="10"/>
  <c r="AA16" i="7"/>
  <c r="AA16" i="8" s="1"/>
  <c r="AH17" i="6"/>
  <c r="AH16" i="6"/>
  <c r="AF19" i="7"/>
  <c r="N8" i="7"/>
  <c r="P15" i="7"/>
  <c r="P19" i="6"/>
  <c r="P19" i="7" s="1"/>
  <c r="O11" i="7"/>
  <c r="J22" i="10"/>
  <c r="Z8" i="7"/>
  <c r="AB8" i="6"/>
  <c r="AB8" i="7" s="1"/>
  <c r="AA8" i="6"/>
  <c r="AA8" i="7" s="1"/>
  <c r="G22" i="10"/>
  <c r="E17" i="7"/>
  <c r="V8" i="9"/>
  <c r="J31" i="10"/>
  <c r="S17" i="8"/>
  <c r="S17" i="9" s="1"/>
  <c r="N18" i="9"/>
  <c r="V8" i="8"/>
  <c r="U8" i="8"/>
  <c r="U8" i="9" s="1"/>
  <c r="T8" i="8"/>
  <c r="H36" i="10" s="1"/>
  <c r="G43" i="10"/>
  <c r="I7" i="6"/>
  <c r="S8" i="8"/>
  <c r="S8" i="9" s="1"/>
  <c r="R8" i="8"/>
  <c r="R8" i="9" s="1"/>
  <c r="Q8" i="8"/>
  <c r="Q8" i="9" s="1"/>
  <c r="AI8" i="6"/>
  <c r="AH8" i="7" s="1"/>
  <c r="AA10" i="7"/>
  <c r="L11" i="7"/>
  <c r="F6" i="7"/>
  <c r="F9" i="6"/>
  <c r="U7" i="7"/>
  <c r="T7" i="8" s="1"/>
  <c r="AD18" i="7"/>
  <c r="AD18" i="8" s="1"/>
  <c r="AH15" i="6"/>
  <c r="AG15" i="7" s="1"/>
  <c r="AG19" i="6"/>
  <c r="AG11" i="6"/>
  <c r="I18" i="7"/>
  <c r="D30" i="10"/>
  <c r="H18" i="7"/>
  <c r="S15" i="7"/>
  <c r="S19" i="6"/>
  <c r="S19" i="7" s="1"/>
  <c r="F27" i="10"/>
  <c r="N11" i="7"/>
  <c r="B10" i="9"/>
  <c r="U16" i="8"/>
  <c r="C29" i="10"/>
  <c r="I8" i="6"/>
  <c r="H22" i="10"/>
  <c r="Z9" i="6"/>
  <c r="Z6" i="7"/>
  <c r="AA6" i="6"/>
  <c r="AB6" i="6"/>
  <c r="J6" i="10"/>
  <c r="F22" i="10"/>
  <c r="AA11" i="7"/>
  <c r="J25" i="10"/>
  <c r="Z11" i="7"/>
  <c r="G18" i="8"/>
  <c r="G18" i="9" s="1"/>
  <c r="F18" i="8"/>
  <c r="F18" i="9" s="1"/>
  <c r="E18" i="8"/>
  <c r="E18" i="9" s="1"/>
  <c r="R19" i="6"/>
  <c r="R15" i="7"/>
  <c r="Q15" i="8" s="1"/>
  <c r="N15" i="7"/>
  <c r="T16" i="8"/>
  <c r="F20" i="10"/>
  <c r="P6" i="6"/>
  <c r="O6" i="6"/>
  <c r="N6" i="7" s="1"/>
  <c r="N9" i="6"/>
  <c r="G6" i="7"/>
  <c r="G9" i="6"/>
  <c r="E7" i="7"/>
  <c r="AE10" i="8"/>
  <c r="AE10" i="9" s="1"/>
  <c r="B24" i="11" s="1"/>
  <c r="AD10" i="8"/>
  <c r="AD10" i="9" s="1"/>
  <c r="AC10" i="8"/>
  <c r="K38" i="10" s="1"/>
  <c r="Q19" i="7"/>
  <c r="AG9" i="6"/>
  <c r="AG12" i="6" s="1"/>
  <c r="AH6" i="6"/>
  <c r="W11" i="7"/>
  <c r="F25" i="10"/>
  <c r="G24" i="10"/>
  <c r="AA17" i="7"/>
  <c r="AB17" i="8" s="1"/>
  <c r="AB17" i="9" s="1"/>
  <c r="W18" i="7"/>
  <c r="I6" i="10"/>
  <c r="Q17" i="9"/>
  <c r="U16" i="9"/>
  <c r="Z16" i="8"/>
  <c r="Z16" i="9" s="1"/>
  <c r="K21" i="10"/>
  <c r="G21" i="10"/>
  <c r="AB10" i="8"/>
  <c r="AB10" i="9" s="1"/>
  <c r="AA10" i="8"/>
  <c r="M11" i="8"/>
  <c r="M11" i="9" s="1"/>
  <c r="L11" i="8"/>
  <c r="F6" i="8"/>
  <c r="E6" i="8"/>
  <c r="E6" i="9" s="1"/>
  <c r="C7" i="7"/>
  <c r="B7" i="7"/>
  <c r="B21" i="10"/>
  <c r="K9" i="6"/>
  <c r="L6" i="6"/>
  <c r="M6" i="6"/>
  <c r="S15" i="8"/>
  <c r="AF9" i="7"/>
  <c r="R18" i="8"/>
  <c r="R18" i="9" s="1"/>
  <c r="S18" i="8"/>
  <c r="S18" i="9" s="1"/>
  <c r="Q18" i="8"/>
  <c r="Q18" i="9" s="1"/>
  <c r="AI18" i="6"/>
  <c r="L18" i="1" s="1"/>
  <c r="I6" i="6"/>
  <c r="S10" i="8"/>
  <c r="S10" i="9" s="1"/>
  <c r="R10" i="8"/>
  <c r="R10" i="9" s="1"/>
  <c r="Q10" i="8"/>
  <c r="B12" i="7"/>
  <c r="B21" i="6"/>
  <c r="U18" i="8"/>
  <c r="U18" i="9" s="1"/>
  <c r="T18" i="9"/>
  <c r="T18" i="8"/>
  <c r="V18" i="8"/>
  <c r="V18" i="9" s="1"/>
  <c r="U15" i="7"/>
  <c r="U19" i="6"/>
  <c r="H27" i="10"/>
  <c r="T15" i="7"/>
  <c r="AF12" i="6"/>
  <c r="K9" i="10"/>
  <c r="AG18" i="7"/>
  <c r="J6" i="6"/>
  <c r="AH10" i="6"/>
  <c r="AG10" i="7" s="1"/>
  <c r="O7" i="7"/>
  <c r="K17" i="10"/>
  <c r="J29" i="10"/>
  <c r="X15" i="7"/>
  <c r="X19" i="6"/>
  <c r="W19" i="7" s="1"/>
  <c r="AB18" i="8"/>
  <c r="AB18" i="9" s="1"/>
  <c r="P17" i="9"/>
  <c r="D6" i="7"/>
  <c r="D6" i="8" s="1"/>
  <c r="D9" i="6"/>
  <c r="C9" i="7" s="1"/>
  <c r="AC18" i="8"/>
  <c r="Y19" i="6"/>
  <c r="Y19" i="7" s="1"/>
  <c r="Y15" i="7"/>
  <c r="I30" i="10"/>
  <c r="N17" i="8"/>
  <c r="N17" i="9"/>
  <c r="P17" i="8"/>
  <c r="O17" i="8"/>
  <c r="O17" i="9" s="1"/>
  <c r="F31" i="10"/>
  <c r="N19" i="7"/>
  <c r="AD15" i="7"/>
  <c r="AD19" i="6"/>
  <c r="C8" i="9"/>
  <c r="G27" i="10"/>
  <c r="R6" i="7"/>
  <c r="R9" i="6"/>
  <c r="O10" i="7"/>
  <c r="N10" i="7"/>
  <c r="F24" i="10"/>
  <c r="C23" i="10"/>
  <c r="E12" i="6"/>
  <c r="E9" i="7"/>
  <c r="AD8" i="9"/>
  <c r="T17" i="9"/>
  <c r="U17" i="8"/>
  <c r="U17" i="9" s="1"/>
  <c r="V17" i="8"/>
  <c r="V17" i="9" s="1"/>
  <c r="T17" i="8"/>
  <c r="H12" i="6"/>
  <c r="R17" i="9"/>
  <c r="K17" i="6"/>
  <c r="J17" i="6" s="1"/>
  <c r="J17" i="7" s="1"/>
  <c r="C20" i="10"/>
  <c r="S11" i="7"/>
  <c r="G25" i="10"/>
  <c r="C21" i="10"/>
  <c r="C17" i="7"/>
  <c r="B17" i="7"/>
  <c r="B29" i="10"/>
  <c r="AH7" i="6"/>
  <c r="AG7" i="7"/>
  <c r="F17" i="10"/>
  <c r="E17" i="10"/>
  <c r="N7" i="7"/>
  <c r="B20" i="10"/>
  <c r="AA18" i="7"/>
  <c r="F29" i="10"/>
  <c r="AC7" i="8"/>
  <c r="AC7" i="9" s="1"/>
  <c r="AE7" i="8"/>
  <c r="AE7" i="9" s="1"/>
  <c r="B22" i="11" s="1"/>
  <c r="AD7" i="8"/>
  <c r="Q9" i="7"/>
  <c r="Q12" i="6"/>
  <c r="F9" i="10"/>
  <c r="J11" i="8"/>
  <c r="J11" i="9" s="1"/>
  <c r="I11" i="8"/>
  <c r="I11" i="9" s="1"/>
  <c r="H11" i="8"/>
  <c r="H11" i="9" s="1"/>
  <c r="W8" i="7"/>
  <c r="X10" i="7"/>
  <c r="Y10" i="8" s="1"/>
  <c r="Y10" i="9" s="1"/>
  <c r="E8" i="7"/>
  <c r="W7" i="7"/>
  <c r="X6" i="6"/>
  <c r="F21" i="10"/>
  <c r="R11" i="7"/>
  <c r="W15" i="7"/>
  <c r="J30" i="10"/>
  <c r="D18" i="8"/>
  <c r="D18" i="9" s="1"/>
  <c r="C18" i="8"/>
  <c r="C18" i="9" s="1"/>
  <c r="B18" i="8"/>
  <c r="B18" i="9" s="1"/>
  <c r="Y9" i="6"/>
  <c r="Y6" i="7"/>
  <c r="W17" i="7"/>
  <c r="AC11" i="7"/>
  <c r="I27" i="10"/>
  <c r="L18" i="7"/>
  <c r="C16" i="7"/>
  <c r="B28" i="10"/>
  <c r="B16" i="7"/>
  <c r="F15" i="6"/>
  <c r="E19" i="6"/>
  <c r="H15" i="6"/>
  <c r="K8" i="7"/>
  <c r="M8" i="6"/>
  <c r="M8" i="7" s="1"/>
  <c r="L8" i="6"/>
  <c r="AE8" i="8"/>
  <c r="AE8" i="9" s="1"/>
  <c r="B23" i="11" s="1"/>
  <c r="AD8" i="8"/>
  <c r="AC8" i="8"/>
  <c r="AC8" i="9" s="1"/>
  <c r="G11" i="8"/>
  <c r="G11" i="9" s="1"/>
  <c r="E11" i="8"/>
  <c r="E11" i="9" s="1"/>
  <c r="F11" i="8"/>
  <c r="F11" i="9" s="1"/>
  <c r="AD7" i="7"/>
  <c r="V10" i="8"/>
  <c r="V10" i="9" s="1"/>
  <c r="U10" i="8"/>
  <c r="U10" i="9" s="1"/>
  <c r="T10" i="8"/>
  <c r="T10" i="9" s="1"/>
  <c r="R7" i="7"/>
  <c r="Q7" i="8" s="1"/>
  <c r="T11" i="7"/>
  <c r="K28" i="10"/>
  <c r="H20" i="10"/>
  <c r="V6" i="6"/>
  <c r="T9" i="6"/>
  <c r="U6" i="6"/>
  <c r="T6" i="7"/>
  <c r="I24" i="10"/>
  <c r="AC19" i="7"/>
  <c r="R16" i="8"/>
  <c r="R16" i="9" s="1"/>
  <c r="W12" i="6"/>
  <c r="H9" i="10"/>
  <c r="D8" i="8"/>
  <c r="D8" i="9" s="1"/>
  <c r="C8" i="8"/>
  <c r="B8" i="8"/>
  <c r="B8" i="9" s="1"/>
  <c r="D15" i="7"/>
  <c r="D19" i="6"/>
  <c r="D19" i="7" s="1"/>
  <c r="AD17" i="7"/>
  <c r="K29" i="10"/>
  <c r="AC17" i="7"/>
  <c r="E21" i="10"/>
  <c r="K7" i="7"/>
  <c r="L7" i="6"/>
  <c r="M7" i="6"/>
  <c r="M7" i="7" s="1"/>
  <c r="AE16" i="8"/>
  <c r="AE16" i="9" s="1"/>
  <c r="B26" i="11" s="1"/>
  <c r="AD16" i="8"/>
  <c r="AD16" i="9" s="1"/>
  <c r="AC16" i="8"/>
  <c r="K42" i="10" s="1"/>
  <c r="K10" i="6"/>
  <c r="AE15" i="7"/>
  <c r="AE19" i="6"/>
  <c r="AE19" i="7" s="1"/>
  <c r="S16" i="8"/>
  <c r="S16" i="9" s="1"/>
  <c r="AA7" i="7"/>
  <c r="AB7" i="8" s="1"/>
  <c r="AB7" i="9" s="1"/>
  <c r="X16" i="7"/>
  <c r="X16" i="8" s="1"/>
  <c r="J16" i="6"/>
  <c r="J16" i="7" s="1"/>
  <c r="K16" i="6"/>
  <c r="N16" i="7"/>
  <c r="E30" i="10"/>
  <c r="Z15" i="7"/>
  <c r="O18" i="8"/>
  <c r="F44" i="10" s="1"/>
  <c r="G31" i="10" l="1"/>
  <c r="W16" i="8"/>
  <c r="F16" i="7"/>
  <c r="C28" i="10"/>
  <c r="E16" i="7"/>
  <c r="T8" i="9"/>
  <c r="Y16" i="8"/>
  <c r="Y16" i="9" s="1"/>
  <c r="Z19" i="7"/>
  <c r="F17" i="7"/>
  <c r="Q7" i="9"/>
  <c r="AQ16" i="9"/>
  <c r="AN16" i="9"/>
  <c r="AM16" i="9"/>
  <c r="AL16" i="9"/>
  <c r="AK16" i="9"/>
  <c r="AP16" i="9"/>
  <c r="AO16" i="9"/>
  <c r="AJ16" i="9"/>
  <c r="AI16" i="9"/>
  <c r="AH16" i="9"/>
  <c r="AG16" i="9"/>
  <c r="AF16" i="9"/>
  <c r="AF16" i="8" s="1"/>
  <c r="Q19" i="8"/>
  <c r="Q15" i="9"/>
  <c r="T7" i="9"/>
  <c r="AI7" i="9"/>
  <c r="AF7" i="9"/>
  <c r="AF7" i="8" s="1"/>
  <c r="AP7" i="9"/>
  <c r="AO7" i="9"/>
  <c r="AN7" i="9"/>
  <c r="AM7" i="9"/>
  <c r="AL7" i="9"/>
  <c r="AK7" i="9"/>
  <c r="AG7" i="9"/>
  <c r="AG7" i="8" s="1"/>
  <c r="AQ7" i="9"/>
  <c r="AJ7" i="9"/>
  <c r="AH7" i="9"/>
  <c r="L30" i="10"/>
  <c r="Y8" i="8"/>
  <c r="Y8" i="9" s="1"/>
  <c r="X8" i="8"/>
  <c r="X8" i="9" s="1"/>
  <c r="W8" i="8"/>
  <c r="H38" i="10"/>
  <c r="K36" i="10"/>
  <c r="D16" i="8"/>
  <c r="D16" i="9" s="1"/>
  <c r="C16" i="8"/>
  <c r="B16" i="8"/>
  <c r="B42" i="10" s="1"/>
  <c r="L7" i="7"/>
  <c r="K31" i="10"/>
  <c r="N10" i="8"/>
  <c r="O10" i="8"/>
  <c r="O10" i="9" s="1"/>
  <c r="P10" i="8"/>
  <c r="P10" i="9" s="1"/>
  <c r="AD19" i="7"/>
  <c r="AE18" i="8"/>
  <c r="AE18" i="9" s="1"/>
  <c r="B28" i="11" s="1"/>
  <c r="AA18" i="8"/>
  <c r="AA18" i="9" s="1"/>
  <c r="B7" i="9"/>
  <c r="D7" i="8"/>
  <c r="D7" i="9" s="1"/>
  <c r="C7" i="8"/>
  <c r="B7" i="8"/>
  <c r="Y11" i="8"/>
  <c r="Y11" i="9" s="1"/>
  <c r="X11" i="8"/>
  <c r="X11" i="9" s="1"/>
  <c r="W11" i="8"/>
  <c r="F6" i="9"/>
  <c r="AB8" i="8"/>
  <c r="AA8" i="8"/>
  <c r="Z8" i="8"/>
  <c r="AA16" i="9"/>
  <c r="C19" i="7"/>
  <c r="K44" i="10"/>
  <c r="AF21" i="6"/>
  <c r="K12" i="10"/>
  <c r="C7" i="9"/>
  <c r="AH9" i="6"/>
  <c r="AH6" i="7"/>
  <c r="AI6" i="6"/>
  <c r="AB6" i="7"/>
  <c r="AB9" i="6"/>
  <c r="L11" i="9"/>
  <c r="C16" i="9"/>
  <c r="Y15" i="8"/>
  <c r="X15" i="8"/>
  <c r="W15" i="8"/>
  <c r="R11" i="9"/>
  <c r="S11" i="8"/>
  <c r="R11" i="8"/>
  <c r="Q11" i="8"/>
  <c r="T15" i="8"/>
  <c r="U15" i="8"/>
  <c r="U19" i="8" s="1"/>
  <c r="V15" i="8"/>
  <c r="G38" i="10"/>
  <c r="J42" i="10"/>
  <c r="AG6" i="7"/>
  <c r="AA9" i="6"/>
  <c r="AA6" i="7"/>
  <c r="S15" i="9"/>
  <c r="AA10" i="9"/>
  <c r="K18" i="8"/>
  <c r="M7" i="8"/>
  <c r="M7" i="9" s="1"/>
  <c r="L7" i="8"/>
  <c r="K7" i="8"/>
  <c r="E35" i="10" s="1"/>
  <c r="AD7" i="9"/>
  <c r="L8" i="7"/>
  <c r="K8" i="8" s="1"/>
  <c r="I31" i="10"/>
  <c r="S11" i="9"/>
  <c r="H43" i="10"/>
  <c r="R9" i="7"/>
  <c r="R12" i="6"/>
  <c r="AC18" i="9"/>
  <c r="X19" i="7"/>
  <c r="R15" i="8"/>
  <c r="R19" i="8" s="1"/>
  <c r="AG21" i="6"/>
  <c r="N12" i="6"/>
  <c r="E9" i="10"/>
  <c r="AA6" i="8"/>
  <c r="Z6" i="8"/>
  <c r="H18" i="9"/>
  <c r="H18" i="8"/>
  <c r="J18" i="8"/>
  <c r="J18" i="9" s="1"/>
  <c r="I18" i="8"/>
  <c r="F10" i="7"/>
  <c r="E10" i="7"/>
  <c r="C24" i="10"/>
  <c r="L18" i="8"/>
  <c r="L18" i="9" s="1"/>
  <c r="X10" i="8"/>
  <c r="M18" i="8"/>
  <c r="M18" i="9" s="1"/>
  <c r="W10" i="8"/>
  <c r="M10" i="6"/>
  <c r="M10" i="7" s="1"/>
  <c r="L10" i="6"/>
  <c r="L10" i="7" s="1"/>
  <c r="I10" i="6"/>
  <c r="W16" i="9"/>
  <c r="U6" i="7"/>
  <c r="U9" i="6"/>
  <c r="L8" i="8"/>
  <c r="AE11" i="8"/>
  <c r="AE11" i="9" s="1"/>
  <c r="B25" i="11" s="1"/>
  <c r="AD11" i="8"/>
  <c r="AD11" i="9" s="1"/>
  <c r="AC11" i="8"/>
  <c r="K39" i="10" s="1"/>
  <c r="X6" i="7"/>
  <c r="X9" i="6"/>
  <c r="W6" i="7"/>
  <c r="I20" i="10"/>
  <c r="P7" i="8"/>
  <c r="P7" i="9" s="1"/>
  <c r="N7" i="8"/>
  <c r="N7" i="9" s="1"/>
  <c r="O7" i="8"/>
  <c r="D6" i="9"/>
  <c r="Q10" i="9"/>
  <c r="G6" i="8"/>
  <c r="C34" i="10" s="1"/>
  <c r="AB16" i="8"/>
  <c r="AB16" i="9" s="1"/>
  <c r="P6" i="7"/>
  <c r="P9" i="6"/>
  <c r="U7" i="8"/>
  <c r="J20" i="10"/>
  <c r="I18" i="9"/>
  <c r="G36" i="10"/>
  <c r="N8" i="8"/>
  <c r="O8" i="8"/>
  <c r="O8" i="9" s="1"/>
  <c r="P8" i="8"/>
  <c r="P8" i="9" s="1"/>
  <c r="K23" i="10"/>
  <c r="AC9" i="7"/>
  <c r="AC12" i="6"/>
  <c r="J9" i="10"/>
  <c r="B6" i="8"/>
  <c r="L6" i="1"/>
  <c r="V7" i="8"/>
  <c r="V7" i="9" s="1"/>
  <c r="AF11" i="7"/>
  <c r="B39" i="10"/>
  <c r="AD6" i="7"/>
  <c r="AD9" i="6"/>
  <c r="C6" i="8"/>
  <c r="C6" i="9" s="1"/>
  <c r="R6" i="9"/>
  <c r="AI8" i="7"/>
  <c r="AJ8" i="6"/>
  <c r="M8" i="5"/>
  <c r="L8" i="10" s="1"/>
  <c r="L8" i="1"/>
  <c r="N16" i="8"/>
  <c r="N16" i="9" s="1"/>
  <c r="O16" i="8"/>
  <c r="O16" i="9" s="1"/>
  <c r="P16" i="8"/>
  <c r="P16" i="9" s="1"/>
  <c r="J10" i="6"/>
  <c r="J10" i="7" s="1"/>
  <c r="T9" i="7"/>
  <c r="T12" i="6"/>
  <c r="G9" i="10"/>
  <c r="E22" i="10"/>
  <c r="Y17" i="8"/>
  <c r="Y17" i="9" s="1"/>
  <c r="X17" i="8"/>
  <c r="X17" i="9" s="1"/>
  <c r="W17" i="8"/>
  <c r="W17" i="9" s="1"/>
  <c r="W7" i="9"/>
  <c r="Y7" i="8"/>
  <c r="Y7" i="9" s="1"/>
  <c r="X7" i="8"/>
  <c r="X7" i="9" s="1"/>
  <c r="W7" i="8"/>
  <c r="G23" i="10"/>
  <c r="M17" i="6"/>
  <c r="M17" i="7" s="1"/>
  <c r="L17" i="6"/>
  <c r="K17" i="7"/>
  <c r="R6" i="8"/>
  <c r="M16" i="6"/>
  <c r="M16" i="7" s="1"/>
  <c r="L16" i="6"/>
  <c r="K16" i="7"/>
  <c r="V6" i="7"/>
  <c r="V9" i="6"/>
  <c r="H19" i="6"/>
  <c r="H21" i="6" s="1"/>
  <c r="K15" i="6"/>
  <c r="G8" i="8"/>
  <c r="G8" i="9" s="1"/>
  <c r="F8" i="8"/>
  <c r="F8" i="9" s="1"/>
  <c r="E8" i="9"/>
  <c r="E8" i="8"/>
  <c r="I17" i="6"/>
  <c r="F43" i="10"/>
  <c r="S6" i="8"/>
  <c r="S6" i="9" s="1"/>
  <c r="H44" i="10"/>
  <c r="I6" i="7"/>
  <c r="I9" i="6"/>
  <c r="D20" i="10"/>
  <c r="H6" i="7"/>
  <c r="M6" i="7"/>
  <c r="M9" i="6"/>
  <c r="K11" i="8"/>
  <c r="H42" i="10"/>
  <c r="T16" i="9"/>
  <c r="I8" i="7"/>
  <c r="D22" i="10"/>
  <c r="H8" i="7"/>
  <c r="AE6" i="7"/>
  <c r="AE6" i="8" s="1"/>
  <c r="AE9" i="6"/>
  <c r="Z17" i="8"/>
  <c r="X15" i="9"/>
  <c r="S19" i="8"/>
  <c r="S19" i="9" s="1"/>
  <c r="Y12" i="6"/>
  <c r="Y9" i="7"/>
  <c r="AI18" i="7"/>
  <c r="AJ18" i="6"/>
  <c r="M18" i="5"/>
  <c r="L16" i="10" s="1"/>
  <c r="L6" i="7"/>
  <c r="L9" i="6"/>
  <c r="AQ10" i="9"/>
  <c r="AP10" i="9"/>
  <c r="AO10" i="9"/>
  <c r="AN10" i="9"/>
  <c r="AM10" i="9"/>
  <c r="AL10" i="9"/>
  <c r="AK10" i="9"/>
  <c r="AJ10" i="9"/>
  <c r="AI10" i="9"/>
  <c r="AF10" i="9"/>
  <c r="AF10" i="8" s="1"/>
  <c r="AH10" i="9"/>
  <c r="AG10" i="9"/>
  <c r="AG10" i="8" s="1"/>
  <c r="B23" i="10"/>
  <c r="AA17" i="8"/>
  <c r="AA17" i="9" s="1"/>
  <c r="AI16" i="6"/>
  <c r="AH16" i="7" s="1"/>
  <c r="L16" i="1"/>
  <c r="AE15" i="8"/>
  <c r="AD15" i="8"/>
  <c r="AC15" i="8"/>
  <c r="AC15" i="9" s="1"/>
  <c r="K20" i="10"/>
  <c r="C21" i="6"/>
  <c r="Q12" i="7"/>
  <c r="Q21" i="6"/>
  <c r="F12" i="10"/>
  <c r="AQ8" i="9"/>
  <c r="AJ8" i="9"/>
  <c r="AG8" i="9"/>
  <c r="AG8" i="8" s="1"/>
  <c r="AH8" i="9"/>
  <c r="AH8" i="8" s="1"/>
  <c r="AF8" i="9"/>
  <c r="AF8" i="8" s="1"/>
  <c r="AO8" i="9"/>
  <c r="AN8" i="9"/>
  <c r="AP8" i="9"/>
  <c r="AM8" i="9"/>
  <c r="AL8" i="9"/>
  <c r="AK8" i="9"/>
  <c r="AI8" i="9"/>
  <c r="Q19" i="9"/>
  <c r="O6" i="7"/>
  <c r="P6" i="8" s="1"/>
  <c r="O9" i="6"/>
  <c r="F23" i="10" s="1"/>
  <c r="Z9" i="7"/>
  <c r="Z12" i="6"/>
  <c r="I9" i="10"/>
  <c r="F15" i="7"/>
  <c r="F19" i="6"/>
  <c r="G42" i="10"/>
  <c r="AH18" i="7"/>
  <c r="K12" i="6"/>
  <c r="W18" i="9"/>
  <c r="Y18" i="8"/>
  <c r="Y18" i="9" s="1"/>
  <c r="X18" i="8"/>
  <c r="X18" i="9" s="1"/>
  <c r="W18" i="8"/>
  <c r="AC10" i="9"/>
  <c r="AH19" i="6"/>
  <c r="AI15" i="6"/>
  <c r="L15" i="1" s="1"/>
  <c r="AH15" i="7"/>
  <c r="AH11" i="6"/>
  <c r="I7" i="7"/>
  <c r="D21" i="10"/>
  <c r="H7" i="7"/>
  <c r="I16" i="6"/>
  <c r="W21" i="6"/>
  <c r="H12" i="10"/>
  <c r="T11" i="9"/>
  <c r="U11" i="8"/>
  <c r="U11" i="9" s="1"/>
  <c r="T11" i="8"/>
  <c r="V11" i="8"/>
  <c r="V11" i="9" s="1"/>
  <c r="C39" i="10"/>
  <c r="G15" i="6"/>
  <c r="B44" i="10"/>
  <c r="Z7" i="8"/>
  <c r="Y15" i="9"/>
  <c r="G44" i="10"/>
  <c r="K6" i="7"/>
  <c r="Z10" i="8"/>
  <c r="E7" i="8"/>
  <c r="G7" i="8"/>
  <c r="G7" i="9" s="1"/>
  <c r="F7" i="8"/>
  <c r="F7" i="9" s="1"/>
  <c r="N15" i="8"/>
  <c r="P15" i="8"/>
  <c r="O15" i="8"/>
  <c r="AB11" i="8"/>
  <c r="AB11" i="9" s="1"/>
  <c r="AA11" i="8"/>
  <c r="Z11" i="8"/>
  <c r="Z11" i="9"/>
  <c r="G17" i="8"/>
  <c r="G17" i="9" s="1"/>
  <c r="F17" i="8"/>
  <c r="F17" i="9" s="1"/>
  <c r="E17" i="8"/>
  <c r="AG16" i="7"/>
  <c r="O19" i="7"/>
  <c r="D9" i="7"/>
  <c r="D12" i="6"/>
  <c r="C12" i="7" s="1"/>
  <c r="U19" i="7"/>
  <c r="H31" i="10"/>
  <c r="T19" i="7"/>
  <c r="AI10" i="6"/>
  <c r="L10" i="1"/>
  <c r="J6" i="7"/>
  <c r="J9" i="6"/>
  <c r="E20" i="10"/>
  <c r="R15" i="9"/>
  <c r="AD18" i="9"/>
  <c r="O7" i="9"/>
  <c r="K35" i="10"/>
  <c r="AI7" i="6"/>
  <c r="AH7" i="7"/>
  <c r="AH7" i="8" s="1"/>
  <c r="L7" i="1"/>
  <c r="O18" i="9"/>
  <c r="E12" i="7"/>
  <c r="E21" i="6"/>
  <c r="AA7" i="8"/>
  <c r="AA7" i="9" s="1"/>
  <c r="X16" i="9"/>
  <c r="AC16" i="9"/>
  <c r="B36" i="10"/>
  <c r="C27" i="10"/>
  <c r="G9" i="7"/>
  <c r="G12" i="6"/>
  <c r="R19" i="7"/>
  <c r="R19" i="9" s="1"/>
  <c r="AA11" i="9"/>
  <c r="N11" i="8"/>
  <c r="P11" i="8"/>
  <c r="P11" i="9" s="1"/>
  <c r="O11" i="8"/>
  <c r="O11" i="9" s="1"/>
  <c r="U7" i="9"/>
  <c r="AA8" i="9"/>
  <c r="AH17" i="7"/>
  <c r="AI17" i="6"/>
  <c r="L17" i="1" s="1"/>
  <c r="R7" i="8"/>
  <c r="AB15" i="8"/>
  <c r="AB19" i="8" s="1"/>
  <c r="AB19" i="9" s="1"/>
  <c r="AA15" i="8"/>
  <c r="AA19" i="8" s="1"/>
  <c r="AA19" i="9" s="1"/>
  <c r="Z15" i="8"/>
  <c r="Z15" i="9" s="1"/>
  <c r="AC17" i="9"/>
  <c r="AE17" i="8"/>
  <c r="AE17" i="9" s="1"/>
  <c r="B27" i="11" s="1"/>
  <c r="AD17" i="8"/>
  <c r="AD17" i="9" s="1"/>
  <c r="AC17" i="8"/>
  <c r="K43" i="10" s="1"/>
  <c r="V6" i="8"/>
  <c r="X10" i="9"/>
  <c r="Q6" i="8"/>
  <c r="E15" i="7"/>
  <c r="D39" i="10"/>
  <c r="B31" i="10"/>
  <c r="D17" i="8"/>
  <c r="D17" i="9" s="1"/>
  <c r="C17" i="8"/>
  <c r="C17" i="9" s="1"/>
  <c r="B17" i="8"/>
  <c r="B43" i="10" s="1"/>
  <c r="Z18" i="8"/>
  <c r="B21" i="7"/>
  <c r="G6" i="9"/>
  <c r="C44" i="10"/>
  <c r="F12" i="6"/>
  <c r="F9" i="7"/>
  <c r="G9" i="8" s="1"/>
  <c r="AB8" i="9"/>
  <c r="AG17" i="7"/>
  <c r="S7" i="8"/>
  <c r="S7" i="9" s="1"/>
  <c r="D15" i="8"/>
  <c r="C15" i="8"/>
  <c r="B15" i="8"/>
  <c r="S12" i="6"/>
  <c r="S9" i="7"/>
  <c r="R9" i="8" s="1"/>
  <c r="R12" i="8" s="1"/>
  <c r="R21" i="8" s="1"/>
  <c r="AH16" i="8" l="1"/>
  <c r="L17" i="7"/>
  <c r="I42" i="10"/>
  <c r="I36" i="10"/>
  <c r="H35" i="10"/>
  <c r="F39" i="10"/>
  <c r="P19" i="8"/>
  <c r="P19" i="9" s="1"/>
  <c r="I44" i="10"/>
  <c r="F38" i="10"/>
  <c r="G16" i="8"/>
  <c r="G16" i="9" s="1"/>
  <c r="F16" i="8"/>
  <c r="F16" i="9" s="1"/>
  <c r="E16" i="8"/>
  <c r="AG16" i="8"/>
  <c r="C35" i="10"/>
  <c r="AI8" i="8"/>
  <c r="C19" i="8"/>
  <c r="D19" i="8"/>
  <c r="D19" i="9" s="1"/>
  <c r="G35" i="10"/>
  <c r="C43" i="10"/>
  <c r="AD19" i="8"/>
  <c r="F36" i="10"/>
  <c r="B16" i="9"/>
  <c r="AE19" i="8"/>
  <c r="AE19" i="9" s="1"/>
  <c r="K8" i="9"/>
  <c r="C21" i="7"/>
  <c r="L27" i="10"/>
  <c r="L19" i="1"/>
  <c r="L9" i="7"/>
  <c r="L12" i="6"/>
  <c r="J41" i="10"/>
  <c r="Z19" i="8"/>
  <c r="N11" i="9"/>
  <c r="G15" i="7"/>
  <c r="G19" i="6"/>
  <c r="G19" i="7" s="1"/>
  <c r="AE9" i="7"/>
  <c r="AE12" i="6"/>
  <c r="P15" i="9"/>
  <c r="AA6" i="9"/>
  <c r="AJ6" i="6"/>
  <c r="AI9" i="6"/>
  <c r="AI6" i="7"/>
  <c r="M6" i="5"/>
  <c r="L6" i="10" s="1"/>
  <c r="J36" i="10"/>
  <c r="O6" i="8"/>
  <c r="F19" i="7"/>
  <c r="AE6" i="9"/>
  <c r="B21" i="11" s="1"/>
  <c r="V12" i="6"/>
  <c r="V9" i="7"/>
  <c r="AA9" i="7"/>
  <c r="AA12" i="6"/>
  <c r="AH9" i="7"/>
  <c r="AQ18" i="9"/>
  <c r="AF18" i="9"/>
  <c r="AF18" i="8" s="1"/>
  <c r="AP18" i="9"/>
  <c r="AO18" i="9"/>
  <c r="AN18" i="9"/>
  <c r="AM18" i="9"/>
  <c r="AL18" i="9"/>
  <c r="AK18" i="9"/>
  <c r="AJ18" i="9"/>
  <c r="AI18" i="9"/>
  <c r="AI18" i="8" s="1"/>
  <c r="AH18" i="9"/>
  <c r="AH18" i="8" s="1"/>
  <c r="AG18" i="9"/>
  <c r="AG18" i="8" s="1"/>
  <c r="J8" i="8"/>
  <c r="J8" i="9" s="1"/>
  <c r="I8" i="8"/>
  <c r="I8" i="9" s="1"/>
  <c r="H8" i="8"/>
  <c r="H8" i="9" s="1"/>
  <c r="V6" i="9"/>
  <c r="L8" i="9"/>
  <c r="AG9" i="7"/>
  <c r="AH12" i="6"/>
  <c r="L9" i="1"/>
  <c r="AD19" i="9"/>
  <c r="J9" i="7"/>
  <c r="J12" i="6"/>
  <c r="E7" i="9"/>
  <c r="H39" i="10"/>
  <c r="AI15" i="7"/>
  <c r="AI19" i="6"/>
  <c r="AI11" i="6"/>
  <c r="L11" i="1" s="1"/>
  <c r="AJ15" i="6"/>
  <c r="M15" i="5"/>
  <c r="L13" i="10" s="1"/>
  <c r="AJ18" i="7"/>
  <c r="AK18" i="6"/>
  <c r="I17" i="7"/>
  <c r="H17" i="7"/>
  <c r="D29" i="10"/>
  <c r="I43" i="10"/>
  <c r="F42" i="10"/>
  <c r="AG11" i="7"/>
  <c r="Q9" i="8"/>
  <c r="M8" i="8"/>
  <c r="M8" i="9" s="1"/>
  <c r="AA15" i="9"/>
  <c r="N21" i="6"/>
  <c r="E12" i="10"/>
  <c r="J38" i="10"/>
  <c r="Z10" i="9"/>
  <c r="C36" i="10"/>
  <c r="L16" i="7"/>
  <c r="M16" i="8" s="1"/>
  <c r="M16" i="9" s="1"/>
  <c r="L22" i="10"/>
  <c r="U9" i="7"/>
  <c r="U12" i="6"/>
  <c r="N9" i="7"/>
  <c r="AE15" i="9"/>
  <c r="B20" i="11" s="1"/>
  <c r="I41" i="10"/>
  <c r="W19" i="8"/>
  <c r="I39" i="10"/>
  <c r="F15" i="9"/>
  <c r="S12" i="7"/>
  <c r="S21" i="6"/>
  <c r="B41" i="10"/>
  <c r="B19" i="8"/>
  <c r="G9" i="9"/>
  <c r="L21" i="10"/>
  <c r="L7" i="2"/>
  <c r="E10" i="8"/>
  <c r="G10" i="8"/>
  <c r="G10" i="9" s="1"/>
  <c r="F10" i="8"/>
  <c r="V19" i="8"/>
  <c r="V19" i="9" s="1"/>
  <c r="V15" i="9"/>
  <c r="X19" i="8"/>
  <c r="N10" i="9"/>
  <c r="L7" i="3"/>
  <c r="Y21" i="6"/>
  <c r="Y12" i="7"/>
  <c r="B34" i="10"/>
  <c r="B6" i="9"/>
  <c r="P6" i="9"/>
  <c r="F10" i="9"/>
  <c r="Y19" i="8"/>
  <c r="Y19" i="9" s="1"/>
  <c r="AG19" i="7"/>
  <c r="F12" i="7"/>
  <c r="F21" i="6"/>
  <c r="F41" i="10"/>
  <c r="N19" i="8"/>
  <c r="E15" i="9"/>
  <c r="G15" i="8"/>
  <c r="G19" i="8" s="1"/>
  <c r="F15" i="8"/>
  <c r="E15" i="8"/>
  <c r="J44" i="10"/>
  <c r="Z18" i="9"/>
  <c r="L24" i="10"/>
  <c r="E17" i="9"/>
  <c r="M6" i="8"/>
  <c r="M6" i="9" s="1"/>
  <c r="L6" i="8"/>
  <c r="L6" i="9" s="1"/>
  <c r="K6" i="8"/>
  <c r="K6" i="9" s="1"/>
  <c r="Z12" i="7"/>
  <c r="Z21" i="6"/>
  <c r="I12" i="10"/>
  <c r="L20" i="10"/>
  <c r="P9" i="7"/>
  <c r="P12" i="6"/>
  <c r="S9" i="8"/>
  <c r="S12" i="8" s="1"/>
  <c r="S21" i="8" s="1"/>
  <c r="U6" i="9"/>
  <c r="T6" i="8"/>
  <c r="L29" i="10"/>
  <c r="AJ7" i="6"/>
  <c r="AI7" i="7"/>
  <c r="AI7" i="8" s="1"/>
  <c r="M7" i="5"/>
  <c r="L7" i="10" s="1"/>
  <c r="AJ10" i="6"/>
  <c r="M10" i="5"/>
  <c r="L10" i="10" s="1"/>
  <c r="L28" i="10"/>
  <c r="E28" i="10"/>
  <c r="B15" i="9"/>
  <c r="U6" i="8"/>
  <c r="AJ17" i="6"/>
  <c r="AI17" i="7" s="1"/>
  <c r="M17" i="5"/>
  <c r="L15" i="10" s="1"/>
  <c r="AH10" i="7"/>
  <c r="AH10" i="8" s="1"/>
  <c r="L10" i="3" s="1"/>
  <c r="J39" i="10"/>
  <c r="J23" i="10"/>
  <c r="E39" i="10"/>
  <c r="K11" i="9"/>
  <c r="AK8" i="6"/>
  <c r="Y6" i="8"/>
  <c r="Y6" i="9" s="1"/>
  <c r="X6" i="8"/>
  <c r="X6" i="9" s="1"/>
  <c r="W6" i="8"/>
  <c r="W6" i="9" s="1"/>
  <c r="I10" i="7"/>
  <c r="D24" i="10"/>
  <c r="H10" i="7"/>
  <c r="K7" i="9"/>
  <c r="H41" i="10"/>
  <c r="T19" i="8"/>
  <c r="H45" i="10" s="1"/>
  <c r="W15" i="9"/>
  <c r="W11" i="9"/>
  <c r="C26" i="10"/>
  <c r="R7" i="9"/>
  <c r="D15" i="9"/>
  <c r="J35" i="10"/>
  <c r="Z7" i="9"/>
  <c r="O9" i="7"/>
  <c r="O12" i="6"/>
  <c r="N12" i="7" s="1"/>
  <c r="AJ16" i="6"/>
  <c r="M16" i="5"/>
  <c r="L14" i="10" s="1"/>
  <c r="M9" i="7"/>
  <c r="M12" i="6"/>
  <c r="K17" i="9"/>
  <c r="M17" i="8"/>
  <c r="M17" i="9" s="1"/>
  <c r="L17" i="8"/>
  <c r="L17" i="9" s="1"/>
  <c r="K17" i="8"/>
  <c r="AC12" i="7"/>
  <c r="AC21" i="6"/>
  <c r="J12" i="10"/>
  <c r="X9" i="7"/>
  <c r="X12" i="6"/>
  <c r="I23" i="10"/>
  <c r="W9" i="7"/>
  <c r="T15" i="9"/>
  <c r="AD15" i="9"/>
  <c r="B35" i="10"/>
  <c r="W8" i="9"/>
  <c r="AH19" i="7"/>
  <c r="K41" i="10"/>
  <c r="AC19" i="8"/>
  <c r="G34" i="10"/>
  <c r="Q6" i="9"/>
  <c r="G12" i="7"/>
  <c r="G21" i="6"/>
  <c r="J43" i="10"/>
  <c r="Z17" i="9"/>
  <c r="K19" i="6"/>
  <c r="M15" i="6"/>
  <c r="L15" i="6"/>
  <c r="K15" i="7"/>
  <c r="H26" i="10"/>
  <c r="T21" i="6"/>
  <c r="T12" i="7"/>
  <c r="G12" i="10"/>
  <c r="AD9" i="8"/>
  <c r="AD12" i="8" s="1"/>
  <c r="AD21" i="8" s="1"/>
  <c r="X19" i="9"/>
  <c r="E44" i="10"/>
  <c r="K18" i="9"/>
  <c r="C15" i="9"/>
  <c r="E19" i="7"/>
  <c r="E9" i="8"/>
  <c r="O6" i="9"/>
  <c r="B9" i="8"/>
  <c r="H6" i="8"/>
  <c r="H6" i="9" s="1"/>
  <c r="J6" i="8"/>
  <c r="J6" i="9" s="1"/>
  <c r="I6" i="8"/>
  <c r="I6" i="9" s="1"/>
  <c r="V9" i="8"/>
  <c r="V12" i="8" s="1"/>
  <c r="V21" i="8" s="1"/>
  <c r="U9" i="8"/>
  <c r="U12" i="8" s="1"/>
  <c r="U21" i="8" s="1"/>
  <c r="U15" i="9"/>
  <c r="E24" i="10"/>
  <c r="D44" i="10"/>
  <c r="C19" i="9"/>
  <c r="L7" i="9"/>
  <c r="C31" i="10"/>
  <c r="G45" i="10"/>
  <c r="L8" i="3"/>
  <c r="L8" i="2" s="1"/>
  <c r="O19" i="8"/>
  <c r="O19" i="9" s="1"/>
  <c r="F9" i="8"/>
  <c r="F12" i="8" s="1"/>
  <c r="I16" i="7"/>
  <c r="H16" i="7"/>
  <c r="D28" i="10"/>
  <c r="K21" i="6"/>
  <c r="K12" i="7"/>
  <c r="U19" i="9"/>
  <c r="H7" i="8"/>
  <c r="J7" i="8"/>
  <c r="J7" i="9" s="1"/>
  <c r="I7" i="8"/>
  <c r="I7" i="9" s="1"/>
  <c r="K9" i="7"/>
  <c r="G26" i="10"/>
  <c r="AC6" i="8"/>
  <c r="C9" i="8"/>
  <c r="E29" i="10"/>
  <c r="H23" i="10"/>
  <c r="AD9" i="7"/>
  <c r="AC9" i="8" s="1"/>
  <c r="AD12" i="6"/>
  <c r="K26" i="10" s="1"/>
  <c r="K10" i="7"/>
  <c r="R12" i="7"/>
  <c r="R21" i="6"/>
  <c r="G39" i="10"/>
  <c r="Q11" i="9"/>
  <c r="AB15" i="9"/>
  <c r="G41" i="10"/>
  <c r="B17" i="9"/>
  <c r="AQ17" i="9"/>
  <c r="AP17" i="9"/>
  <c r="AO17" i="9"/>
  <c r="AN17" i="9"/>
  <c r="AM17" i="9"/>
  <c r="AL17" i="9"/>
  <c r="AK17" i="9"/>
  <c r="AJ17" i="9"/>
  <c r="AH17" i="9"/>
  <c r="AH17" i="8" s="1"/>
  <c r="AG17" i="9"/>
  <c r="AG17" i="8" s="1"/>
  <c r="AF17" i="9"/>
  <c r="AF17" i="8" s="1"/>
  <c r="AI17" i="9"/>
  <c r="O15" i="9"/>
  <c r="D12" i="7"/>
  <c r="D21" i="6"/>
  <c r="B26" i="10"/>
  <c r="N15" i="9"/>
  <c r="E23" i="10"/>
  <c r="Q21" i="7"/>
  <c r="AD6" i="8"/>
  <c r="AD6" i="9" s="1"/>
  <c r="D9" i="8"/>
  <c r="D12" i="8" s="1"/>
  <c r="I9" i="7"/>
  <c r="I12" i="6"/>
  <c r="D23" i="10"/>
  <c r="H9" i="7"/>
  <c r="I15" i="6"/>
  <c r="AQ11" i="9"/>
  <c r="AP11" i="9"/>
  <c r="AO11" i="9"/>
  <c r="AN11" i="9"/>
  <c r="AM11" i="9"/>
  <c r="AL11" i="9"/>
  <c r="AK11" i="9"/>
  <c r="AJ11" i="9"/>
  <c r="AF11" i="9"/>
  <c r="AF11" i="8" s="1"/>
  <c r="AH11" i="9"/>
  <c r="AI11" i="9"/>
  <c r="AG11" i="9"/>
  <c r="I38" i="10"/>
  <c r="W10" i="9"/>
  <c r="AB6" i="8"/>
  <c r="AB6" i="9" s="1"/>
  <c r="R9" i="9"/>
  <c r="AB9" i="7"/>
  <c r="AB9" i="8" s="1"/>
  <c r="AB12" i="8" s="1"/>
  <c r="AB21" i="8" s="1"/>
  <c r="AB12" i="6"/>
  <c r="J26" i="10" s="1"/>
  <c r="AF12" i="7"/>
  <c r="AF21" i="7" s="1"/>
  <c r="N6" i="8"/>
  <c r="J15" i="6"/>
  <c r="I35" i="10"/>
  <c r="N8" i="9"/>
  <c r="F35" i="10"/>
  <c r="AC11" i="9"/>
  <c r="Z6" i="9"/>
  <c r="Z8" i="9"/>
  <c r="L16" i="3"/>
  <c r="L16" i="2" s="1"/>
  <c r="AJ18" i="8" l="1"/>
  <c r="C42" i="10"/>
  <c r="E16" i="9"/>
  <c r="D21" i="8"/>
  <c r="E43" i="10"/>
  <c r="F21" i="8"/>
  <c r="F9" i="9"/>
  <c r="AI17" i="8"/>
  <c r="F19" i="8"/>
  <c r="F19" i="9" s="1"/>
  <c r="L38" i="10"/>
  <c r="L10" i="2"/>
  <c r="L53" i="10" s="1"/>
  <c r="N21" i="7"/>
  <c r="K37" i="10"/>
  <c r="AC12" i="8"/>
  <c r="AC9" i="9"/>
  <c r="L25" i="10"/>
  <c r="AQ15" i="9"/>
  <c r="AK15" i="9"/>
  <c r="AJ15" i="9"/>
  <c r="AI15" i="9"/>
  <c r="AH15" i="9"/>
  <c r="AP15" i="9"/>
  <c r="AO15" i="9"/>
  <c r="AN15" i="9"/>
  <c r="AM15" i="9"/>
  <c r="AL15" i="9"/>
  <c r="AG15" i="9"/>
  <c r="AF15" i="9"/>
  <c r="J45" i="10"/>
  <c r="Z19" i="9"/>
  <c r="J9" i="8"/>
  <c r="I9" i="8"/>
  <c r="I9" i="9" s="1"/>
  <c r="H9" i="8"/>
  <c r="Z21" i="7"/>
  <c r="AI9" i="7"/>
  <c r="C38" i="10"/>
  <c r="N9" i="8"/>
  <c r="P9" i="8"/>
  <c r="P12" i="8" s="1"/>
  <c r="P21" i="8" s="1"/>
  <c r="O9" i="8"/>
  <c r="O12" i="8" s="1"/>
  <c r="O21" i="8" s="1"/>
  <c r="J12" i="7"/>
  <c r="M9" i="8"/>
  <c r="M9" i="9" s="1"/>
  <c r="L9" i="8"/>
  <c r="K9" i="8"/>
  <c r="K9" i="9" s="1"/>
  <c r="M15" i="7"/>
  <c r="M19" i="6"/>
  <c r="M19" i="7" s="1"/>
  <c r="I34" i="10"/>
  <c r="S9" i="9"/>
  <c r="Y21" i="7"/>
  <c r="E10" i="9"/>
  <c r="U12" i="7"/>
  <c r="U21" i="6"/>
  <c r="I17" i="8"/>
  <c r="H17" i="8"/>
  <c r="J17" i="8"/>
  <c r="J17" i="9" s="1"/>
  <c r="J9" i="9"/>
  <c r="AI12" i="6"/>
  <c r="M9" i="5"/>
  <c r="L9" i="10" s="1"/>
  <c r="L12" i="7"/>
  <c r="L17" i="3"/>
  <c r="E34" i="10"/>
  <c r="U9" i="9"/>
  <c r="I17" i="9"/>
  <c r="AA12" i="7"/>
  <c r="AA21" i="6"/>
  <c r="AJ9" i="6"/>
  <c r="AJ6" i="7"/>
  <c r="AK6" i="6"/>
  <c r="I19" i="6"/>
  <c r="I21" i="6" s="1"/>
  <c r="I15" i="7"/>
  <c r="H15" i="7"/>
  <c r="D27" i="10"/>
  <c r="K34" i="10"/>
  <c r="AC6" i="9"/>
  <c r="M15" i="8"/>
  <c r="M19" i="8" s="1"/>
  <c r="L15" i="8"/>
  <c r="K15" i="8"/>
  <c r="K15" i="9" s="1"/>
  <c r="O12" i="7"/>
  <c r="O21" i="6"/>
  <c r="AC21" i="7"/>
  <c r="H34" i="10"/>
  <c r="T6" i="9"/>
  <c r="F45" i="10"/>
  <c r="N19" i="9"/>
  <c r="Z9" i="8"/>
  <c r="F26" i="10"/>
  <c r="AL18" i="6"/>
  <c r="AK18" i="7" s="1"/>
  <c r="AK18" i="8" s="1"/>
  <c r="M18" i="3" s="1"/>
  <c r="M18" i="1"/>
  <c r="L23" i="10"/>
  <c r="AK7" i="6"/>
  <c r="AJ7" i="7" s="1"/>
  <c r="AJ7" i="8" s="1"/>
  <c r="I12" i="7"/>
  <c r="D26" i="10"/>
  <c r="H12" i="7"/>
  <c r="L36" i="10"/>
  <c r="L51" i="10"/>
  <c r="D35" i="10"/>
  <c r="AH21" i="6"/>
  <c r="L12" i="1"/>
  <c r="J34" i="10"/>
  <c r="L31" i="10"/>
  <c r="L19" i="6"/>
  <c r="L19" i="7" s="1"/>
  <c r="L15" i="7"/>
  <c r="H7" i="9"/>
  <c r="AE9" i="8"/>
  <c r="AE12" i="8" s="1"/>
  <c r="AE21" i="8" s="1"/>
  <c r="AL8" i="6"/>
  <c r="M8" i="1"/>
  <c r="D9" i="9"/>
  <c r="AA9" i="8"/>
  <c r="AA12" i="8" s="1"/>
  <c r="AA21" i="8" s="1"/>
  <c r="B45" i="10"/>
  <c r="B19" i="9"/>
  <c r="V9" i="9"/>
  <c r="AJ8" i="7"/>
  <c r="AJ8" i="8" s="1"/>
  <c r="P12" i="7"/>
  <c r="P21" i="6"/>
  <c r="G37" i="10"/>
  <c r="Q12" i="8"/>
  <c r="Q9" i="9"/>
  <c r="V21" i="6"/>
  <c r="V12" i="7"/>
  <c r="AE12" i="7"/>
  <c r="AE21" i="6"/>
  <c r="F34" i="10"/>
  <c r="N6" i="9"/>
  <c r="R12" i="9"/>
  <c r="R21" i="9" s="1"/>
  <c r="R22" i="9"/>
  <c r="R21" i="7"/>
  <c r="D34" i="10"/>
  <c r="M10" i="8"/>
  <c r="M10" i="9" s="1"/>
  <c r="L10" i="8"/>
  <c r="L10" i="9" s="1"/>
  <c r="K10" i="8"/>
  <c r="B37" i="10"/>
  <c r="B12" i="8"/>
  <c r="B9" i="9"/>
  <c r="M12" i="7"/>
  <c r="M21" i="6"/>
  <c r="P9" i="9"/>
  <c r="F12" i="9"/>
  <c r="F21" i="7"/>
  <c r="F22" i="9"/>
  <c r="L50" i="10"/>
  <c r="L35" i="10"/>
  <c r="AG11" i="8"/>
  <c r="AG12" i="7"/>
  <c r="AG21" i="7" s="1"/>
  <c r="AI6" i="9"/>
  <c r="AI9" i="9" s="1"/>
  <c r="AF6" i="9"/>
  <c r="AJ6" i="9"/>
  <c r="AH6" i="9"/>
  <c r="AG6" i="9"/>
  <c r="AQ6" i="9"/>
  <c r="AP6" i="9"/>
  <c r="AO6" i="9"/>
  <c r="AN6" i="9"/>
  <c r="AL6" i="9"/>
  <c r="AK6" i="9"/>
  <c r="AM6" i="9"/>
  <c r="AE9" i="9"/>
  <c r="G12" i="8"/>
  <c r="G21" i="8" s="1"/>
  <c r="G22" i="9" s="1"/>
  <c r="AK17" i="6"/>
  <c r="Y9" i="8"/>
  <c r="X9" i="8"/>
  <c r="X12" i="8" s="1"/>
  <c r="X21" i="8" s="1"/>
  <c r="W9" i="8"/>
  <c r="S12" i="9"/>
  <c r="S21" i="9" s="1"/>
  <c r="S22" i="9"/>
  <c r="S21" i="7"/>
  <c r="AJ19" i="6"/>
  <c r="AJ11" i="6"/>
  <c r="AK15" i="6"/>
  <c r="AJ15" i="7"/>
  <c r="D12" i="9"/>
  <c r="D21" i="9" s="1"/>
  <c r="D22" i="9"/>
  <c r="D21" i="7"/>
  <c r="I16" i="9"/>
  <c r="AB9" i="9"/>
  <c r="AD9" i="9"/>
  <c r="C37" i="10"/>
  <c r="E12" i="8"/>
  <c r="E9" i="9"/>
  <c r="T21" i="7"/>
  <c r="G21" i="7"/>
  <c r="M11" i="5"/>
  <c r="L11" i="10" s="1"/>
  <c r="AH11" i="7"/>
  <c r="AH11" i="8" s="1"/>
  <c r="G19" i="9"/>
  <c r="O9" i="9"/>
  <c r="E27" i="10"/>
  <c r="J19" i="6"/>
  <c r="J19" i="7" s="1"/>
  <c r="J15" i="7"/>
  <c r="AB12" i="7"/>
  <c r="AB21" i="6"/>
  <c r="AD12" i="7"/>
  <c r="AD21" i="6"/>
  <c r="L42" i="10"/>
  <c r="L57" i="10"/>
  <c r="AK10" i="6"/>
  <c r="E26" i="10"/>
  <c r="T19" i="9"/>
  <c r="X21" i="6"/>
  <c r="X12" i="7"/>
  <c r="W12" i="7"/>
  <c r="I26" i="10"/>
  <c r="AI10" i="7"/>
  <c r="AI10" i="8" s="1"/>
  <c r="M19" i="5"/>
  <c r="L17" i="10" s="1"/>
  <c r="G15" i="9"/>
  <c r="C41" i="10"/>
  <c r="E19" i="8"/>
  <c r="C45" i="10" s="1"/>
  <c r="I45" i="10"/>
  <c r="W19" i="9"/>
  <c r="K16" i="8"/>
  <c r="AI15" i="8"/>
  <c r="L18" i="3"/>
  <c r="E19" i="9"/>
  <c r="X9" i="9"/>
  <c r="AK16" i="6"/>
  <c r="E21" i="7"/>
  <c r="C12" i="8"/>
  <c r="C9" i="9"/>
  <c r="J16" i="8"/>
  <c r="J16" i="9" s="1"/>
  <c r="I16" i="8"/>
  <c r="H16" i="8"/>
  <c r="D42" i="10" s="1"/>
  <c r="T9" i="8"/>
  <c r="K45" i="10"/>
  <c r="AC19" i="9"/>
  <c r="AI16" i="7"/>
  <c r="AI16" i="8" s="1"/>
  <c r="H10" i="8"/>
  <c r="H10" i="9" s="1"/>
  <c r="J10" i="8"/>
  <c r="J10" i="9" s="1"/>
  <c r="I10" i="8"/>
  <c r="I10" i="9" s="1"/>
  <c r="L16" i="8"/>
  <c r="L16" i="9" s="1"/>
  <c r="D36" i="10"/>
  <c r="E36" i="10"/>
  <c r="G12" i="9" l="1"/>
  <c r="G21" i="9" s="1"/>
  <c r="D43" i="10"/>
  <c r="F21" i="9"/>
  <c r="L11" i="3"/>
  <c r="E38" i="10"/>
  <c r="L39" i="10"/>
  <c r="L11" i="2"/>
  <c r="L54" i="10" s="1"/>
  <c r="M44" i="10"/>
  <c r="P12" i="9"/>
  <c r="P21" i="9" s="1"/>
  <c r="P21" i="7"/>
  <c r="P22" i="9"/>
  <c r="H16" i="9"/>
  <c r="AL10" i="6"/>
  <c r="AK10" i="7" s="1"/>
  <c r="AK10" i="8" s="1"/>
  <c r="AJ10" i="7"/>
  <c r="AJ10" i="8" s="1"/>
  <c r="AA9" i="9"/>
  <c r="AK9" i="6"/>
  <c r="AL6" i="6"/>
  <c r="F37" i="10"/>
  <c r="N12" i="8"/>
  <c r="AF19" i="9"/>
  <c r="AF15" i="8"/>
  <c r="AE12" i="9"/>
  <c r="AE21" i="9" s="1"/>
  <c r="AE21" i="7"/>
  <c r="AE22" i="9"/>
  <c r="L44" i="10"/>
  <c r="L18" i="2"/>
  <c r="L59" i="10" s="1"/>
  <c r="AK19" i="6"/>
  <c r="AK11" i="6"/>
  <c r="AL15" i="6"/>
  <c r="AI19" i="7"/>
  <c r="W21" i="7"/>
  <c r="AJ11" i="7"/>
  <c r="AJ11" i="8" s="1"/>
  <c r="AI19" i="9"/>
  <c r="C21" i="8"/>
  <c r="C22" i="9" s="1"/>
  <c r="C12" i="9"/>
  <c r="C21" i="9" s="1"/>
  <c r="I37" i="10"/>
  <c r="W12" i="8"/>
  <c r="AJ9" i="9"/>
  <c r="AJ9" i="7"/>
  <c r="AJ6" i="8"/>
  <c r="AJ9" i="8" s="1"/>
  <c r="M12" i="5"/>
  <c r="L12" i="10" s="1"/>
  <c r="AI21" i="6"/>
  <c r="AG19" i="9"/>
  <c r="AG15" i="8"/>
  <c r="AG19" i="8" s="1"/>
  <c r="L26" i="10"/>
  <c r="O22" i="9"/>
  <c r="O12" i="9"/>
  <c r="O21" i="9" s="1"/>
  <c r="O21" i="7"/>
  <c r="AJ12" i="6"/>
  <c r="AJ21" i="6" s="1"/>
  <c r="AH12" i="7"/>
  <c r="AH21" i="7" s="1"/>
  <c r="AI6" i="8"/>
  <c r="M19" i="9"/>
  <c r="AI12" i="7"/>
  <c r="AI21" i="7" s="1"/>
  <c r="M15" i="1"/>
  <c r="AL16" i="6"/>
  <c r="M16" i="1" s="1"/>
  <c r="Y12" i="8"/>
  <c r="Y9" i="9"/>
  <c r="AG9" i="9"/>
  <c r="AG12" i="9" s="1"/>
  <c r="AG21" i="9" s="1"/>
  <c r="AG6" i="8"/>
  <c r="AG9" i="8" s="1"/>
  <c r="AG12" i="8" s="1"/>
  <c r="AG21" i="8" s="1"/>
  <c r="AG22" i="9" s="1"/>
  <c r="M30" i="10"/>
  <c r="M18" i="2"/>
  <c r="M59" i="10" s="1"/>
  <c r="D38" i="10"/>
  <c r="AJ16" i="7"/>
  <c r="AJ16" i="8" s="1"/>
  <c r="AI11" i="7"/>
  <c r="AI11" i="8" s="1"/>
  <c r="W9" i="9"/>
  <c r="AH9" i="9"/>
  <c r="AH12" i="9" s="1"/>
  <c r="AH21" i="9" s="1"/>
  <c r="AH6" i="8"/>
  <c r="AH9" i="8" s="1"/>
  <c r="AH12" i="8" s="1"/>
  <c r="M21" i="7"/>
  <c r="E41" i="10"/>
  <c r="K19" i="8"/>
  <c r="AA22" i="9"/>
  <c r="AA12" i="9"/>
  <c r="AA21" i="9" s="1"/>
  <c r="AA21" i="7"/>
  <c r="M15" i="9"/>
  <c r="AM18" i="6"/>
  <c r="AL18" i="7" s="1"/>
  <c r="AL18" i="8" s="1"/>
  <c r="N18" i="5"/>
  <c r="M16" i="10" s="1"/>
  <c r="L19" i="8"/>
  <c r="K40" i="10"/>
  <c r="AC21" i="8"/>
  <c r="AJ15" i="8"/>
  <c r="AL17" i="6"/>
  <c r="M17" i="1" s="1"/>
  <c r="AF6" i="8"/>
  <c r="AF9" i="9"/>
  <c r="AF12" i="9" s="1"/>
  <c r="AF21" i="9" s="1"/>
  <c r="B40" i="10"/>
  <c r="B21" i="8"/>
  <c r="B12" i="9"/>
  <c r="B21" i="9" s="1"/>
  <c r="V22" i="9"/>
  <c r="V12" i="9"/>
  <c r="V21" i="9" s="1"/>
  <c r="V21" i="7"/>
  <c r="E37" i="10"/>
  <c r="K12" i="8"/>
  <c r="AL8" i="7"/>
  <c r="AL8" i="8" s="1"/>
  <c r="AM8" i="6"/>
  <c r="N8" i="5"/>
  <c r="M8" i="10" s="1"/>
  <c r="H12" i="9"/>
  <c r="J37" i="10"/>
  <c r="Z12" i="8"/>
  <c r="Z9" i="9"/>
  <c r="L12" i="8"/>
  <c r="AH19" i="9"/>
  <c r="AH15" i="8"/>
  <c r="AH19" i="8" s="1"/>
  <c r="K19" i="7"/>
  <c r="H17" i="9"/>
  <c r="M12" i="8"/>
  <c r="M21" i="8" s="1"/>
  <c r="M22" i="9" s="1"/>
  <c r="D37" i="10"/>
  <c r="H12" i="8"/>
  <c r="AK8" i="7"/>
  <c r="AK8" i="8" s="1"/>
  <c r="M8" i="3" s="1"/>
  <c r="H37" i="10"/>
  <c r="T12" i="8"/>
  <c r="T9" i="9"/>
  <c r="AI19" i="8"/>
  <c r="X22" i="9"/>
  <c r="X12" i="9"/>
  <c r="X21" i="9" s="1"/>
  <c r="X21" i="7"/>
  <c r="AB22" i="9"/>
  <c r="AB12" i="9"/>
  <c r="AB21" i="9" s="1"/>
  <c r="AB21" i="7"/>
  <c r="G40" i="10"/>
  <c r="Q21" i="8"/>
  <c r="Q12" i="9"/>
  <c r="Q21" i="9" s="1"/>
  <c r="I21" i="7"/>
  <c r="E31" i="10"/>
  <c r="J21" i="7"/>
  <c r="I12" i="8"/>
  <c r="I21" i="8" s="1"/>
  <c r="I22" i="9" s="1"/>
  <c r="J15" i="8"/>
  <c r="J19" i="8" s="1"/>
  <c r="I15" i="8"/>
  <c r="I19" i="8" s="1"/>
  <c r="H15" i="8"/>
  <c r="H15" i="9" s="1"/>
  <c r="L43" i="10"/>
  <c r="L17" i="2"/>
  <c r="L58" i="10" s="1"/>
  <c r="U22" i="9"/>
  <c r="U12" i="9"/>
  <c r="U21" i="9" s="1"/>
  <c r="U21" i="7"/>
  <c r="J21" i="6"/>
  <c r="J12" i="8"/>
  <c r="E42" i="10"/>
  <c r="K16" i="9"/>
  <c r="J19" i="9"/>
  <c r="K10" i="9"/>
  <c r="L15" i="9"/>
  <c r="L21" i="6"/>
  <c r="H9" i="9"/>
  <c r="C40" i="10"/>
  <c r="E21" i="8"/>
  <c r="E12" i="9"/>
  <c r="E21" i="9" s="1"/>
  <c r="L19" i="9"/>
  <c r="AK7" i="7"/>
  <c r="AK7" i="8" s="1"/>
  <c r="M7" i="3" s="1"/>
  <c r="AL7" i="6"/>
  <c r="I19" i="7"/>
  <c r="I19" i="9" s="1"/>
  <c r="D31" i="10"/>
  <c r="H19" i="7"/>
  <c r="L12" i="9"/>
  <c r="L21" i="7"/>
  <c r="M22" i="10"/>
  <c r="AD12" i="9"/>
  <c r="AD21" i="9" s="1"/>
  <c r="AD21" i="7"/>
  <c r="AD22" i="9"/>
  <c r="AJ17" i="7"/>
  <c r="AJ17" i="8" s="1"/>
  <c r="AC12" i="9"/>
  <c r="AC21" i="9" s="1"/>
  <c r="L9" i="9"/>
  <c r="N9" i="9"/>
  <c r="M10" i="1"/>
  <c r="AK16" i="7" l="1"/>
  <c r="AK16" i="8" s="1"/>
  <c r="M16" i="3"/>
  <c r="I12" i="9"/>
  <c r="I21" i="9" s="1"/>
  <c r="I15" i="9"/>
  <c r="L21" i="8"/>
  <c r="L22" i="9" s="1"/>
  <c r="E45" i="10"/>
  <c r="M36" i="10"/>
  <c r="M8" i="2"/>
  <c r="M51" i="10" s="1"/>
  <c r="M10" i="3"/>
  <c r="M10" i="2" s="1"/>
  <c r="M42" i="10"/>
  <c r="M28" i="10"/>
  <c r="M16" i="2"/>
  <c r="M57" i="10" s="1"/>
  <c r="M29" i="10"/>
  <c r="M35" i="10"/>
  <c r="AF9" i="8"/>
  <c r="L6" i="3"/>
  <c r="M24" i="10"/>
  <c r="K19" i="9"/>
  <c r="K21" i="7"/>
  <c r="E40" i="10"/>
  <c r="K21" i="8"/>
  <c r="K12" i="9"/>
  <c r="AJ19" i="7"/>
  <c r="AJ19" i="9" s="1"/>
  <c r="I40" i="10"/>
  <c r="W21" i="8"/>
  <c r="AJ19" i="8"/>
  <c r="Y21" i="8"/>
  <c r="Y22" i="9" s="1"/>
  <c r="Y12" i="9"/>
  <c r="Y21" i="9" s="1"/>
  <c r="AM10" i="6"/>
  <c r="AL10" i="7"/>
  <c r="AL10" i="8" s="1"/>
  <c r="N10" i="5"/>
  <c r="M10" i="10" s="1"/>
  <c r="N7" i="5"/>
  <c r="M7" i="10" s="1"/>
  <c r="AM7" i="6"/>
  <c r="M7" i="1"/>
  <c r="J21" i="8"/>
  <c r="J22" i="9" s="1"/>
  <c r="J12" i="9"/>
  <c r="J21" i="9" s="1"/>
  <c r="M12" i="9"/>
  <c r="M21" i="9" s="1"/>
  <c r="G46" i="10"/>
  <c r="Q22" i="9"/>
  <c r="L21" i="9"/>
  <c r="K46" i="10"/>
  <c r="AC22" i="9"/>
  <c r="AH21" i="8"/>
  <c r="AH22" i="9" s="1"/>
  <c r="N16" i="5"/>
  <c r="M14" i="10" s="1"/>
  <c r="AM16" i="6"/>
  <c r="AL16" i="7" s="1"/>
  <c r="AL16" i="8" s="1"/>
  <c r="B46" i="10"/>
  <c r="B22" i="9"/>
  <c r="AF19" i="8"/>
  <c r="L19" i="3" s="1"/>
  <c r="L15" i="3"/>
  <c r="J40" i="10"/>
  <c r="Z21" i="8"/>
  <c r="Z12" i="9"/>
  <c r="Z21" i="9" s="1"/>
  <c r="H40" i="10"/>
  <c r="T21" i="8"/>
  <c r="T12" i="9"/>
  <c r="T21" i="9" s="1"/>
  <c r="W12" i="9"/>
  <c r="W21" i="9" s="1"/>
  <c r="J15" i="9"/>
  <c r="H21" i="7"/>
  <c r="AN18" i="6"/>
  <c r="AM18" i="7" s="1"/>
  <c r="AM18" i="8" s="1"/>
  <c r="M27" i="10"/>
  <c r="M21" i="5"/>
  <c r="F40" i="10"/>
  <c r="N21" i="8"/>
  <c r="N12" i="9"/>
  <c r="N21" i="9" s="1"/>
  <c r="C46" i="10"/>
  <c r="E22" i="9"/>
  <c r="D40" i="10"/>
  <c r="AI12" i="9"/>
  <c r="AI21" i="9" s="1"/>
  <c r="AL19" i="6"/>
  <c r="AL15" i="7"/>
  <c r="AL11" i="6"/>
  <c r="AK11" i="7" s="1"/>
  <c r="AK11" i="8" s="1"/>
  <c r="M11" i="3" s="1"/>
  <c r="N15" i="5"/>
  <c r="M13" i="10" s="1"/>
  <c r="AM15" i="6"/>
  <c r="AL9" i="6"/>
  <c r="AL6" i="7"/>
  <c r="AM6" i="6"/>
  <c r="N6" i="5"/>
  <c r="M6" i="10" s="1"/>
  <c r="M6" i="1"/>
  <c r="D41" i="10"/>
  <c r="H19" i="8"/>
  <c r="D45" i="10" s="1"/>
  <c r="AM17" i="6"/>
  <c r="N17" i="5"/>
  <c r="M15" i="10" s="1"/>
  <c r="AJ12" i="8"/>
  <c r="AK12" i="6"/>
  <c r="AK21" i="6" s="1"/>
  <c r="M9" i="1"/>
  <c r="AN8" i="6"/>
  <c r="AM8" i="7"/>
  <c r="AM8" i="8" s="1"/>
  <c r="AK17" i="7"/>
  <c r="AK17" i="8" s="1"/>
  <c r="M17" i="3" s="1"/>
  <c r="L21" i="1"/>
  <c r="AI9" i="8"/>
  <c r="AJ12" i="7"/>
  <c r="AK15" i="7"/>
  <c r="AK6" i="7"/>
  <c r="M19" i="1"/>
  <c r="AJ21" i="7" l="1"/>
  <c r="AJ21" i="8"/>
  <c r="AJ22" i="9" s="1"/>
  <c r="H21" i="8"/>
  <c r="M39" i="10"/>
  <c r="M43" i="10"/>
  <c r="M17" i="2"/>
  <c r="M58" i="10" s="1"/>
  <c r="M20" i="10"/>
  <c r="D46" i="10"/>
  <c r="H22" i="9"/>
  <c r="AF12" i="8"/>
  <c r="L9" i="3"/>
  <c r="I46" i="10"/>
  <c r="W22" i="9"/>
  <c r="AO8" i="6"/>
  <c r="N8" i="1"/>
  <c r="AM6" i="7"/>
  <c r="AN6" i="6"/>
  <c r="AM9" i="6"/>
  <c r="AN16" i="6"/>
  <c r="M23" i="10"/>
  <c r="AL6" i="8"/>
  <c r="M21" i="10"/>
  <c r="M7" i="2"/>
  <c r="M50" i="10" s="1"/>
  <c r="AM7" i="7"/>
  <c r="AM7" i="8" s="1"/>
  <c r="AN7" i="6"/>
  <c r="K21" i="9"/>
  <c r="E46" i="10"/>
  <c r="K22" i="9"/>
  <c r="M11" i="1"/>
  <c r="AL12" i="6"/>
  <c r="N9" i="5"/>
  <c r="M9" i="10" s="1"/>
  <c r="F46" i="10"/>
  <c r="N22" i="9"/>
  <c r="H46" i="10"/>
  <c r="T22" i="9"/>
  <c r="M31" i="10"/>
  <c r="AM19" i="6"/>
  <c r="AM11" i="6"/>
  <c r="AN15" i="6"/>
  <c r="J46" i="10"/>
  <c r="Z22" i="9"/>
  <c r="H19" i="9"/>
  <c r="H21" i="9" s="1"/>
  <c r="AK9" i="9"/>
  <c r="AK6" i="8"/>
  <c r="AK9" i="7"/>
  <c r="M38" i="10"/>
  <c r="M53" i="10"/>
  <c r="AL7" i="7"/>
  <c r="AL7" i="8" s="1"/>
  <c r="AK15" i="8"/>
  <c r="AK19" i="7"/>
  <c r="AK19" i="9" s="1"/>
  <c r="N11" i="5"/>
  <c r="M11" i="10" s="1"/>
  <c r="AL11" i="7"/>
  <c r="AL11" i="8" s="1"/>
  <c r="AJ12" i="9"/>
  <c r="AJ21" i="9" s="1"/>
  <c r="AN17" i="6"/>
  <c r="AM17" i="7" s="1"/>
  <c r="AM17" i="8" s="1"/>
  <c r="AL17" i="7"/>
  <c r="AL17" i="8" s="1"/>
  <c r="N19" i="5"/>
  <c r="M17" i="10" s="1"/>
  <c r="L41" i="10"/>
  <c r="L15" i="2"/>
  <c r="L56" i="10" s="1"/>
  <c r="AN10" i="6"/>
  <c r="AM10" i="7"/>
  <c r="AM10" i="8" s="1"/>
  <c r="AL15" i="8"/>
  <c r="AI12" i="8"/>
  <c r="AO18" i="6"/>
  <c r="AN18" i="7"/>
  <c r="AN18" i="8" s="1"/>
  <c r="N18" i="3" s="1"/>
  <c r="N18" i="1"/>
  <c r="L45" i="10"/>
  <c r="L60" i="10"/>
  <c r="L19" i="2"/>
  <c r="L34" i="10"/>
  <c r="L6" i="2"/>
  <c r="L49" i="10" s="1"/>
  <c r="AL19" i="7" l="1"/>
  <c r="AL19" i="9" s="1"/>
  <c r="N44" i="10"/>
  <c r="AL21" i="6"/>
  <c r="N12" i="5"/>
  <c r="M12" i="10" s="1"/>
  <c r="AF21" i="8"/>
  <c r="L12" i="3"/>
  <c r="AL19" i="8"/>
  <c r="M25" i="10"/>
  <c r="M11" i="2"/>
  <c r="M54" i="10" s="1"/>
  <c r="AI21" i="8"/>
  <c r="AN19" i="6"/>
  <c r="AO15" i="6"/>
  <c r="AN11" i="6"/>
  <c r="AM11" i="7" s="1"/>
  <c r="AM11" i="8" s="1"/>
  <c r="N15" i="1"/>
  <c r="AO16" i="6"/>
  <c r="N16" i="1" s="1"/>
  <c r="AM16" i="7"/>
  <c r="AM16" i="8" s="1"/>
  <c r="AO10" i="6"/>
  <c r="AN10" i="7" s="1"/>
  <c r="AN10" i="8" s="1"/>
  <c r="N10" i="3" s="1"/>
  <c r="AM15" i="7"/>
  <c r="AK19" i="8"/>
  <c r="M19" i="3" s="1"/>
  <c r="M15" i="3"/>
  <c r="AM12" i="6"/>
  <c r="AM21" i="6" s="1"/>
  <c r="AN6" i="7"/>
  <c r="AN9" i="6"/>
  <c r="AO6" i="6"/>
  <c r="N6" i="1" s="1"/>
  <c r="AO7" i="6"/>
  <c r="AM9" i="9"/>
  <c r="AM9" i="7"/>
  <c r="AM6" i="8"/>
  <c r="AM9" i="8" s="1"/>
  <c r="N22" i="10"/>
  <c r="O8" i="5"/>
  <c r="N8" i="10" s="1"/>
  <c r="AP8" i="6"/>
  <c r="AO8" i="7" s="1"/>
  <c r="AO8" i="8" s="1"/>
  <c r="AP18" i="6"/>
  <c r="O18" i="5"/>
  <c r="N16" i="10" s="1"/>
  <c r="AK12" i="9"/>
  <c r="AK21" i="9" s="1"/>
  <c r="AK12" i="7"/>
  <c r="AK21" i="7" s="1"/>
  <c r="AN8" i="7"/>
  <c r="AN8" i="8" s="1"/>
  <c r="N8" i="3" s="1"/>
  <c r="N8" i="2" s="1"/>
  <c r="N30" i="10"/>
  <c r="N18" i="2"/>
  <c r="N59" i="10" s="1"/>
  <c r="M12" i="1"/>
  <c r="AK9" i="8"/>
  <c r="M6" i="3"/>
  <c r="AO17" i="6"/>
  <c r="AN17" i="7" s="1"/>
  <c r="AN17" i="8" s="1"/>
  <c r="N17" i="3" s="1"/>
  <c r="AL9" i="7"/>
  <c r="AL9" i="8"/>
  <c r="L37" i="10"/>
  <c r="L9" i="2"/>
  <c r="L52" i="10" s="1"/>
  <c r="N20" i="10" l="1"/>
  <c r="N38" i="10"/>
  <c r="N43" i="10"/>
  <c r="N28" i="10"/>
  <c r="AP16" i="6"/>
  <c r="AO16" i="7"/>
  <c r="AO16" i="8" s="1"/>
  <c r="O16" i="5"/>
  <c r="N14" i="10" s="1"/>
  <c r="AQ18" i="6"/>
  <c r="AN16" i="7"/>
  <c r="AN16" i="8" s="1"/>
  <c r="N16" i="3" s="1"/>
  <c r="L40" i="10"/>
  <c r="L12" i="2"/>
  <c r="L21" i="2" s="1"/>
  <c r="AL12" i="8"/>
  <c r="AP7" i="6"/>
  <c r="O7" i="5"/>
  <c r="N7" i="10" s="1"/>
  <c r="AL12" i="7"/>
  <c r="AL21" i="7" s="1"/>
  <c r="AN7" i="7"/>
  <c r="AN7" i="8" s="1"/>
  <c r="N7" i="3" s="1"/>
  <c r="N17" i="1"/>
  <c r="AO18" i="7"/>
  <c r="AO18" i="8" s="1"/>
  <c r="AO9" i="6"/>
  <c r="AP6" i="6"/>
  <c r="O6" i="5"/>
  <c r="N6" i="10" s="1"/>
  <c r="AF22" i="9"/>
  <c r="L21" i="3"/>
  <c r="AP17" i="6"/>
  <c r="O17" i="5"/>
  <c r="N15" i="10" s="1"/>
  <c r="AN12" i="6"/>
  <c r="AN21" i="6" s="1"/>
  <c r="N27" i="10"/>
  <c r="AL9" i="9"/>
  <c r="AL12" i="9" s="1"/>
  <c r="AL21" i="9" s="1"/>
  <c r="AN11" i="7"/>
  <c r="AN11" i="8" s="1"/>
  <c r="N11" i="3" s="1"/>
  <c r="N11" i="1"/>
  <c r="AK12" i="8"/>
  <c r="M9" i="3"/>
  <c r="AO15" i="7"/>
  <c r="AP15" i="6"/>
  <c r="AO19" i="6"/>
  <c r="N19" i="1" s="1"/>
  <c r="AO11" i="6"/>
  <c r="O15" i="5"/>
  <c r="N13" i="10" s="1"/>
  <c r="AN9" i="9"/>
  <c r="AN6" i="8"/>
  <c r="AN9" i="7"/>
  <c r="M26" i="10"/>
  <c r="M41" i="10"/>
  <c r="M15" i="2"/>
  <c r="M56" i="10" s="1"/>
  <c r="AN15" i="7"/>
  <c r="N21" i="5"/>
  <c r="M21" i="1"/>
  <c r="M45" i="10"/>
  <c r="M19" i="2"/>
  <c r="M60" i="10" s="1"/>
  <c r="M34" i="10"/>
  <c r="M6" i="2"/>
  <c r="M49" i="10" s="1"/>
  <c r="AM15" i="8"/>
  <c r="AM19" i="7"/>
  <c r="AM19" i="9" s="1"/>
  <c r="AI22" i="9"/>
  <c r="AM12" i="9"/>
  <c r="AM12" i="7"/>
  <c r="AQ8" i="6"/>
  <c r="AP8" i="7" s="1"/>
  <c r="AP8" i="8" s="1"/>
  <c r="N51" i="10"/>
  <c r="N36" i="10"/>
  <c r="N10" i="1"/>
  <c r="AM12" i="8"/>
  <c r="AP10" i="6"/>
  <c r="AO10" i="7"/>
  <c r="AO10" i="8" s="1"/>
  <c r="O10" i="5"/>
  <c r="N10" i="10" s="1"/>
  <c r="N7" i="1"/>
  <c r="N42" i="10" l="1"/>
  <c r="N16" i="2"/>
  <c r="N57" i="10" s="1"/>
  <c r="N39" i="10"/>
  <c r="L46" i="10"/>
  <c r="L22" i="2"/>
  <c r="AQ7" i="6"/>
  <c r="AP7" i="7" s="1"/>
  <c r="AP7" i="8" s="1"/>
  <c r="AQ16" i="6"/>
  <c r="AP16" i="7" s="1"/>
  <c r="AP16" i="8" s="1"/>
  <c r="AM19" i="8"/>
  <c r="AM21" i="8" s="1"/>
  <c r="AM22" i="9" s="1"/>
  <c r="M37" i="10"/>
  <c r="M9" i="2"/>
  <c r="M52" i="10" s="1"/>
  <c r="AO7" i="7"/>
  <c r="AO7" i="8" s="1"/>
  <c r="AL21" i="8"/>
  <c r="AK21" i="8"/>
  <c r="M12" i="3"/>
  <c r="AP6" i="7"/>
  <c r="AP9" i="6"/>
  <c r="AQ6" i="6"/>
  <c r="N25" i="10"/>
  <c r="N11" i="2"/>
  <c r="N54" i="10" s="1"/>
  <c r="N24" i="10"/>
  <c r="N10" i="2"/>
  <c r="N53" i="10" s="1"/>
  <c r="N31" i="10"/>
  <c r="AN12" i="7"/>
  <c r="AO12" i="6"/>
  <c r="O9" i="5"/>
  <c r="N9" i="10" s="1"/>
  <c r="L55" i="10"/>
  <c r="AN9" i="8"/>
  <c r="N6" i="3"/>
  <c r="AO6" i="7"/>
  <c r="N9" i="1"/>
  <c r="N29" i="10"/>
  <c r="N17" i="2"/>
  <c r="N58" i="10" s="1"/>
  <c r="AR18" i="6"/>
  <c r="P18" i="5" s="1"/>
  <c r="O16" i="10" s="1"/>
  <c r="AP15" i="7"/>
  <c r="AQ15" i="6"/>
  <c r="AP19" i="6"/>
  <c r="AP11" i="6"/>
  <c r="AQ17" i="6"/>
  <c r="AP17" i="7" s="1"/>
  <c r="AP17" i="8" s="1"/>
  <c r="AQ8" i="7"/>
  <c r="AQ8" i="8" s="1"/>
  <c r="O8" i="3" s="1"/>
  <c r="AR8" i="6"/>
  <c r="AM21" i="7"/>
  <c r="N35" i="10"/>
  <c r="AP18" i="7"/>
  <c r="AP18" i="8" s="1"/>
  <c r="AO15" i="8"/>
  <c r="AO19" i="7"/>
  <c r="AQ10" i="6"/>
  <c r="O18" i="1"/>
  <c r="O11" i="5"/>
  <c r="N11" i="10" s="1"/>
  <c r="AM21" i="9"/>
  <c r="N21" i="10"/>
  <c r="N7" i="2"/>
  <c r="N50" i="10" s="1"/>
  <c r="AN15" i="8"/>
  <c r="AN19" i="8" s="1"/>
  <c r="AN19" i="9"/>
  <c r="AN19" i="7"/>
  <c r="O19" i="5"/>
  <c r="N17" i="10" s="1"/>
  <c r="AO17" i="7"/>
  <c r="AO17" i="8" s="1"/>
  <c r="O36" i="10" l="1"/>
  <c r="AN12" i="8"/>
  <c r="N9" i="3"/>
  <c r="N9" i="2" s="1"/>
  <c r="AQ9" i="6"/>
  <c r="AR6" i="6"/>
  <c r="O6" i="1" s="1"/>
  <c r="AR16" i="6"/>
  <c r="P16" i="5" s="1"/>
  <c r="O14" i="10" s="1"/>
  <c r="AP11" i="7"/>
  <c r="AP11" i="8" s="1"/>
  <c r="AP9" i="9"/>
  <c r="AP9" i="7"/>
  <c r="AP6" i="8"/>
  <c r="AP9" i="8" s="1"/>
  <c r="AR7" i="6"/>
  <c r="AK22" i="9"/>
  <c r="M21" i="3"/>
  <c r="AR15" i="6"/>
  <c r="AQ15" i="7" s="1"/>
  <c r="AQ11" i="6"/>
  <c r="AQ19" i="6"/>
  <c r="AN21" i="7"/>
  <c r="AO19" i="9"/>
  <c r="AN12" i="9"/>
  <c r="AN21" i="9" s="1"/>
  <c r="AL22" i="9"/>
  <c r="O30" i="10"/>
  <c r="AP12" i="6"/>
  <c r="AP21" i="6" s="1"/>
  <c r="AQ10" i="7"/>
  <c r="AQ10" i="8" s="1"/>
  <c r="AR10" i="6"/>
  <c r="P10" i="5" s="1"/>
  <c r="O10" i="10" s="1"/>
  <c r="O10" i="1"/>
  <c r="O12" i="5"/>
  <c r="N12" i="10" s="1"/>
  <c r="AO21" i="6"/>
  <c r="N12" i="1"/>
  <c r="N23" i="10"/>
  <c r="N15" i="3"/>
  <c r="AR17" i="6"/>
  <c r="P17" i="5" s="1"/>
  <c r="O15" i="10" s="1"/>
  <c r="O17" i="1"/>
  <c r="O15" i="1"/>
  <c r="AO6" i="8"/>
  <c r="AO9" i="7"/>
  <c r="N19" i="3"/>
  <c r="AO11" i="7"/>
  <c r="AO11" i="8" s="1"/>
  <c r="M40" i="10"/>
  <c r="M12" i="2"/>
  <c r="M21" i="2" s="1"/>
  <c r="AP10" i="7"/>
  <c r="AP10" i="8" s="1"/>
  <c r="AP15" i="8"/>
  <c r="AP19" i="8" s="1"/>
  <c r="AP19" i="7"/>
  <c r="AP19" i="9" s="1"/>
  <c r="AO19" i="8"/>
  <c r="AQ18" i="7"/>
  <c r="AQ18" i="8" s="1"/>
  <c r="O18" i="3" s="1"/>
  <c r="P8" i="5"/>
  <c r="O8" i="10" s="1"/>
  <c r="O8" i="1"/>
  <c r="N34" i="10"/>
  <c r="N6" i="2"/>
  <c r="N49" i="10" s="1"/>
  <c r="AQ16" i="7" l="1"/>
  <c r="AQ16" i="8" s="1"/>
  <c r="O16" i="3" s="1"/>
  <c r="O20" i="10"/>
  <c r="O42" i="10"/>
  <c r="AQ15" i="8"/>
  <c r="N26" i="10"/>
  <c r="N45" i="10"/>
  <c r="N19" i="2"/>
  <c r="N60" i="10" s="1"/>
  <c r="O21" i="5"/>
  <c r="N21" i="1"/>
  <c r="O22" i="10"/>
  <c r="O8" i="2"/>
  <c r="O51" i="10" s="1"/>
  <c r="AO12" i="7"/>
  <c r="AO21" i="7" s="1"/>
  <c r="O44" i="10"/>
  <c r="AO9" i="8"/>
  <c r="O16" i="1"/>
  <c r="AQ11" i="7"/>
  <c r="AQ11" i="8" s="1"/>
  <c r="O11" i="3" s="1"/>
  <c r="AR9" i="6"/>
  <c r="P6" i="5"/>
  <c r="O6" i="10" s="1"/>
  <c r="AO9" i="9"/>
  <c r="O27" i="10"/>
  <c r="AQ12" i="6"/>
  <c r="M46" i="10"/>
  <c r="M22" i="2"/>
  <c r="O18" i="2"/>
  <c r="O59" i="10" s="1"/>
  <c r="P7" i="5"/>
  <c r="O7" i="10" s="1"/>
  <c r="O7" i="1"/>
  <c r="AN21" i="8"/>
  <c r="N12" i="3"/>
  <c r="N41" i="10"/>
  <c r="N15" i="2"/>
  <c r="N56" i="10" s="1"/>
  <c r="AQ7" i="7"/>
  <c r="AQ7" i="8" s="1"/>
  <c r="O7" i="3" s="1"/>
  <c r="O10" i="3"/>
  <c r="AP12" i="8"/>
  <c r="AP21" i="8" s="1"/>
  <c r="O24" i="10"/>
  <c r="O10" i="2"/>
  <c r="AR11" i="6"/>
  <c r="AR19" i="6"/>
  <c r="P19" i="5" s="1"/>
  <c r="O17" i="10" s="1"/>
  <c r="P15" i="5"/>
  <c r="O13" i="10" s="1"/>
  <c r="O29" i="10"/>
  <c r="AQ6" i="7"/>
  <c r="N52" i="10"/>
  <c r="N37" i="10"/>
  <c r="AQ17" i="7"/>
  <c r="AQ17" i="8" s="1"/>
  <c r="O17" i="3" s="1"/>
  <c r="O17" i="2" s="1"/>
  <c r="M55" i="10"/>
  <c r="AP12" i="7"/>
  <c r="AP21" i="7" s="1"/>
  <c r="O19" i="1" l="1"/>
  <c r="O39" i="10"/>
  <c r="AQ9" i="9"/>
  <c r="AQ9" i="7"/>
  <c r="AQ6" i="8"/>
  <c r="N40" i="10"/>
  <c r="O21" i="10"/>
  <c r="O7" i="2"/>
  <c r="O50" i="10" s="1"/>
  <c r="AO12" i="8"/>
  <c r="N12" i="2"/>
  <c r="N21" i="2" s="1"/>
  <c r="AQ19" i="8"/>
  <c r="O19" i="3" s="1"/>
  <c r="O15" i="3"/>
  <c r="AQ21" i="6"/>
  <c r="AQ19" i="7"/>
  <c r="AQ19" i="9" s="1"/>
  <c r="AR12" i="6"/>
  <c r="P9" i="5"/>
  <c r="O9" i="10" s="1"/>
  <c r="O9" i="1"/>
  <c r="O31" i="10"/>
  <c r="AN22" i="9"/>
  <c r="N21" i="3"/>
  <c r="O58" i="10"/>
  <c r="O43" i="10"/>
  <c r="O28" i="10"/>
  <c r="O16" i="2"/>
  <c r="O57" i="10" s="1"/>
  <c r="P11" i="5"/>
  <c r="O11" i="10" s="1"/>
  <c r="O11" i="1"/>
  <c r="AP12" i="9"/>
  <c r="AP21" i="9" s="1"/>
  <c r="AP22" i="9"/>
  <c r="AO12" i="9"/>
  <c r="AO21" i="9" s="1"/>
  <c r="O53" i="10"/>
  <c r="O38" i="10"/>
  <c r="O35" i="10"/>
  <c r="O45" i="10" l="1"/>
  <c r="N46" i="10"/>
  <c r="N22" i="2"/>
  <c r="O19" i="2"/>
  <c r="O60" i="10" s="1"/>
  <c r="N55" i="10"/>
  <c r="O23" i="10"/>
  <c r="AQ9" i="8"/>
  <c r="O6" i="3"/>
  <c r="P12" i="5"/>
  <c r="O12" i="10" s="1"/>
  <c r="AR21" i="6"/>
  <c r="P21" i="5" s="1"/>
  <c r="O25" i="10"/>
  <c r="O11" i="2"/>
  <c r="O54" i="10" s="1"/>
  <c r="O12" i="1"/>
  <c r="AO21" i="8"/>
  <c r="AQ12" i="7"/>
  <c r="AQ21" i="7" s="1"/>
  <c r="O41" i="10"/>
  <c r="O15" i="2"/>
  <c r="O56" i="10" s="1"/>
  <c r="AQ12" i="9" l="1"/>
  <c r="AQ21" i="9" s="1"/>
  <c r="AO22" i="9"/>
  <c r="O34" i="10"/>
  <c r="O6" i="2"/>
  <c r="O49" i="10" s="1"/>
  <c r="AQ12" i="8"/>
  <c r="O9" i="3"/>
  <c r="O21" i="1"/>
  <c r="O26" i="10"/>
  <c r="AQ21" i="8" l="1"/>
  <c r="O12" i="3"/>
  <c r="O37" i="10"/>
  <c r="O9" i="2"/>
  <c r="O52" i="10" s="1"/>
  <c r="O40" i="10" l="1"/>
  <c r="O12" i="2"/>
  <c r="O21" i="2" s="1"/>
  <c r="AQ22" i="9"/>
  <c r="O21" i="3"/>
  <c r="O28" i="3" s="1"/>
  <c r="O46" i="10" l="1"/>
  <c r="O22" i="2"/>
  <c r="O55" i="10"/>
</calcChain>
</file>

<file path=xl/sharedStrings.xml><?xml version="1.0" encoding="utf-8"?>
<sst xmlns="http://schemas.openxmlformats.org/spreadsheetml/2006/main" count="348" uniqueCount="171">
  <si>
    <t>Capital One — Average Balance by line item ($mm)</t>
  </si>
  <si>
    <t>Line item (as disclosed)</t>
  </si>
  <si>
    <t>2023-03-31</t>
  </si>
  <si>
    <t>2023-06-30</t>
  </si>
  <si>
    <t>2023-09-30</t>
  </si>
  <si>
    <t>2023-12-31 (D)</t>
  </si>
  <si>
    <t>2024-03-31</t>
  </si>
  <si>
    <t>2024-06-30</t>
  </si>
  <si>
    <t>2024-09-30</t>
  </si>
  <si>
    <t>2024-12-31 (D)</t>
  </si>
  <si>
    <t>2025-03-31</t>
  </si>
  <si>
    <t>2025-06-30</t>
  </si>
  <si>
    <t>INTEREST-EARNING ASSETS</t>
  </si>
  <si>
    <t xml:space="preserve">  Credit card</t>
  </si>
  <si>
    <t xml:space="preserve">  Consumer banking</t>
  </si>
  <si>
    <t xml:space="preserve">  Commercial banking</t>
  </si>
  <si>
    <t xml:space="preserve">  Total loans (incl. HFS)</t>
  </si>
  <si>
    <t xml:space="preserve">  Investment securities</t>
  </si>
  <si>
    <t xml:space="preserve">  Cash equivalents and other</t>
  </si>
  <si>
    <t xml:space="preserve">  Total interest-earning assets</t>
  </si>
  <si>
    <t>INTEREST-BEARING LIABILITIES</t>
  </si>
  <si>
    <t xml:space="preserve">  Interest-bearing deposits</t>
  </si>
  <si>
    <t xml:space="preserve">  Securitized debt obligations</t>
  </si>
  <si>
    <t xml:space="preserve">  Senior and subordinated notes</t>
  </si>
  <si>
    <t xml:space="preserve">  Other borrowings</t>
  </si>
  <si>
    <t xml:space="preserve">  Total interest-bearing liabilities</t>
  </si>
  <si>
    <t>Net earning assets (assets − liabilities)</t>
  </si>
  <si>
    <t>Capital One — Average Yield / Rate by line item (annualised)</t>
  </si>
  <si>
    <t>Net interest spread (asset yield − funding cost)</t>
  </si>
  <si>
    <t>Net interest margin (NII / avg earning assets)</t>
  </si>
  <si>
    <t>Capital One — Interest Income / Expense by line item ($mm, quarterly)</t>
  </si>
  <si>
    <t>NET INTEREST INCOME</t>
  </si>
  <si>
    <t>CHECK: NII vs income statement (flows.csv)</t>
  </si>
  <si>
    <t xml:space="preserve">  Income statement NII (XBRL)</t>
  </si>
  <si>
    <t xml:space="preserve">  Difference</t>
  </si>
  <si>
    <t>Blue = as disclosed. Green = from the XBRL income statement (independent source). Black = formula. Difference should be zero: the MD&amp;A average-balance table and the income statement must agree on NII.</t>
  </si>
  <si>
    <t>Balance / Rate / Net Interest Income — Capital One</t>
  </si>
  <si>
    <t>ON "GL ACCOUNTS"</t>
  </si>
  <si>
    <t>SEC filings do not expose a general ledger. These rows are the line items Capital One discloses in its average-balance table — the finest account-level granularity available externally. They are groupings, not GL account numbers.</t>
  </si>
  <si>
    <t>WHAT EACH TABLE HOLDS</t>
  </si>
  <si>
    <t>Balance — AVERAGE balance over the quarter, in $mm. Not period-end; it will not tie to the balance sheet.</t>
  </si>
  <si>
    <t>Rate — annualised yield (assets) and cost of funds (liabilities), stored as fractions and displayed as percentages.</t>
  </si>
  <si>
    <t>Net Interest Income — interest income on assets and interest expense on liabilities, with NII computed as the difference of the totals.</t>
  </si>
  <si>
    <t>SOURCE</t>
  </si>
  <si>
    <t>Capital One Financial Corp (CIK 0000927628), Forms 10-Q and 10-K, MD&amp;A table 'Average Balances, Net Interest Income and Net Interest Margin'. These MD&amp;A tables are NOT XBRL-tagged, so values are parsed from the rendered HTML.</t>
  </si>
  <si>
    <t>Q4 DERIVATION, AND WHY IT IS SOUND</t>
  </si>
  <si>
    <t>No 3-month Q4 average-balance table is published: the 10-K table is annual and the 10-Q tables are 3/6/9-month. Q4 columns are marked (D).</t>
  </si>
  <si>
    <t>Two identities were tested against the actual data, both passing 48 of 48 cases: interest is additive (6M = Q1 + Q2), and average balances weight by months (6M avg = (Q1 avg x3 + Q2 avg x3) / 6).</t>
  </si>
  <si>
    <t>Therefore: Q4 interest = FY − 9M (exact). Q4 balance = (FY avg x12 − 9M avg x9) / 3. Q4 rate is RECOMPUTED from the derived interest and balance, never subtracted — rates do not subtract.</t>
  </si>
  <si>
    <t>VALIDATION</t>
  </si>
  <si>
    <t>The Net Interest Income sheet cross-checks its computed NII against the income statement extracted independently from XBRL. The two come from different places in the filing by different methods, so agreement is meaningful.</t>
  </si>
  <si>
    <t>CONVENTIONS</t>
  </si>
  <si>
    <t>Blue = as disclosed in the filing. Green = independent XBRL source. Black = live formula. Yellow = check cell, should read zero.</t>
  </si>
  <si>
    <t>Average balance over the quarter. Actuals through Q2:25; Q3:25–Q2:26 forecast from the macro-driven monthly schedule.</t>
  </si>
  <si>
    <t>2025-09-30 (F)</t>
  </si>
  <si>
    <t>2025-12-31 (F)</t>
  </si>
  <si>
    <t>2026-03-31 (F)</t>
  </si>
  <si>
    <t>2026-06-30 (F)</t>
  </si>
  <si>
    <t>Annualised yield on assets and cost of funds on liabilities. Actuals through Q2:25; forecast rates retain June 2025 benchmark spreads or betas.</t>
  </si>
  <si>
    <t>Interest income on assets and interest expense on liabilities. Actuals through Q2:25; forecast quarters sum the macro-driven monthly schedule.</t>
  </si>
  <si>
    <t>CONTROLLED MONTHLY IMPUTATION</t>
  </si>
  <si>
    <t>Quarter-End Anchors contains reported filing controls from anchors.csv. Blank anchors mean no comparable control was available.</t>
  </si>
  <si>
    <t>Total loans incl. HFS uses gross HFI loans as the closest balance-sheet control. Credit card, consumer banking, and commercial banking are allocated using their quarterly average-balance mix.</t>
  </si>
  <si>
    <t>Investment securities uses AFS plus HTM securities. Cash equivalents and other uses reported cash and cash equivalents as the closest control.</t>
  </si>
  <si>
    <t>Securitized debt and senior/subordinated notes divide reported long-term debt using their quarterly average-balance mix. Other borrowings uses short-term plus other borrowings.</t>
  </si>
  <si>
    <t>Reported quarter-end controls are fixed. Month 1 and month 2 are adjusted around a straight-line path so the four-point quarterly average equals the disclosed quarterly average balance.</t>
  </si>
  <si>
    <t>Monthly Avg Balance is the two-point average of prior and current month-end balances.</t>
  </si>
  <si>
    <t>Monthly NII begins with disclosed quarterly rates and allocates any residual needed to match reported quarterly income in proportion to monthly average balance.</t>
  </si>
  <si>
    <t>Monthly Rate is recalculated from monthly NII and monthly average balance. Disclosed-rate differences are shown in basis points on Monthly Checks.</t>
  </si>
  <si>
    <t>Monthly Checks verifies quarter-end anchors, four-point averages, and quarterly NII totals.</t>
  </si>
  <si>
    <t>MACRO-DRIVEN FORECAST</t>
  </si>
  <si>
    <t>Actuals end June 2025. Forecast period is July 2025 through June 2026.</t>
  </si>
  <si>
    <t>Credit card balances follow payroll growth adjusted for the employment-rate ratio. Consumer banking follows the adjusted Case-Shiller index. Commercial banking and interest-bearing deposits follow payroll growth.</t>
  </si>
  <si>
    <t>Investment securities, senior notes and other borrowings remain flat. Cash holds its June 2025 share of deposits. Securitized debt runs off 0.5% per month; this is the only editable forecast assumption.</t>
  </si>
  <si>
    <t>Forecast yields use the provided macro benchmark path plus June 2025 product spreads. Deposit cost retains the June 2025 beta to Fed funds.</t>
  </si>
  <si>
    <t>Quarterly average balances use the established four-point convention. Quarterly NII sums monthly NII, and quarterly rates are recomputed from quarterly NII and average balance.</t>
  </si>
  <si>
    <t>Macro inputs and calibration values are shown on Forecast Drivers.</t>
  </si>
  <si>
    <t>Quarter-End Balance Anchors ($mm)</t>
  </si>
  <si>
    <t>Reported balance-sheet controls through Jun-25. Forecast quarter ends thereafter link to the monthly balance forecast; filing source controls are intentionally blank.</t>
  </si>
  <si>
    <t>Line item / source control</t>
  </si>
  <si>
    <t>Credit card</t>
  </si>
  <si>
    <t>Consumer banking</t>
  </si>
  <si>
    <t>Commercial banking</t>
  </si>
  <si>
    <t>Total loans (incl. HFS)</t>
  </si>
  <si>
    <t>Investment securities</t>
  </si>
  <si>
    <t>Cash equivalents and other</t>
  </si>
  <si>
    <t>Total interest-earning assets</t>
  </si>
  <si>
    <t>Interest-bearing deposits</t>
  </si>
  <si>
    <t>Securitized debt obligations</t>
  </si>
  <si>
    <t>Senior and subordinated notes</t>
  </si>
  <si>
    <t>Other borrowings</t>
  </si>
  <si>
    <t>Total interest-bearing liabilities</t>
  </si>
  <si>
    <t>SOURCE CONTROLS</t>
  </si>
  <si>
    <t>Loans HFI, gross</t>
  </si>
  <si>
    <t>Securities AFS</t>
  </si>
  <si>
    <t>Securities HTM</t>
  </si>
  <si>
    <t>Cash and cash equivalents</t>
  </si>
  <si>
    <t>Long-term debt</t>
  </si>
  <si>
    <t>Short-term borrowings</t>
  </si>
  <si>
    <t>Capital One - Imputed Monthly End-of-Period Balance by line item ($mm)</t>
  </si>
  <si>
    <t>Reported and controlled month ends through Jun-25. Jul-25 through Jun-26 is a macro-driven balance forecast.</t>
  </si>
  <si>
    <t>Capital One - Imputed Monthly Average Balance by line item ($mm)</t>
  </si>
  <si>
    <t>Monthly average balance is the average of prior and current month end. Forecast months begin Jul-25.</t>
  </si>
  <si>
    <t>Capital One - Imputed Monthly Interest Income / Expense by line item ($mm)</t>
  </si>
  <si>
    <t>Monthly interest income or expense equals monthly average balance times annualized forecast rate divided by 12.</t>
  </si>
  <si>
    <t>Capital One - Imputed Monthly Yield / Rate by line item (annualized)</t>
  </si>
  <si>
    <t>Actual yields through Jun-25. Forecast yields use the Macro Drivers benchmark path plus June 2025 product spreads or betas.</t>
  </si>
  <si>
    <t>Controlled Monthly Imputation Checks</t>
  </si>
  <si>
    <t>Actual controls run through Q2:25. Forecast columns thereafter verify quarter-end links, four-point averages and monthly NII sums.</t>
  </si>
  <si>
    <t>Line item</t>
  </si>
  <si>
    <t>Q1:23</t>
  </si>
  <si>
    <t>Q2:23</t>
  </si>
  <si>
    <t>Q3:23</t>
  </si>
  <si>
    <t>Q4:23</t>
  </si>
  <si>
    <t>Q1:24</t>
  </si>
  <si>
    <t>Q2:24</t>
  </si>
  <si>
    <t>Q3:24</t>
  </si>
  <si>
    <t>Q4:24</t>
  </si>
  <si>
    <t>Q1:25</t>
  </si>
  <si>
    <t>Q2:25</t>
  </si>
  <si>
    <t>Q3:25</t>
  </si>
  <si>
    <t>Q4:25</t>
  </si>
  <si>
    <t>Q1:26</t>
  </si>
  <si>
    <t>Q2:26</t>
  </si>
  <si>
    <t>QUARTER-END ANCHOR DIFFERENCE</t>
  </si>
  <si>
    <t>FOUR-POINT AVERAGE BALANCE DIFFERENCE</t>
  </si>
  <si>
    <t>MONTHLY INCOME SUM DIFFERENCE</t>
  </si>
  <si>
    <t>EFFECTIVE RATE LESS QUARTERLY RATE (BPS, INFORMATIONAL)</t>
  </si>
  <si>
    <t>Macro-driven balance sheet forecast</t>
  </si>
  <si>
    <t>Actuals end June 2025. The macro path covers July 2025 through June 2026 and feeds the monthly balance, yield and NII schedules.</t>
  </si>
  <si>
    <t>Macro driver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</si>
  <si>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</si>
  <si>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</si>
  <si>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</si>
  <si>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</si>
  <si>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</si>
  <si>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</si>
  <si>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</si>
  <si>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</si>
  <si>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</si>
  <si>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</si>
  <si>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</si>
  <si>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</si>
  <si>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</si>
  <si>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Fed funds effective rate</t>
  </si>
  <si>
    <t>5-year Treasury yield</t>
  </si>
  <si>
    <t>10-year Treasury yield</t>
  </si>
  <si>
    <t>Prime rate</t>
  </si>
  <si>
    <t>Case-Shiller index, adjusted</t>
  </si>
  <si>
    <t>30-year mortgage rate</t>
  </si>
  <si>
    <t>Unemployment rate</t>
  </si>
  <si>
    <t>Nonfarm payrolls (000s)</t>
  </si>
  <si>
    <t>BBB corporate OAS</t>
  </si>
  <si>
    <t>Credit card rate, all accounts</t>
  </si>
  <si>
    <t>Credit card rate used</t>
  </si>
  <si>
    <t>MODEL CALIBRATION</t>
  </si>
  <si>
    <t>Cash / interest-bearing deposits at Jun-25</t>
  </si>
  <si>
    <t>Securitized debt monthly runoff</t>
  </si>
  <si>
    <t>Deposit beta to Fed funds</t>
  </si>
  <si>
    <t>Credit card yield spread vs card rate</t>
  </si>
  <si>
    <t>Consumer yield spread vs mortgage rate</t>
  </si>
  <si>
    <t>Commercial yield spread vs prime rate</t>
  </si>
  <si>
    <t>Securities yield spread vs 5-year Treasury</t>
  </si>
  <si>
    <t>Cash yield spread vs Fed funds</t>
  </si>
  <si>
    <t>Securitized debt spread vs 5-year Treasury</t>
  </si>
  <si>
    <t>Senior note spread vs 5-year Treasury + BBB OAS</t>
  </si>
  <si>
    <t>Other borrowing spread vs Fed funds</t>
  </si>
  <si>
    <t>Balance mapping: card, commercial and deposits follow payrolls; consumer follows Case-Shiller; investment securities, senior notes and other borrowings remain flat.</t>
  </si>
  <si>
    <t>Cash preserves its June 2025 share of deposits. Securitized debt runs off at the editable monthly rate above.</t>
  </si>
  <si>
    <t>Yield mapping: each forecast benchmark keeps its June 2025 product spread; deposit costs retain their June 2025 beta to Fed funds.</t>
  </si>
  <si>
    <t>6month NII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</si>
</sst>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;&quot;($&quot;#,##0\);\-"/>
    <numFmt numFmtId="165" formatCode="0.00%;\(0.00%\);\-"/>
    <numFmt numFmtId="166" formatCode="#,##0.0;\(#,##0.0\);\-"/>
    <numFmt numFmtId="167" formatCode="\$#,##0;\(\$#,##0\);\-"/>
    <numFmt numFmtId="168" formatCode="\$#,##0.0;\(\$#,##0.0\);\-"/>
    <numFmt numFmtId="169" formatCode="0.00;[Red]\(0.00\);0.00"/>
  </numFmts>
  <fonts count="16" x14ac:knownFonts="1">
    <font>
      <sz val="11"/>
      <color theme="1"/>
      <name val="Calibri"/>
    </font>
    <font>
      <sz val="10"/>
      <name val="Arial"/>
      <family val="2"/>
    </font>
    <font>
      <b/>
      <sz val="12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i/>
      <sz val="9"/>
      <color rgb="FF666666"/>
      <name val="Arial"/>
      <family val="2"/>
    </font>
    <font>
      <b/>
      <sz val="10"/>
      <color rgb="FF008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164" fontId="4" fillId="0" borderId="1" xfId="0" applyNumberFormat="1" applyFont="1" applyBorder="1"/>
    <xf numFmtId="164" fontId="4" fillId="0" borderId="0" xfId="0" applyNumberFormat="1" applyFont="1"/>
    <xf numFmtId="165" fontId="7" fillId="0" borderId="0" xfId="0" applyNumberFormat="1" applyFont="1"/>
    <xf numFmtId="165" fontId="4" fillId="0" borderId="1" xfId="0" applyNumberFormat="1" applyFont="1" applyBorder="1"/>
    <xf numFmtId="165" fontId="4" fillId="0" borderId="0" xfId="0" applyNumberFormat="1" applyFont="1"/>
    <xf numFmtId="164" fontId="8" fillId="0" borderId="0" xfId="0" applyNumberFormat="1" applyFont="1"/>
    <xf numFmtId="166" fontId="4" fillId="3" borderId="0" xfId="0" applyNumberFormat="1" applyFont="1" applyFill="1"/>
    <xf numFmtId="0" fontId="3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9" fillId="0" borderId="0" xfId="0" applyFont="1"/>
    <xf numFmtId="0" fontId="10" fillId="4" borderId="0" xfId="0" applyFont="1" applyFill="1" applyAlignment="1">
      <alignment horizontal="center"/>
    </xf>
    <xf numFmtId="0" fontId="10" fillId="0" borderId="0" xfId="0" applyFont="1"/>
    <xf numFmtId="0" fontId="10" fillId="0" borderId="2" xfId="0" applyFont="1" applyBorder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17" fontId="10" fillId="4" borderId="2" xfId="0" applyNumberFormat="1" applyFont="1" applyFill="1" applyBorder="1" applyAlignment="1">
      <alignment horizontal="center" vertical="center"/>
    </xf>
    <xf numFmtId="0" fontId="10" fillId="0" borderId="3" xfId="0" applyFont="1" applyBorder="1"/>
    <xf numFmtId="167" fontId="9" fillId="0" borderId="0" xfId="0" applyNumberFormat="1" applyFont="1"/>
    <xf numFmtId="167" fontId="10" fillId="0" borderId="2" xfId="0" applyNumberFormat="1" applyFont="1" applyBorder="1"/>
    <xf numFmtId="167" fontId="10" fillId="0" borderId="3" xfId="0" applyNumberFormat="1" applyFont="1" applyBorder="1"/>
    <xf numFmtId="167" fontId="7" fillId="0" borderId="0" xfId="0" applyNumberFormat="1" applyFont="1"/>
    <xf numFmtId="167" fontId="8" fillId="0" borderId="0" xfId="0" applyNumberFormat="1" applyFont="1"/>
    <xf numFmtId="167" fontId="13" fillId="0" borderId="3" xfId="0" applyNumberFormat="1" applyFont="1" applyBorder="1"/>
    <xf numFmtId="168" fontId="9" fillId="0" borderId="0" xfId="0" applyNumberFormat="1" applyFont="1"/>
    <xf numFmtId="168" fontId="8" fillId="0" borderId="0" xfId="0" applyNumberFormat="1" applyFont="1"/>
    <xf numFmtId="168" fontId="10" fillId="0" borderId="3" xfId="0" applyNumberFormat="1" applyFont="1" applyBorder="1"/>
    <xf numFmtId="168" fontId="10" fillId="0" borderId="2" xfId="0" applyNumberFormat="1" applyFont="1" applyBorder="1"/>
    <xf numFmtId="10" fontId="8" fillId="0" borderId="0" xfId="0" applyNumberFormat="1" applyFont="1"/>
    <xf numFmtId="10" fontId="10" fillId="0" borderId="3" xfId="0" applyNumberFormat="1" applyFont="1" applyBorder="1"/>
    <xf numFmtId="10" fontId="10" fillId="0" borderId="2" xfId="0" applyNumberFormat="1" applyFont="1" applyBorder="1"/>
    <xf numFmtId="169" fontId="9" fillId="5" borderId="0" xfId="0" applyNumberFormat="1" applyFont="1" applyFill="1"/>
    <xf numFmtId="169" fontId="10" fillId="5" borderId="0" xfId="0" applyNumberFormat="1" applyFont="1" applyFill="1"/>
    <xf numFmtId="169" fontId="9" fillId="6" borderId="0" xfId="0" applyNumberFormat="1" applyFont="1" applyFill="1"/>
    <xf numFmtId="0" fontId="0" fillId="0" borderId="0" xfId="0" applyAlignment="1">
      <alignment wrapText="1"/>
    </xf>
    <xf numFmtId="0" fontId="14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9" fillId="8" borderId="0" xfId="0" applyFont="1" applyFill="1"/>
    <xf numFmtId="0" fontId="10" fillId="9" borderId="0" xfId="0" applyFont="1" applyFill="1"/>
    <xf numFmtId="2" fontId="7" fillId="0" borderId="0" xfId="0" applyNumberFormat="1" applyFont="1"/>
    <xf numFmtId="2" fontId="7" fillId="8" borderId="0" xfId="0" applyNumberFormat="1" applyFont="1" applyFill="1"/>
    <xf numFmtId="3" fontId="7" fillId="0" borderId="0" xfId="0" applyNumberFormat="1" applyFont="1"/>
    <xf numFmtId="3" fontId="7" fillId="8" borderId="0" xfId="0" applyNumberFormat="1" applyFont="1" applyFill="1"/>
    <xf numFmtId="2" fontId="9" fillId="0" borderId="0" xfId="0" applyNumberFormat="1" applyFont="1"/>
    <xf numFmtId="2" fontId="9" fillId="8" borderId="0" xfId="0" applyNumberFormat="1" applyFont="1" applyFill="1"/>
    <xf numFmtId="10" fontId="7" fillId="0" borderId="0" xfId="0" applyNumberFormat="1" applyFont="1"/>
    <xf numFmtId="0" fontId="10" fillId="8" borderId="0" xfId="0" applyFont="1" applyFill="1" applyAlignment="1">
      <alignment horizontal="center"/>
    </xf>
    <xf numFmtId="164" fontId="9" fillId="8" borderId="0" xfId="0" applyNumberFormat="1" applyFont="1" applyFill="1"/>
    <xf numFmtId="164" fontId="10" fillId="8" borderId="1" xfId="0" applyNumberFormat="1" applyFont="1" applyFill="1" applyBorder="1"/>
    <xf numFmtId="164" fontId="10" fillId="8" borderId="0" xfId="0" applyNumberFormat="1" applyFont="1" applyFill="1"/>
    <xf numFmtId="165" fontId="9" fillId="8" borderId="0" xfId="0" applyNumberFormat="1" applyFont="1" applyFill="1"/>
    <xf numFmtId="165" fontId="10" fillId="8" borderId="1" xfId="0" applyNumberFormat="1" applyFont="1" applyFill="1" applyBorder="1"/>
    <xf numFmtId="165" fontId="10" fillId="8" borderId="0" xfId="0" applyNumberFormat="1" applyFont="1" applyFill="1"/>
    <xf numFmtId="166" fontId="10" fillId="8" borderId="0" xfId="0" applyNumberFormat="1" applyFont="1" applyFill="1"/>
    <xf numFmtId="17" fontId="10" fillId="8" borderId="2" xfId="0" applyNumberFormat="1" applyFont="1" applyFill="1" applyBorder="1" applyAlignment="1">
      <alignment horizontal="center" vertical="center"/>
    </xf>
    <xf numFmtId="167" fontId="8" fillId="8" borderId="0" xfId="0" applyNumberFormat="1" applyFont="1" applyFill="1"/>
    <xf numFmtId="167" fontId="13" fillId="8" borderId="3" xfId="0" applyNumberFormat="1" applyFont="1" applyFill="1" applyBorder="1"/>
    <xf numFmtId="167" fontId="13" fillId="8" borderId="2" xfId="0" applyNumberFormat="1" applyFont="1" applyFill="1" applyBorder="1"/>
    <xf numFmtId="0" fontId="8" fillId="8" borderId="0" xfId="0" applyFont="1" applyFill="1"/>
    <xf numFmtId="0" fontId="13" fillId="8" borderId="3" xfId="0" applyFont="1" applyFill="1" applyBorder="1"/>
    <xf numFmtId="168" fontId="8" fillId="8" borderId="0" xfId="0" applyNumberFormat="1" applyFont="1" applyFill="1"/>
    <xf numFmtId="168" fontId="13" fillId="8" borderId="2" xfId="0" applyNumberFormat="1" applyFont="1" applyFill="1" applyBorder="1"/>
    <xf numFmtId="168" fontId="13" fillId="8" borderId="3" xfId="0" applyNumberFormat="1" applyFont="1" applyFill="1" applyBorder="1"/>
    <xf numFmtId="10" fontId="8" fillId="8" borderId="0" xfId="0" applyNumberFormat="1" applyFont="1" applyFill="1"/>
    <xf numFmtId="10" fontId="13" fillId="8" borderId="2" xfId="0" applyNumberFormat="1" applyFont="1" applyFill="1" applyBorder="1"/>
    <xf numFmtId="10" fontId="13" fillId="8" borderId="3" xfId="0" applyNumberFormat="1" applyFont="1" applyFill="1" applyBorder="1"/>
    <xf numFmtId="0" fontId="15" fillId="0" borderId="0" xfId="0" applyFont="1"/>
    <xf numFmtId="164" fontId="0" fillId="0" borderId="0" xfId="0" applyNumberFormat="1"/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zoomScale="120" zoomScaleNormal="120" workbookViewId="0">
      <pane xSplit="1" ySplit="4" topLeftCell="E5" activePane="bottomRight" state="frozen"/>
      <selection pane="topRight"/>
      <selection pane="bottomLeft"/>
      <selection pane="bottomRight" activeCell="K21" sqref="J21:K21"/>
    </sheetView>
  </sheetViews>
  <sheetFormatPr baseColWidth="10" defaultColWidth="8.6640625" defaultRowHeight="15" x14ac:dyDescent="0.2"/>
  <cols>
    <col min="1" max="1" width="38" customWidth="1"/>
    <col min="2" max="15" width="13" customWidth="1"/>
  </cols>
  <sheetData>
    <row r="1" spans="1:15" ht="16" x14ac:dyDescent="0.2">
      <c r="A1" s="1" t="s">
        <v>0</v>
      </c>
    </row>
    <row r="2" spans="1:15" ht="27.75" customHeight="1" x14ac:dyDescent="0.2">
      <c r="A2" s="25" t="s">
        <v>53</v>
      </c>
    </row>
    <row r="4" spans="1:15" x14ac:dyDescent="0.2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56" t="s">
        <v>54</v>
      </c>
      <c r="M4" s="56" t="s">
        <v>55</v>
      </c>
      <c r="N4" s="56" t="s">
        <v>56</v>
      </c>
      <c r="O4" s="56" t="s">
        <v>57</v>
      </c>
    </row>
    <row r="5" spans="1:15" x14ac:dyDescent="0.2">
      <c r="A5" s="4" t="s">
        <v>12</v>
      </c>
    </row>
    <row r="6" spans="1:15" x14ac:dyDescent="0.2">
      <c r="A6" s="5" t="s">
        <v>13</v>
      </c>
      <c r="B6" s="6">
        <v>134669</v>
      </c>
      <c r="C6" s="6">
        <v>138762</v>
      </c>
      <c r="D6" s="6">
        <v>144053</v>
      </c>
      <c r="E6" s="6">
        <v>149112</v>
      </c>
      <c r="F6" s="6">
        <v>150049</v>
      </c>
      <c r="G6" s="6">
        <v>150866</v>
      </c>
      <c r="H6" s="6">
        <v>154160</v>
      </c>
      <c r="I6" s="6">
        <v>157360</v>
      </c>
      <c r="J6" s="6">
        <v>156408</v>
      </c>
      <c r="K6" s="6">
        <v>209693</v>
      </c>
      <c r="L6" s="57">
        <f>SUM('Monthly EOP Balance'!AF6:'Monthly EOP Balance'!AI6)/4</f>
        <v>243413.5817638101</v>
      </c>
      <c r="M6" s="57">
        <f>SUM('Monthly EOP Balance'!AI6:'Monthly EOP Balance'!AL6)/4</f>
        <v>243537.96156883516</v>
      </c>
      <c r="N6" s="57">
        <f>SUM('Monthly EOP Balance'!AL6:'Monthly EOP Balance'!AO6)/4</f>
        <v>243662.34137386022</v>
      </c>
      <c r="O6" s="57">
        <f>SUM('Monthly EOP Balance'!AO6:'Monthly EOP Balance'!AR6)/4</f>
        <v>243786.72117888532</v>
      </c>
    </row>
    <row r="7" spans="1:15" x14ac:dyDescent="0.2">
      <c r="A7" s="5" t="s">
        <v>14</v>
      </c>
      <c r="B7" s="6">
        <v>79000</v>
      </c>
      <c r="C7" s="6">
        <v>77699</v>
      </c>
      <c r="D7" s="6">
        <v>77154</v>
      </c>
      <c r="E7" s="6">
        <v>76224</v>
      </c>
      <c r="F7" s="6">
        <v>75091</v>
      </c>
      <c r="G7" s="6">
        <v>75386</v>
      </c>
      <c r="H7" s="6">
        <v>76182</v>
      </c>
      <c r="I7" s="6">
        <v>77231</v>
      </c>
      <c r="J7" s="6">
        <v>78480</v>
      </c>
      <c r="K7" s="6">
        <v>80095</v>
      </c>
      <c r="L7" s="57">
        <f>SUM('Monthly EOP Balance'!AF7:'Monthly EOP Balance'!AI7)/4</f>
        <v>92926.536248460397</v>
      </c>
      <c r="M7" s="57">
        <f>SUM('Monthly EOP Balance'!AI7:'Monthly EOP Balance'!AL7)/4</f>
        <v>92877.0776057568</v>
      </c>
      <c r="N7" s="57">
        <f>SUM('Monthly EOP Balance'!AL7:'Monthly EOP Balance'!AO7)/4</f>
        <v>92827.618963053203</v>
      </c>
      <c r="O7" s="57">
        <f>SUM('Monthly EOP Balance'!AO7:'Monthly EOP Balance'!AR7)/4</f>
        <v>92778.160320349605</v>
      </c>
    </row>
    <row r="8" spans="1:15" x14ac:dyDescent="0.2">
      <c r="A8" s="5" t="s">
        <v>15</v>
      </c>
      <c r="B8" s="6">
        <v>94446</v>
      </c>
      <c r="C8" s="6">
        <v>93874</v>
      </c>
      <c r="D8" s="6">
        <v>92254</v>
      </c>
      <c r="E8" s="6">
        <v>91385</v>
      </c>
      <c r="F8" s="6">
        <v>90423</v>
      </c>
      <c r="G8" s="6">
        <v>89571</v>
      </c>
      <c r="H8" s="6">
        <v>88373</v>
      </c>
      <c r="I8" s="6">
        <v>87672</v>
      </c>
      <c r="J8" s="6">
        <v>87884</v>
      </c>
      <c r="K8" s="6">
        <v>88749</v>
      </c>
      <c r="L8" s="57">
        <f>SUM('Monthly EOP Balance'!AF8:'Monthly EOP Balance'!AI8)/4</f>
        <v>103020.66338865094</v>
      </c>
      <c r="M8" s="57">
        <f>SUM('Monthly EOP Balance'!AI8:'Monthly EOP Balance'!AL8)/4</f>
        <v>103073.30502817236</v>
      </c>
      <c r="N8" s="57">
        <f>SUM('Monthly EOP Balance'!AL8:'Monthly EOP Balance'!AO8)/4</f>
        <v>103125.9466676938</v>
      </c>
      <c r="O8" s="57">
        <f>SUM('Monthly EOP Balance'!AO8:'Monthly EOP Balance'!AR8)/4</f>
        <v>103178.58830721526</v>
      </c>
    </row>
    <row r="9" spans="1:15" x14ac:dyDescent="0.2">
      <c r="A9" s="5" t="s">
        <v>16</v>
      </c>
      <c r="B9" s="6">
        <v>308115</v>
      </c>
      <c r="C9" s="6">
        <v>310335</v>
      </c>
      <c r="D9" s="6">
        <v>313461</v>
      </c>
      <c r="E9" s="6">
        <v>316721</v>
      </c>
      <c r="F9" s="6">
        <v>315563</v>
      </c>
      <c r="G9" s="6">
        <v>315823</v>
      </c>
      <c r="H9" s="6">
        <v>318715</v>
      </c>
      <c r="I9" s="6">
        <v>322263</v>
      </c>
      <c r="J9" s="6">
        <v>322772</v>
      </c>
      <c r="K9" s="6">
        <v>378537</v>
      </c>
      <c r="L9" s="57">
        <f>SUM('Monthly EOP Balance'!AF9:'Monthly EOP Balance'!AI9)/4</f>
        <v>439360.78140092141</v>
      </c>
      <c r="M9" s="57">
        <f>SUM('Monthly EOP Balance'!AI9:'Monthly EOP Balance'!AL9)/4</f>
        <v>439488.34420276433</v>
      </c>
      <c r="N9" s="57">
        <f>SUM('Monthly EOP Balance'!AL9:'Monthly EOP Balance'!AO9)/4</f>
        <v>439615.90700460726</v>
      </c>
      <c r="O9" s="57">
        <f>SUM('Monthly EOP Balance'!AO9:'Monthly EOP Balance'!AR9)/4</f>
        <v>439743.46980645019</v>
      </c>
    </row>
    <row r="10" spans="1:15" x14ac:dyDescent="0.2">
      <c r="A10" s="5" t="s">
        <v>17</v>
      </c>
      <c r="B10" s="6">
        <v>89960</v>
      </c>
      <c r="C10" s="6">
        <v>89994</v>
      </c>
      <c r="D10" s="6">
        <v>87845</v>
      </c>
      <c r="E10" s="6">
        <v>88643</v>
      </c>
      <c r="F10" s="6">
        <v>88581</v>
      </c>
      <c r="G10" s="6">
        <v>89501</v>
      </c>
      <c r="H10" s="6">
        <v>90644</v>
      </c>
      <c r="I10" s="6">
        <v>92260</v>
      </c>
      <c r="J10" s="6">
        <v>92659</v>
      </c>
      <c r="K10" s="6">
        <v>93024</v>
      </c>
      <c r="L10" s="57">
        <f>SUM('Monthly EOP Balance'!AF10:'Monthly EOP Balance'!AI10)/4</f>
        <v>87196</v>
      </c>
      <c r="M10" s="57">
        <f>SUM('Monthly EOP Balance'!AI10:'Monthly EOP Balance'!AL10)/4</f>
        <v>87196</v>
      </c>
      <c r="N10" s="57">
        <f>SUM('Monthly EOP Balance'!AL10:'Monthly EOP Balance'!AO10)/4</f>
        <v>87196</v>
      </c>
      <c r="O10" s="57">
        <f>SUM('Monthly EOP Balance'!AO10:'Monthly EOP Balance'!AR10)/4</f>
        <v>87196</v>
      </c>
    </row>
    <row r="11" spans="1:15" x14ac:dyDescent="0.2">
      <c r="A11" s="5" t="s">
        <v>18</v>
      </c>
      <c r="B11" s="6">
        <v>37124</v>
      </c>
      <c r="C11" s="6">
        <v>38810</v>
      </c>
      <c r="D11" s="6">
        <v>42226</v>
      </c>
      <c r="E11" s="6">
        <v>41625</v>
      </c>
      <c r="F11" s="6">
        <v>43659</v>
      </c>
      <c r="G11" s="6">
        <v>45584</v>
      </c>
      <c r="H11" s="6">
        <v>45125</v>
      </c>
      <c r="I11" s="6">
        <v>46167</v>
      </c>
      <c r="J11" s="6">
        <v>47340</v>
      </c>
      <c r="K11" s="6">
        <v>53368</v>
      </c>
      <c r="L11" s="57">
        <f>SUM('Monthly EOP Balance'!AF11:'Monthly EOP Balance'!AI11)/4</f>
        <v>61593.736625903912</v>
      </c>
      <c r="M11" s="57">
        <f>SUM('Monthly EOP Balance'!AI11:'Monthly EOP Balance'!AL11)/4</f>
        <v>61625.209877711721</v>
      </c>
      <c r="N11" s="57">
        <f>SUM('Monthly EOP Balance'!AL11:'Monthly EOP Balance'!AO11)/4</f>
        <v>61656.683129519544</v>
      </c>
      <c r="O11" s="57">
        <f>SUM('Monthly EOP Balance'!AO11:'Monthly EOP Balance'!AR11)/4</f>
        <v>61688.156381327375</v>
      </c>
    </row>
    <row r="12" spans="1:15" x14ac:dyDescent="0.2">
      <c r="A12" s="2" t="s">
        <v>19</v>
      </c>
      <c r="B12" s="7">
        <v>435199</v>
      </c>
      <c r="C12" s="7">
        <v>439139</v>
      </c>
      <c r="D12" s="7">
        <v>443532</v>
      </c>
      <c r="E12" s="7">
        <v>446989</v>
      </c>
      <c r="F12" s="7">
        <v>447803</v>
      </c>
      <c r="G12" s="7">
        <v>450908</v>
      </c>
      <c r="H12" s="7">
        <v>454484</v>
      </c>
      <c r="I12" s="7">
        <v>460690</v>
      </c>
      <c r="J12" s="7">
        <v>462771</v>
      </c>
      <c r="K12" s="7">
        <v>524929</v>
      </c>
      <c r="L12" s="58">
        <f>SUM('Monthly EOP Balance'!AF12:'Monthly EOP Balance'!AI12)/4</f>
        <v>588150.51802682527</v>
      </c>
      <c r="M12" s="58">
        <f>SUM('Monthly EOP Balance'!AI12:'Monthly EOP Balance'!AL12)/4</f>
        <v>588309.55408047605</v>
      </c>
      <c r="N12" s="58">
        <f>SUM('Monthly EOP Balance'!AL12:'Monthly EOP Balance'!AO12)/4</f>
        <v>588468.59013412683</v>
      </c>
      <c r="O12" s="58">
        <f>SUM('Monthly EOP Balance'!AO12:'Monthly EOP Balance'!AR12)/4</f>
        <v>588627.62618777761</v>
      </c>
    </row>
    <row r="13" spans="1:15" x14ac:dyDescent="0.2">
      <c r="L13" s="47"/>
      <c r="M13" s="47"/>
      <c r="N13" s="47"/>
      <c r="O13" s="47"/>
    </row>
    <row r="14" spans="1:15" x14ac:dyDescent="0.2">
      <c r="A14" s="4" t="s">
        <v>20</v>
      </c>
      <c r="L14" s="47"/>
      <c r="M14" s="47"/>
      <c r="N14" s="47"/>
      <c r="O14" s="47"/>
    </row>
    <row r="15" spans="1:15" x14ac:dyDescent="0.2">
      <c r="A15" s="5" t="s">
        <v>21</v>
      </c>
      <c r="B15" s="6">
        <v>308788</v>
      </c>
      <c r="C15" s="6">
        <v>313207</v>
      </c>
      <c r="D15" s="6">
        <v>316032</v>
      </c>
      <c r="E15" s="6">
        <v>316842</v>
      </c>
      <c r="F15" s="6">
        <v>318450</v>
      </c>
      <c r="G15" s="6">
        <v>322581</v>
      </c>
      <c r="H15" s="6">
        <v>324509</v>
      </c>
      <c r="I15" s="6">
        <v>331620</v>
      </c>
      <c r="J15" s="6">
        <v>337840</v>
      </c>
      <c r="K15" s="6">
        <v>387139</v>
      </c>
      <c r="L15" s="57">
        <f>SUM('Monthly EOP Balance'!AF15:'Monthly EOP Balance'!AI15)/4</f>
        <v>440343.50366296899</v>
      </c>
      <c r="M15" s="57">
        <f>SUM('Monthly EOP Balance'!AI15:'Monthly EOP Balance'!AL15)/4</f>
        <v>440568.51098890696</v>
      </c>
      <c r="N15" s="57">
        <f>SUM('Monthly EOP Balance'!AL15:'Monthly EOP Balance'!AO15)/4</f>
        <v>440793.51831484493</v>
      </c>
      <c r="O15" s="57">
        <f>SUM('Monthly EOP Balance'!AO15:'Monthly EOP Balance'!AR15)/4</f>
        <v>441018.5256407829</v>
      </c>
    </row>
    <row r="16" spans="1:15" x14ac:dyDescent="0.2">
      <c r="A16" s="5" t="s">
        <v>22</v>
      </c>
      <c r="B16" s="6">
        <v>17251</v>
      </c>
      <c r="C16" s="6">
        <v>17771</v>
      </c>
      <c r="D16" s="6">
        <v>17649</v>
      </c>
      <c r="E16" s="6">
        <v>18026</v>
      </c>
      <c r="F16" s="6">
        <v>17836</v>
      </c>
      <c r="G16" s="6">
        <v>17452</v>
      </c>
      <c r="H16" s="6">
        <v>15833</v>
      </c>
      <c r="I16" s="6">
        <v>14920</v>
      </c>
      <c r="J16" s="6">
        <v>13731</v>
      </c>
      <c r="K16" s="6">
        <v>13043</v>
      </c>
      <c r="L16" s="57">
        <f>SUM('Monthly EOP Balance'!AF16:'Monthly EOP Balance'!AI16)/4</f>
        <v>14639.710475104041</v>
      </c>
      <c r="M16" s="57">
        <f>SUM('Monthly EOP Balance'!AI16:'Monthly EOP Balance'!AL16)/4</f>
        <v>14421.210966299304</v>
      </c>
      <c r="N16" s="57">
        <f>SUM('Monthly EOP Balance'!AL16:'Monthly EOP Balance'!AO16)/4</f>
        <v>14205.972589975918</v>
      </c>
      <c r="O16" s="57">
        <f>SUM('Monthly EOP Balance'!AO16:'Monthly EOP Balance'!AR16)/4</f>
        <v>13993.946673323953</v>
      </c>
    </row>
    <row r="17" spans="1:15" x14ac:dyDescent="0.2">
      <c r="A17" s="5" t="s">
        <v>23</v>
      </c>
      <c r="B17" s="6">
        <v>30136</v>
      </c>
      <c r="C17" s="6">
        <v>30161</v>
      </c>
      <c r="D17" s="6">
        <v>31522</v>
      </c>
      <c r="E17" s="6">
        <v>32603</v>
      </c>
      <c r="F17" s="6">
        <v>32211</v>
      </c>
      <c r="G17" s="6">
        <v>30978</v>
      </c>
      <c r="H17" s="6">
        <v>32041</v>
      </c>
      <c r="I17" s="6">
        <v>30884</v>
      </c>
      <c r="J17" s="6">
        <v>30331</v>
      </c>
      <c r="K17" s="6">
        <v>32872</v>
      </c>
      <c r="L17" s="57">
        <f>SUM('Monthly EOP Balance'!AF17:'Monthly EOP Balance'!AI17)/4</f>
        <v>37174.033061091148</v>
      </c>
      <c r="M17" s="57">
        <f>SUM('Monthly EOP Balance'!AI17:'Monthly EOP Balance'!AL17)/4</f>
        <v>37174.033061091148</v>
      </c>
      <c r="N17" s="57">
        <f>SUM('Monthly EOP Balance'!AL17:'Monthly EOP Balance'!AO17)/4</f>
        <v>37174.033061091148</v>
      </c>
      <c r="O17" s="57">
        <f>SUM('Monthly EOP Balance'!AO17:'Monthly EOP Balance'!AR17)/4</f>
        <v>37174.033061091148</v>
      </c>
    </row>
    <row r="18" spans="1:15" x14ac:dyDescent="0.2">
      <c r="A18" s="5" t="s">
        <v>24</v>
      </c>
      <c r="B18" s="6">
        <v>2335</v>
      </c>
      <c r="C18" s="6">
        <v>2419</v>
      </c>
      <c r="D18" s="6">
        <v>2473</v>
      </c>
      <c r="E18" s="6">
        <v>2346</v>
      </c>
      <c r="F18" s="6">
        <v>2373</v>
      </c>
      <c r="G18" s="6">
        <v>2502</v>
      </c>
      <c r="H18" s="6">
        <v>2389</v>
      </c>
      <c r="I18" s="6">
        <v>2430</v>
      </c>
      <c r="J18" s="6">
        <v>2312</v>
      </c>
      <c r="K18" s="6">
        <v>2872</v>
      </c>
      <c r="L18" s="57">
        <f>SUM('Monthly EOP Balance'!AF18:'Monthly EOP Balance'!AI18)/4</f>
        <v>1302</v>
      </c>
      <c r="M18" s="57">
        <f>SUM('Monthly EOP Balance'!AI18:'Monthly EOP Balance'!AL18)/4</f>
        <v>1302</v>
      </c>
      <c r="N18" s="57">
        <f>SUM('Monthly EOP Balance'!AL18:'Monthly EOP Balance'!AO18)/4</f>
        <v>1302</v>
      </c>
      <c r="O18" s="57">
        <f>SUM('Monthly EOP Balance'!AO18:'Monthly EOP Balance'!AR18)/4</f>
        <v>1302</v>
      </c>
    </row>
    <row r="19" spans="1:15" x14ac:dyDescent="0.2">
      <c r="A19" s="2" t="s">
        <v>25</v>
      </c>
      <c r="B19" s="7">
        <v>358510</v>
      </c>
      <c r="C19" s="7">
        <v>363558</v>
      </c>
      <c r="D19" s="7">
        <v>367676</v>
      </c>
      <c r="E19" s="7">
        <v>369817</v>
      </c>
      <c r="F19" s="7">
        <v>370870</v>
      </c>
      <c r="G19" s="7">
        <v>373513</v>
      </c>
      <c r="H19" s="7">
        <v>374772</v>
      </c>
      <c r="I19" s="7">
        <v>379854</v>
      </c>
      <c r="J19" s="7">
        <v>384214</v>
      </c>
      <c r="K19" s="7">
        <v>435926</v>
      </c>
      <c r="L19" s="58">
        <f>SUM('Monthly EOP Balance'!AF19:'Monthly EOP Balance'!AI19)/4</f>
        <v>493459.24719916412</v>
      </c>
      <c r="M19" s="58">
        <f>SUM('Monthly EOP Balance'!AI19:'Monthly EOP Balance'!AL19)/4</f>
        <v>493465.75501629733</v>
      </c>
      <c r="N19" s="58">
        <f>SUM('Monthly EOP Balance'!AL19:'Monthly EOP Balance'!AO19)/4</f>
        <v>493475.52396591194</v>
      </c>
      <c r="O19" s="58">
        <f>SUM('Monthly EOP Balance'!AO19:'Monthly EOP Balance'!AR19)/4</f>
        <v>493488.50537519797</v>
      </c>
    </row>
    <row r="20" spans="1:15" x14ac:dyDescent="0.2">
      <c r="L20" s="47"/>
      <c r="M20" s="47"/>
      <c r="N20" s="47"/>
      <c r="O20" s="47"/>
    </row>
    <row r="21" spans="1:15" x14ac:dyDescent="0.2">
      <c r="A21" s="2" t="s">
        <v>26</v>
      </c>
      <c r="B21" s="8">
        <f t="shared" ref="B21:K21" si="0">B12-B19</f>
        <v>76689</v>
      </c>
      <c r="C21" s="8">
        <f t="shared" si="0"/>
        <v>75581</v>
      </c>
      <c r="D21" s="8">
        <f t="shared" si="0"/>
        <v>75856</v>
      </c>
      <c r="E21" s="8">
        <f t="shared" si="0"/>
        <v>77172</v>
      </c>
      <c r="F21" s="8">
        <f t="shared" si="0"/>
        <v>76933</v>
      </c>
      <c r="G21" s="8">
        <f t="shared" si="0"/>
        <v>77395</v>
      </c>
      <c r="H21" s="8">
        <f t="shared" si="0"/>
        <v>79712</v>
      </c>
      <c r="I21" s="8">
        <f t="shared" si="0"/>
        <v>80836</v>
      </c>
      <c r="J21" s="8">
        <f t="shared" si="0"/>
        <v>78557</v>
      </c>
      <c r="K21" s="8">
        <f t="shared" si="0"/>
        <v>89003</v>
      </c>
      <c r="L21" s="59">
        <f>SUM('Monthly EOP Balance'!AF21:'Monthly EOP Balance'!AI21)/4</f>
        <v>94691.270827661196</v>
      </c>
      <c r="M21" s="59">
        <f>SUM('Monthly EOP Balance'!AI21:'Monthly EOP Balance'!AL21)/4</f>
        <v>94843.799064178733</v>
      </c>
      <c r="N21" s="59">
        <f>SUM('Monthly EOP Balance'!AL21:'Monthly EOP Balance'!AO21)/4</f>
        <v>94993.06616821482</v>
      </c>
      <c r="O21" s="59">
        <f>SUM('Monthly EOP Balance'!AO21:'Monthly EOP Balance'!AR21)/4</f>
        <v>95139.120812579553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6640625" defaultRowHeight="15" x14ac:dyDescent="0.2"/>
  <cols>
    <col min="1" max="1" width="38" customWidth="1"/>
    <col min="2" max="15" width="13" customWidth="1"/>
  </cols>
  <sheetData>
    <row r="1" spans="1:15" ht="16" x14ac:dyDescent="0.2">
      <c r="A1" s="1" t="s">
        <v>27</v>
      </c>
    </row>
    <row r="2" spans="1:15" ht="27.75" customHeight="1" x14ac:dyDescent="0.2">
      <c r="A2" s="25" t="s">
        <v>58</v>
      </c>
    </row>
    <row r="4" spans="1:15" x14ac:dyDescent="0.2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56" t="s">
        <v>54</v>
      </c>
      <c r="M4" s="56" t="s">
        <v>55</v>
      </c>
      <c r="N4" s="56" t="s">
        <v>56</v>
      </c>
      <c r="O4" s="56" t="s">
        <v>57</v>
      </c>
    </row>
    <row r="5" spans="1:15" x14ac:dyDescent="0.2">
      <c r="A5" s="4" t="s">
        <v>12</v>
      </c>
    </row>
    <row r="6" spans="1:15" x14ac:dyDescent="0.2">
      <c r="A6" s="5" t="s">
        <v>13</v>
      </c>
      <c r="B6" s="9">
        <v>0.17979999999999999</v>
      </c>
      <c r="C6" s="9">
        <v>0.1817</v>
      </c>
      <c r="D6" s="9">
        <v>0.19020000000000001</v>
      </c>
      <c r="E6" s="9">
        <v>0.18940000000000001</v>
      </c>
      <c r="F6" s="9">
        <v>0.18840000000000001</v>
      </c>
      <c r="G6" s="9">
        <v>0.18790000000000001</v>
      </c>
      <c r="H6" s="9">
        <v>0.1966</v>
      </c>
      <c r="I6" s="9">
        <v>0.1905</v>
      </c>
      <c r="J6" s="9">
        <v>0.18540000000000001</v>
      </c>
      <c r="K6" s="9">
        <v>0.1794</v>
      </c>
      <c r="L6" s="60">
        <f>IF(Balance!L6=0,"",'Net Interest Income'!L6*4/Balance!L6)</f>
        <v>0.17615903635941244</v>
      </c>
      <c r="M6" s="60">
        <f>IF(Balance!M6=0,"",'Net Interest Income'!M6*4/Balance!M6)</f>
        <v>0.1752840363847844</v>
      </c>
      <c r="N6" s="60">
        <f>IF(Balance!N6=0,"",'Net Interest Income'!N6*4/Balance!N6)</f>
        <v>0.17440903641013047</v>
      </c>
      <c r="O6" s="60">
        <f>IF(Balance!O6=0,"",'Net Interest Income'!O6*4/Balance!O6)</f>
        <v>0.17353403643545065</v>
      </c>
    </row>
    <row r="7" spans="1:15" x14ac:dyDescent="0.2">
      <c r="A7" s="5" t="s">
        <v>14</v>
      </c>
      <c r="B7" s="9">
        <v>7.3999999999999996E-2</v>
      </c>
      <c r="C7" s="9">
        <v>7.6499999999999999E-2</v>
      </c>
      <c r="D7" s="9">
        <v>7.9699999999999993E-2</v>
      </c>
      <c r="E7" s="9">
        <v>8.1699999999999995E-2</v>
      </c>
      <c r="F7" s="9">
        <v>8.3299999999999999E-2</v>
      </c>
      <c r="G7" s="9">
        <v>8.5400000000000004E-2</v>
      </c>
      <c r="H7" s="9">
        <v>8.8800000000000004E-2</v>
      </c>
      <c r="I7" s="9">
        <v>9.0399999999999994E-2</v>
      </c>
      <c r="J7" s="9">
        <v>9.0300000000000005E-2</v>
      </c>
      <c r="K7" s="9">
        <v>9.2999999999999999E-2</v>
      </c>
      <c r="L7" s="60">
        <f>IF(Balance!L7=0,"",'Net Interest Income'!L7*4/Balance!L7)</f>
        <v>9.5173114941815171E-2</v>
      </c>
      <c r="M7" s="60">
        <f>IF(Balance!M7=0,"",'Net Interest Income'!M7*4/Balance!M7)</f>
        <v>9.5123114942864878E-2</v>
      </c>
      <c r="N7" s="60">
        <f>IF(Balance!N7=0,"",'Net Interest Income'!N7*4/Balance!N7)</f>
        <v>9.5073114943915724E-2</v>
      </c>
      <c r="O7" s="60">
        <f>IF(Balance!O7=0,"",'Net Interest Income'!O7*4/Balance!O7)</f>
        <v>9.5023114944967665E-2</v>
      </c>
    </row>
    <row r="8" spans="1:15" x14ac:dyDescent="0.2">
      <c r="A8" s="5" t="s">
        <v>15</v>
      </c>
      <c r="B8" s="9">
        <v>6.3E-2</v>
      </c>
      <c r="C8" s="9">
        <v>6.7400000000000002E-2</v>
      </c>
      <c r="D8" s="9">
        <v>7.1199999999999999E-2</v>
      </c>
      <c r="E8" s="9">
        <v>7.2400000000000006E-2</v>
      </c>
      <c r="F8" s="9">
        <v>7.1300000000000002E-2</v>
      </c>
      <c r="G8" s="9">
        <v>7.22E-2</v>
      </c>
      <c r="H8" s="9">
        <v>7.2400000000000006E-2</v>
      </c>
      <c r="I8" s="9">
        <v>6.7199999999999996E-2</v>
      </c>
      <c r="J8" s="9">
        <v>6.2899999999999998E-2</v>
      </c>
      <c r="K8" s="9">
        <v>6.4000000000000001E-2</v>
      </c>
      <c r="L8" s="60">
        <f>IF(Balance!L8=0,"",'Net Interest Income'!L8*4/Balance!L8)</f>
        <v>6.5225042095155519E-2</v>
      </c>
      <c r="M8" s="60">
        <f>IF(Balance!M8=0,"",'Net Interest Income'!M8*4/Balance!M8)</f>
        <v>6.4475042109653782E-2</v>
      </c>
      <c r="N8" s="60">
        <f>IF(Balance!N8=0,"",'Net Interest Income'!N8*4/Balance!N8)</f>
        <v>6.3725042124137238E-2</v>
      </c>
      <c r="O8" s="60">
        <f>IF(Balance!O8=0,"",'Net Interest Income'!O8*4/Balance!O8)</f>
        <v>6.2975042138605886E-2</v>
      </c>
    </row>
    <row r="9" spans="1:15" x14ac:dyDescent="0.2">
      <c r="A9" s="5" t="s">
        <v>16</v>
      </c>
      <c r="B9" s="9">
        <v>0.1132</v>
      </c>
      <c r="C9" s="9">
        <v>0.1167</v>
      </c>
      <c r="D9" s="9">
        <v>0.1237</v>
      </c>
      <c r="E9" s="9">
        <v>0.1255</v>
      </c>
      <c r="F9" s="9">
        <v>0.12570000000000001</v>
      </c>
      <c r="G9" s="9">
        <v>0.12659999999999999</v>
      </c>
      <c r="H9" s="9">
        <v>0.13239999999999999</v>
      </c>
      <c r="I9" s="9">
        <v>0.1295</v>
      </c>
      <c r="J9" s="9">
        <v>0.12590000000000001</v>
      </c>
      <c r="K9" s="9">
        <v>0.13150000000000001</v>
      </c>
      <c r="L9" s="60">
        <f>IF(Balance!L9=0,"",'Net Interest Income'!L9*4/Balance!L9)</f>
        <v>0.1330185567215908</v>
      </c>
      <c r="M9" s="60">
        <f>IF(Balance!M9=0,"",'Net Interest Income'!M9*4/Balance!M9)</f>
        <v>0.13235556823002642</v>
      </c>
      <c r="N9" s="60">
        <f>IF(Balance!N9=0,"",'Net Interest Income'!N9*4/Balance!N9)</f>
        <v>0.13169230100442925</v>
      </c>
      <c r="O9" s="60">
        <f>IF(Balance!O9=0,"",'Net Interest Income'!O9*4/Balance!O9)</f>
        <v>0.13102875528736854</v>
      </c>
    </row>
    <row r="10" spans="1:15" x14ac:dyDescent="0.2">
      <c r="A10" s="5" t="s">
        <v>17</v>
      </c>
      <c r="B10" s="9">
        <v>2.7300000000000001E-2</v>
      </c>
      <c r="C10" s="9">
        <v>2.8400000000000002E-2</v>
      </c>
      <c r="D10" s="9">
        <v>2.86E-2</v>
      </c>
      <c r="E10" s="9">
        <v>3.0200000000000001E-2</v>
      </c>
      <c r="F10" s="9">
        <v>3.1E-2</v>
      </c>
      <c r="G10" s="9">
        <v>3.1300000000000001E-2</v>
      </c>
      <c r="H10" s="9">
        <v>3.2399999999999998E-2</v>
      </c>
      <c r="I10" s="9">
        <v>3.2599999999999997E-2</v>
      </c>
      <c r="J10" s="9">
        <v>3.32E-2</v>
      </c>
      <c r="K10" s="9">
        <v>3.3700000000000001E-2</v>
      </c>
      <c r="L10" s="60">
        <f>IF(Balance!L10=0,"",'Net Interest Income'!L10*4/Balance!L10)</f>
        <v>3.1892017938159455E-2</v>
      </c>
      <c r="M10" s="60">
        <f>IF(Balance!M10=0,"",'Net Interest Income'!M10*4/Balance!M10)</f>
        <v>3.0442017938159451E-2</v>
      </c>
      <c r="N10" s="60">
        <f>IF(Balance!N10=0,"",'Net Interest Income'!N10*4/Balance!N10)</f>
        <v>2.8992017938159455E-2</v>
      </c>
      <c r="O10" s="60">
        <f>IF(Balance!O10=0,"",'Net Interest Income'!O10*4/Balance!O10)</f>
        <v>2.7542017938159455E-2</v>
      </c>
    </row>
    <row r="11" spans="1:15" x14ac:dyDescent="0.2">
      <c r="A11" s="5" t="s">
        <v>18</v>
      </c>
      <c r="B11" s="9">
        <v>4.4900000000000002E-2</v>
      </c>
      <c r="C11" s="9">
        <v>4.8399999999999999E-2</v>
      </c>
      <c r="D11" s="9">
        <v>5.21E-2</v>
      </c>
      <c r="E11" s="9">
        <v>5.21E-2</v>
      </c>
      <c r="F11" s="9">
        <v>5.21E-2</v>
      </c>
      <c r="G11" s="9">
        <v>5.16E-2</v>
      </c>
      <c r="H11" s="9">
        <v>5.1400000000000001E-2</v>
      </c>
      <c r="I11" s="9">
        <v>4.5900000000000003E-2</v>
      </c>
      <c r="J11" s="9">
        <v>4.1399999999999999E-2</v>
      </c>
      <c r="K11" s="9">
        <v>4.4600000000000001E-2</v>
      </c>
      <c r="L11" s="60">
        <f>IF(Balance!L11=0,"",'Net Interest Income'!L11*4/Balance!L11)</f>
        <v>4.4632572330854429E-2</v>
      </c>
      <c r="M11" s="60">
        <f>IF(Balance!M11=0,"",'Net Interest Income'!M11*4/Balance!M11)</f>
        <v>4.3882572345352679E-2</v>
      </c>
      <c r="N11" s="60">
        <f>IF(Balance!N11=0,"",'Net Interest Income'!N11*4/Balance!N11)</f>
        <v>4.313257235983612E-2</v>
      </c>
      <c r="O11" s="60">
        <f>IF(Balance!O11=0,"",'Net Interest Income'!O11*4/Balance!O11)</f>
        <v>4.2382572374304782E-2</v>
      </c>
    </row>
    <row r="12" spans="1:15" x14ac:dyDescent="0.2">
      <c r="A12" s="2" t="s">
        <v>19</v>
      </c>
      <c r="B12" s="10">
        <v>8.9599999999999999E-2</v>
      </c>
      <c r="C12" s="10">
        <v>9.2600000000000002E-2</v>
      </c>
      <c r="D12" s="10">
        <v>9.8100000000000007E-2</v>
      </c>
      <c r="E12" s="10">
        <v>9.9699999999999997E-2</v>
      </c>
      <c r="F12" s="10">
        <v>9.98E-2</v>
      </c>
      <c r="G12" s="10">
        <v>0.10009999999999999</v>
      </c>
      <c r="H12" s="10">
        <v>0.10440000000000001</v>
      </c>
      <c r="I12" s="10">
        <v>0.1017</v>
      </c>
      <c r="J12" s="10">
        <v>9.8699999999999996E-2</v>
      </c>
      <c r="K12" s="10">
        <v>0.10539999999999999</v>
      </c>
      <c r="L12" s="61">
        <f>IF(Balance!L12=0,"",'Net Interest Income'!L12*4/Balance!L12)</f>
        <v>0.10876991239906066</v>
      </c>
      <c r="M12" s="61">
        <f>IF(Balance!M12=0,"",'Net Interest Income'!M12*4/Balance!M12)</f>
        <v>0.10798298959059952</v>
      </c>
      <c r="N12" s="61">
        <f>IF(Balance!N12=0,"",'Net Interest Income'!N12*4/Balance!N12)</f>
        <v>0.10719591623385592</v>
      </c>
      <c r="O12" s="61">
        <f>IF(Balance!O12=0,"",'Net Interest Income'!O12*4/Balance!O12)</f>
        <v>0.10640869245085571</v>
      </c>
    </row>
    <row r="13" spans="1:15" x14ac:dyDescent="0.2">
      <c r="L13" s="47"/>
      <c r="M13" s="47"/>
      <c r="N13" s="47"/>
      <c r="O13" s="47"/>
    </row>
    <row r="14" spans="1:15" x14ac:dyDescent="0.2">
      <c r="A14" s="4" t="s">
        <v>20</v>
      </c>
      <c r="L14" s="47"/>
      <c r="M14" s="47"/>
      <c r="N14" s="47"/>
      <c r="O14" s="47"/>
    </row>
    <row r="15" spans="1:15" x14ac:dyDescent="0.2">
      <c r="A15" s="5" t="s">
        <v>21</v>
      </c>
      <c r="B15" s="9">
        <v>2.4E-2</v>
      </c>
      <c r="C15" s="9">
        <v>2.9100000000000001E-2</v>
      </c>
      <c r="D15" s="9">
        <v>3.3000000000000002E-2</v>
      </c>
      <c r="E15" s="9">
        <v>3.4700000000000002E-2</v>
      </c>
      <c r="F15" s="9">
        <v>3.5299999999999998E-2</v>
      </c>
      <c r="G15" s="9">
        <v>3.56E-2</v>
      </c>
      <c r="H15" s="9">
        <v>3.6299999999999999E-2</v>
      </c>
      <c r="I15" s="9">
        <v>3.4500000000000003E-2</v>
      </c>
      <c r="J15" s="9">
        <v>3.2199999999999999E-2</v>
      </c>
      <c r="K15" s="9">
        <v>3.2199999999999999E-2</v>
      </c>
      <c r="L15" s="60">
        <f>IF(Balance!L15=0,"",'Net Interest Income'!L15*4/Balance!L15)</f>
        <v>3.1959386187417255E-2</v>
      </c>
      <c r="M15" s="60">
        <f>IF(Balance!M15=0,"",'Net Interest Income'!M15*4/Balance!M15)</f>
        <v>3.1399349853878995E-2</v>
      </c>
      <c r="N15" s="60">
        <f>IF(Balance!N15=0,"",'Net Interest Income'!N15*4/Balance!N15)</f>
        <v>3.0839313520329686E-2</v>
      </c>
      <c r="O15" s="60">
        <f>IF(Balance!O15=0,"",'Net Interest Income'!O15*4/Balance!O15)</f>
        <v>3.0279277186769336E-2</v>
      </c>
    </row>
    <row r="16" spans="1:15" x14ac:dyDescent="0.2">
      <c r="A16" s="5" t="s">
        <v>22</v>
      </c>
      <c r="B16" s="9">
        <v>4.9000000000000002E-2</v>
      </c>
      <c r="C16" s="9">
        <v>5.3100000000000001E-2</v>
      </c>
      <c r="D16" s="9">
        <v>5.6300000000000003E-2</v>
      </c>
      <c r="E16" s="9">
        <v>5.8400000000000001E-2</v>
      </c>
      <c r="F16" s="9">
        <v>5.8500000000000003E-2</v>
      </c>
      <c r="G16" s="9">
        <v>5.91E-2</v>
      </c>
      <c r="H16" s="9">
        <v>5.9299999999999999E-2</v>
      </c>
      <c r="I16" s="9">
        <v>5.5E-2</v>
      </c>
      <c r="J16" s="9">
        <v>5.11E-2</v>
      </c>
      <c r="K16" s="9">
        <v>5.0599999999999999E-2</v>
      </c>
      <c r="L16" s="60">
        <f>IF(Balance!L16=0,"",'Net Interest Income'!L16*4/Balance!L16)</f>
        <v>5.0314841169740887E-2</v>
      </c>
      <c r="M16" s="60">
        <f>IF(Balance!M16=0,"",'Net Interest Income'!M16*4/Balance!M16)</f>
        <v>4.8864847241691406E-2</v>
      </c>
      <c r="N16" s="60">
        <f>IF(Balance!N16=0,"",'Net Interest Income'!N16*4/Balance!N16)</f>
        <v>4.7414853313641918E-2</v>
      </c>
      <c r="O16" s="60">
        <f>IF(Balance!O16=0,"",'Net Interest Income'!O16*4/Balance!O16)</f>
        <v>4.5964859385592444E-2</v>
      </c>
    </row>
    <row r="17" spans="1:15" x14ac:dyDescent="0.2">
      <c r="A17" s="5" t="s">
        <v>23</v>
      </c>
      <c r="B17" s="9">
        <v>6.4899999999999999E-2</v>
      </c>
      <c r="C17" s="9">
        <v>7.0000000000000007E-2</v>
      </c>
      <c r="D17" s="9">
        <v>7.3599999999999999E-2</v>
      </c>
      <c r="E17" s="9">
        <v>7.46E-2</v>
      </c>
      <c r="F17" s="9">
        <v>7.5200000000000003E-2</v>
      </c>
      <c r="G17" s="9">
        <v>7.6399999999999996E-2</v>
      </c>
      <c r="H17" s="9">
        <v>7.4300000000000005E-2</v>
      </c>
      <c r="I17" s="9">
        <v>6.9900000000000004E-2</v>
      </c>
      <c r="J17" s="9">
        <v>6.6600000000000006E-2</v>
      </c>
      <c r="K17" s="9">
        <v>6.5100000000000005E-2</v>
      </c>
      <c r="L17" s="60">
        <f>IF(Balance!L17=0,"",'Net Interest Income'!L17*4/Balance!L17)</f>
        <v>6.4401724353798748E-2</v>
      </c>
      <c r="M17" s="60">
        <f>IF(Balance!M17=0,"",'Net Interest Income'!M17*4/Balance!M17)</f>
        <v>6.3456224353798732E-2</v>
      </c>
      <c r="N17" s="60">
        <f>IF(Balance!N17=0,"",'Net Interest Income'!N17*4/Balance!N17)</f>
        <v>6.251072435379873E-2</v>
      </c>
      <c r="O17" s="60">
        <f>IF(Balance!O17=0,"",'Net Interest Income'!O17*4/Balance!O17)</f>
        <v>6.1565224353798735E-2</v>
      </c>
    </row>
    <row r="18" spans="1:15" x14ac:dyDescent="0.2">
      <c r="A18" s="5" t="s">
        <v>24</v>
      </c>
      <c r="B18" s="9">
        <v>2.0799999999999999E-2</v>
      </c>
      <c r="C18" s="9">
        <v>1.95E-2</v>
      </c>
      <c r="D18" s="9">
        <v>1.7899999999999999E-2</v>
      </c>
      <c r="E18" s="9">
        <v>1.7100000000000001E-2</v>
      </c>
      <c r="F18" s="9">
        <v>1.78E-2</v>
      </c>
      <c r="G18" s="9">
        <v>1.7299999999999999E-2</v>
      </c>
      <c r="H18" s="9">
        <v>1.4999999999999999E-2</v>
      </c>
      <c r="I18" s="9">
        <v>1.9800000000000002E-2</v>
      </c>
      <c r="J18" s="9">
        <v>1.5699999999999999E-2</v>
      </c>
      <c r="K18" s="9">
        <v>1.8499999999999999E-2</v>
      </c>
      <c r="L18" s="60">
        <f>IF(Balance!L18=0,"",'Net Interest Income'!L18*4/Balance!L18)</f>
        <v>1.5442304042512806E-2</v>
      </c>
      <c r="M18" s="60">
        <f>IF(Balance!M18=0,"",'Net Interest Income'!M18*4/Balance!M18)</f>
        <v>1.4692304042512792E-2</v>
      </c>
      <c r="N18" s="60">
        <f>IF(Balance!N18=0,"",'Net Interest Income'!N18*4/Balance!N18)</f>
        <v>1.3942304042512786E-2</v>
      </c>
      <c r="O18" s="60">
        <f>IF(Balance!O18=0,"",'Net Interest Income'!O18*4/Balance!O18)</f>
        <v>1.3192304042512776E-2</v>
      </c>
    </row>
    <row r="19" spans="1:15" x14ac:dyDescent="0.2">
      <c r="A19" s="2" t="s">
        <v>25</v>
      </c>
      <c r="B19" s="10">
        <v>2.87E-2</v>
      </c>
      <c r="C19" s="10">
        <v>3.3599999999999998E-2</v>
      </c>
      <c r="D19" s="10">
        <v>3.7499999999999999E-2</v>
      </c>
      <c r="E19" s="10">
        <v>3.9199999999999999E-2</v>
      </c>
      <c r="F19" s="10">
        <v>3.9800000000000002E-2</v>
      </c>
      <c r="G19" s="10">
        <v>0.04</v>
      </c>
      <c r="H19" s="10">
        <v>4.0399999999999998E-2</v>
      </c>
      <c r="I19" s="10">
        <v>3.8100000000000002E-2</v>
      </c>
      <c r="J19" s="10">
        <v>3.5400000000000001E-2</v>
      </c>
      <c r="K19" s="10">
        <v>3.5200000000000002E-2</v>
      </c>
      <c r="L19" s="61">
        <f>IF(Balance!L19=0,"",'Net Interest Income'!L19*4/Balance!L19)</f>
        <v>3.4904362627623656E-2</v>
      </c>
      <c r="M19" s="61">
        <f>IF(Balance!M19=0,"",'Net Interest Income'!M19*4/Balance!M19)</f>
        <v>3.4280612326211858E-2</v>
      </c>
      <c r="N19" s="61">
        <f>IF(Balance!N19=0,"",'Net Interest Income'!N19*4/Balance!N19)</f>
        <v>3.3657742730080299E-2</v>
      </c>
      <c r="O19" s="61">
        <f>IF(Balance!O19=0,"",'Net Interest Income'!O19*4/Balance!O19)</f>
        <v>3.303573611400825E-2</v>
      </c>
    </row>
    <row r="20" spans="1:15" x14ac:dyDescent="0.2">
      <c r="L20" s="47"/>
      <c r="M20" s="47"/>
      <c r="N20" s="47"/>
      <c r="O20" s="47"/>
    </row>
    <row r="21" spans="1:15" x14ac:dyDescent="0.2">
      <c r="A21" s="2" t="s">
        <v>28</v>
      </c>
      <c r="B21" s="11">
        <f t="shared" ref="B21:O21" si="0">B12-B19</f>
        <v>6.0899999999999996E-2</v>
      </c>
      <c r="C21" s="11">
        <f t="shared" si="0"/>
        <v>5.9000000000000004E-2</v>
      </c>
      <c r="D21" s="11">
        <f t="shared" si="0"/>
        <v>6.0600000000000008E-2</v>
      </c>
      <c r="E21" s="11">
        <f t="shared" si="0"/>
        <v>6.0499999999999998E-2</v>
      </c>
      <c r="F21" s="11">
        <f t="shared" si="0"/>
        <v>0.06</v>
      </c>
      <c r="G21" s="11">
        <f t="shared" si="0"/>
        <v>6.0099999999999994E-2</v>
      </c>
      <c r="H21" s="11">
        <f t="shared" si="0"/>
        <v>6.4000000000000001E-2</v>
      </c>
      <c r="I21" s="11">
        <f t="shared" si="0"/>
        <v>6.359999999999999E-2</v>
      </c>
      <c r="J21" s="11">
        <f t="shared" si="0"/>
        <v>6.3299999999999995E-2</v>
      </c>
      <c r="K21" s="11">
        <f t="shared" si="0"/>
        <v>7.0199999999999985E-2</v>
      </c>
      <c r="L21" s="62">
        <f t="shared" si="0"/>
        <v>7.3865549771437E-2</v>
      </c>
      <c r="M21" s="62">
        <f t="shared" si="0"/>
        <v>7.3702377264387664E-2</v>
      </c>
      <c r="N21" s="62">
        <f t="shared" si="0"/>
        <v>7.3538173503775617E-2</v>
      </c>
      <c r="O21" s="62">
        <f t="shared" si="0"/>
        <v>7.3372956336847456E-2</v>
      </c>
    </row>
    <row r="22" spans="1:15" x14ac:dyDescent="0.2">
      <c r="A22" s="2" t="s">
        <v>29</v>
      </c>
      <c r="B22" s="11">
        <f>IFERROR(('Net Interest Income'!B21*4)/Balance!B12,"")</f>
        <v>6.6047945882228593E-2</v>
      </c>
      <c r="C22" s="11">
        <f>IFERROR(('Net Interest Income'!C21*4)/Balance!C12,"")</f>
        <v>6.4790419434393204E-2</v>
      </c>
      <c r="D22" s="11">
        <f>IFERROR(('Net Interest Income'!D21*4)/Balance!D12,"")</f>
        <v>6.6944436929015264E-2</v>
      </c>
      <c r="E22" s="11">
        <f>IFERROR(('Net Interest Income'!E21*4)/Balance!E12,"")</f>
        <v>6.7285772133095001E-2</v>
      </c>
      <c r="F22" s="11">
        <f>IFERROR(('Net Interest Income'!F21*4)/Balance!F12,"")</f>
        <v>6.6886555025312475E-2</v>
      </c>
      <c r="G22" s="11">
        <f>IFERROR(('Net Interest Income'!G21*4)/Balance!G12,"")</f>
        <v>6.6940484533430322E-2</v>
      </c>
      <c r="H22" s="11">
        <f>IFERROR(('Net Interest Income'!H21*4)/Balance!H12,"")</f>
        <v>7.1078409801005091E-2</v>
      </c>
      <c r="I22" s="11">
        <f>IFERROR(('Net Interest Income'!I21*4)/Balance!I12,"")</f>
        <v>7.0311923419218991E-2</v>
      </c>
      <c r="J22" s="11">
        <f>IFERROR(('Net Interest Income'!J21*4)/Balance!J12,"")</f>
        <v>6.9261038396960919E-2</v>
      </c>
      <c r="K22" s="11">
        <f>IFERROR(('Net Interest Income'!K21*4)/Balance!K12,"")</f>
        <v>7.6162681048294156E-2</v>
      </c>
      <c r="L22" s="62">
        <f>'Net Interest Income'!L21*4/Balance!L12</f>
        <v>7.948509502955825E-2</v>
      </c>
      <c r="M22" s="62">
        <f>'Net Interest Income'!M21*4/Balance!M12</f>
        <v>7.9228895548364889E-2</v>
      </c>
      <c r="N22" s="62">
        <f>'Net Interest Income'!N21*4/Balance!N12</f>
        <v>7.8971347399263467E-2</v>
      </c>
      <c r="O22" s="62">
        <f>'Net Interest Income'!O21*4/Balance!O12</f>
        <v>7.8712479576078659E-2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"/>
  <sheetViews>
    <sheetView workbookViewId="0">
      <pane xSplit="1" ySplit="4" topLeftCell="E7" activePane="bottomRight" state="frozen"/>
      <selection pane="topRight"/>
      <selection pane="bottomLeft"/>
      <selection pane="bottomRight" activeCell="O28" sqref="O28"/>
    </sheetView>
  </sheetViews>
  <sheetFormatPr baseColWidth="10" defaultColWidth="8.6640625" defaultRowHeight="15" x14ac:dyDescent="0.2"/>
  <cols>
    <col min="1" max="1" width="38" customWidth="1"/>
    <col min="2" max="15" width="13" customWidth="1"/>
  </cols>
  <sheetData>
    <row r="1" spans="1:15" ht="16" x14ac:dyDescent="0.2">
      <c r="A1" s="1" t="s">
        <v>30</v>
      </c>
    </row>
    <row r="2" spans="1:15" ht="27.75" customHeight="1" x14ac:dyDescent="0.2">
      <c r="A2" s="25" t="s">
        <v>59</v>
      </c>
    </row>
    <row r="4" spans="1:15" x14ac:dyDescent="0.2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56" t="s">
        <v>54</v>
      </c>
      <c r="M4" s="56" t="s">
        <v>55</v>
      </c>
      <c r="N4" s="56" t="s">
        <v>56</v>
      </c>
      <c r="O4" s="56" t="s">
        <v>57</v>
      </c>
    </row>
    <row r="5" spans="1:15" x14ac:dyDescent="0.2">
      <c r="A5" s="4" t="s">
        <v>12</v>
      </c>
    </row>
    <row r="6" spans="1:15" x14ac:dyDescent="0.2">
      <c r="A6" s="5" t="s">
        <v>13</v>
      </c>
      <c r="B6" s="6">
        <v>6053</v>
      </c>
      <c r="C6" s="6">
        <v>6302</v>
      </c>
      <c r="D6" s="6">
        <v>6850</v>
      </c>
      <c r="E6" s="6">
        <v>7062</v>
      </c>
      <c r="F6" s="6">
        <v>7067</v>
      </c>
      <c r="G6" s="6">
        <v>7088</v>
      </c>
      <c r="H6" s="6">
        <v>7578</v>
      </c>
      <c r="I6" s="6">
        <v>7493</v>
      </c>
      <c r="J6" s="6">
        <v>7248</v>
      </c>
      <c r="K6" s="6">
        <v>9407</v>
      </c>
      <c r="L6" s="57">
        <f>SUM('Monthly NII'!AF6:'Monthly NII'!AH6)</f>
        <v>10719.87550007646</v>
      </c>
      <c r="M6" s="57">
        <f>SUM('Monthly NII'!AI6:'Monthly NII'!AK6)</f>
        <v>10672.079229176981</v>
      </c>
      <c r="N6" s="57">
        <f>SUM('Monthly NII'!AL6:'Monthly NII'!AN6)</f>
        <v>10624.228542112807</v>
      </c>
      <c r="O6" s="57">
        <f>SUM('Monthly NII'!AO6:'Monthly NII'!AQ6)</f>
        <v>10576.323438883934</v>
      </c>
    </row>
    <row r="7" spans="1:15" x14ac:dyDescent="0.2">
      <c r="A7" s="5" t="s">
        <v>14</v>
      </c>
      <c r="B7" s="6">
        <v>1461</v>
      </c>
      <c r="C7" s="6">
        <v>1486</v>
      </c>
      <c r="D7" s="6">
        <v>1537</v>
      </c>
      <c r="E7" s="6">
        <v>1557</v>
      </c>
      <c r="F7" s="6">
        <v>1564</v>
      </c>
      <c r="G7" s="6">
        <v>1611</v>
      </c>
      <c r="H7" s="6">
        <v>1692</v>
      </c>
      <c r="I7" s="6">
        <v>1745</v>
      </c>
      <c r="J7" s="6">
        <v>1773</v>
      </c>
      <c r="K7" s="6">
        <v>1861</v>
      </c>
      <c r="L7" s="57">
        <f>SUM('Monthly NII'!AF7:'Monthly NII'!AH7)</f>
        <v>2211.0269788798687</v>
      </c>
      <c r="M7" s="57">
        <f>SUM('Monthly NII'!AI7:'Monthly NII'!AK7)</f>
        <v>2208.6892321624464</v>
      </c>
      <c r="N7" s="57">
        <f>SUM('Monthly NII'!AL7:'Monthly NII'!AN7)</f>
        <v>2206.352721911092</v>
      </c>
      <c r="O7" s="57">
        <f>SUM('Monthly NII'!AO7:'Monthly NII'!AQ7)</f>
        <v>2204.0174481258045</v>
      </c>
    </row>
    <row r="8" spans="1:15" x14ac:dyDescent="0.2">
      <c r="A8" s="5" t="s">
        <v>15</v>
      </c>
      <c r="B8" s="6">
        <v>1488</v>
      </c>
      <c r="C8" s="6">
        <v>1580</v>
      </c>
      <c r="D8" s="6">
        <v>1642</v>
      </c>
      <c r="E8" s="6">
        <v>1653</v>
      </c>
      <c r="F8" s="6">
        <v>1612</v>
      </c>
      <c r="G8" s="6">
        <v>1616</v>
      </c>
      <c r="H8" s="6">
        <v>1601</v>
      </c>
      <c r="I8" s="6">
        <v>1472</v>
      </c>
      <c r="J8" s="6">
        <v>1382</v>
      </c>
      <c r="K8" s="6">
        <v>1421</v>
      </c>
      <c r="L8" s="57">
        <f>SUM('Monthly NII'!AF8:'Monthly NII'!AH8)</f>
        <v>1679.8817765489011</v>
      </c>
      <c r="M8" s="57">
        <f>SUM('Monthly NII'!AI8:'Monthly NII'!AK8)</f>
        <v>1661.4139205181505</v>
      </c>
      <c r="N8" s="57">
        <f>SUM('Monthly NII'!AL8:'Monthly NII'!AN8)</f>
        <v>1642.9263238725794</v>
      </c>
      <c r="O8" s="57">
        <f>SUM('Monthly NII'!AO8:'Monthly NII'!AQ8)</f>
        <v>1624.4189866121874</v>
      </c>
    </row>
    <row r="9" spans="1:15" x14ac:dyDescent="0.2">
      <c r="A9" s="5" t="s">
        <v>16</v>
      </c>
      <c r="B9" s="6">
        <v>8723</v>
      </c>
      <c r="C9" s="6">
        <v>9057</v>
      </c>
      <c r="D9" s="6">
        <v>9696</v>
      </c>
      <c r="E9" s="6">
        <v>9934</v>
      </c>
      <c r="F9" s="6">
        <v>9920</v>
      </c>
      <c r="G9" s="6">
        <v>9993</v>
      </c>
      <c r="H9" s="6">
        <v>10547</v>
      </c>
      <c r="I9" s="6">
        <v>10434</v>
      </c>
      <c r="J9" s="6">
        <v>10157</v>
      </c>
      <c r="K9" s="6">
        <v>12449</v>
      </c>
      <c r="L9" s="57">
        <f>SUM('Monthly NII'!AF9:'Monthly NII'!AH9)</f>
        <v>14610.78425550523</v>
      </c>
      <c r="M9" s="57">
        <f>SUM('Monthly NII'!AI9:'Monthly NII'!AK9)</f>
        <v>14542.182381857578</v>
      </c>
      <c r="N9" s="57">
        <f>SUM('Monthly NII'!AL9:'Monthly NII'!AN9)</f>
        <v>14473.507587896478</v>
      </c>
      <c r="O9" s="57">
        <f>SUM('Monthly NII'!AO9:'Monthly NII'!AQ9)</f>
        <v>14404.759873621924</v>
      </c>
    </row>
    <row r="10" spans="1:15" x14ac:dyDescent="0.2">
      <c r="A10" s="5" t="s">
        <v>17</v>
      </c>
      <c r="B10" s="6">
        <v>615</v>
      </c>
      <c r="C10" s="6">
        <v>639</v>
      </c>
      <c r="D10" s="6">
        <v>627</v>
      </c>
      <c r="E10" s="6">
        <v>669</v>
      </c>
      <c r="F10" s="6">
        <v>687</v>
      </c>
      <c r="G10" s="6">
        <v>700</v>
      </c>
      <c r="H10" s="6">
        <v>733</v>
      </c>
      <c r="I10" s="6">
        <v>753</v>
      </c>
      <c r="J10" s="6">
        <v>770</v>
      </c>
      <c r="K10" s="6">
        <v>784</v>
      </c>
      <c r="L10" s="57">
        <f>SUM('Monthly NII'!AF10:'Monthly NII'!AH10)</f>
        <v>695.21409903393794</v>
      </c>
      <c r="M10" s="57">
        <f>SUM('Monthly NII'!AI10:'Monthly NII'!AK10)</f>
        <v>663.6055490339379</v>
      </c>
      <c r="N10" s="57">
        <f>SUM('Monthly NII'!AL10:'Monthly NII'!AN10)</f>
        <v>631.99699903393798</v>
      </c>
      <c r="O10" s="57">
        <f>SUM('Monthly NII'!AO10:'Monthly NII'!AQ10)</f>
        <v>600.38844903393795</v>
      </c>
    </row>
    <row r="11" spans="1:15" x14ac:dyDescent="0.2">
      <c r="A11" s="5" t="s">
        <v>18</v>
      </c>
      <c r="B11" s="6">
        <v>416</v>
      </c>
      <c r="C11" s="6">
        <v>470</v>
      </c>
      <c r="D11" s="6">
        <v>550</v>
      </c>
      <c r="E11" s="6">
        <v>542</v>
      </c>
      <c r="F11" s="6">
        <v>570</v>
      </c>
      <c r="G11" s="6">
        <v>587</v>
      </c>
      <c r="H11" s="6">
        <v>580</v>
      </c>
      <c r="I11" s="6">
        <v>530</v>
      </c>
      <c r="J11" s="6">
        <v>491</v>
      </c>
      <c r="K11" s="6">
        <v>595</v>
      </c>
      <c r="L11" s="57">
        <f>SUM('Monthly NII'!AF11:'Monthly NII'!AH11)</f>
        <v>687.27172627081347</v>
      </c>
      <c r="M11" s="57">
        <f>SUM('Monthly NII'!AI11:'Monthly NII'!AK11)</f>
        <v>676.06818268905681</v>
      </c>
      <c r="N11" s="57">
        <f>SUM('Monthly NII'!AL11:'Monthly NII'!AN11)</f>
        <v>664.8528366378722</v>
      </c>
      <c r="O11" s="57">
        <f>SUM('Monthly NII'!AO11:'Monthly NII'!AQ11)</f>
        <v>653.62568811725976</v>
      </c>
    </row>
    <row r="12" spans="1:15" x14ac:dyDescent="0.2">
      <c r="A12" s="2" t="s">
        <v>19</v>
      </c>
      <c r="B12" s="7">
        <v>9754</v>
      </c>
      <c r="C12" s="7">
        <v>10166</v>
      </c>
      <c r="D12" s="7">
        <v>10873</v>
      </c>
      <c r="E12" s="7">
        <v>11145</v>
      </c>
      <c r="F12" s="7">
        <v>11177</v>
      </c>
      <c r="G12" s="7">
        <v>11280</v>
      </c>
      <c r="H12" s="7">
        <v>11860</v>
      </c>
      <c r="I12" s="7">
        <v>11717</v>
      </c>
      <c r="J12" s="7">
        <v>11418</v>
      </c>
      <c r="K12" s="7">
        <v>13828</v>
      </c>
      <c r="L12" s="58">
        <f>SUM('Monthly NII'!AF12:'Monthly NII'!AH12)</f>
        <v>15993.270080809982</v>
      </c>
      <c r="M12" s="58">
        <f>SUM('Monthly NII'!AI12:'Monthly NII'!AK12)</f>
        <v>15881.856113580572</v>
      </c>
      <c r="N12" s="58">
        <f>SUM('Monthly NII'!AL12:'Monthly NII'!AN12)</f>
        <v>15770.357423568288</v>
      </c>
      <c r="O12" s="58">
        <f>SUM('Monthly NII'!AO12:'Monthly NII'!AQ12)</f>
        <v>15658.774010773122</v>
      </c>
    </row>
    <row r="13" spans="1:15" x14ac:dyDescent="0.2">
      <c r="L13" s="47"/>
      <c r="M13" s="47"/>
      <c r="N13" s="47"/>
      <c r="O13" s="47"/>
    </row>
    <row r="14" spans="1:15" x14ac:dyDescent="0.2">
      <c r="A14" s="4" t="s">
        <v>20</v>
      </c>
      <c r="L14" s="47"/>
      <c r="M14" s="47"/>
      <c r="N14" s="47"/>
      <c r="O14" s="47"/>
    </row>
    <row r="15" spans="1:15" x14ac:dyDescent="0.2">
      <c r="A15" s="5" t="s">
        <v>21</v>
      </c>
      <c r="B15" s="6">
        <v>1856</v>
      </c>
      <c r="C15" s="6">
        <v>2277</v>
      </c>
      <c r="D15" s="6">
        <v>2611</v>
      </c>
      <c r="E15" s="6">
        <v>2745</v>
      </c>
      <c r="F15" s="6">
        <v>2812</v>
      </c>
      <c r="G15" s="6">
        <v>2874</v>
      </c>
      <c r="H15" s="6">
        <v>2945</v>
      </c>
      <c r="I15" s="6">
        <v>2862</v>
      </c>
      <c r="J15" s="6">
        <v>2715</v>
      </c>
      <c r="K15" s="6">
        <v>3120</v>
      </c>
      <c r="L15" s="57">
        <f>SUM('Monthly NII'!AF15:'Monthly NII'!AH15)</f>
        <v>3518.2770221713026</v>
      </c>
      <c r="M15" s="57">
        <f>SUM('Monthly NII'!AI15:'Monthly NII'!AK15)</f>
        <v>3458.3912027858055</v>
      </c>
      <c r="N15" s="57">
        <f>SUM('Monthly NII'!AL15:'Monthly NII'!AN15)</f>
        <v>3398.4423772601722</v>
      </c>
      <c r="O15" s="57">
        <f>SUM('Monthly NII'!AO15:'Monthly NII'!AQ15)</f>
        <v>3338.4305455944013</v>
      </c>
    </row>
    <row r="16" spans="1:15" x14ac:dyDescent="0.2">
      <c r="A16" s="5" t="s">
        <v>22</v>
      </c>
      <c r="B16" s="6">
        <v>211</v>
      </c>
      <c r="C16" s="6">
        <v>236</v>
      </c>
      <c r="D16" s="6">
        <v>249</v>
      </c>
      <c r="E16" s="6">
        <v>263</v>
      </c>
      <c r="F16" s="6">
        <v>261</v>
      </c>
      <c r="G16" s="6">
        <v>258</v>
      </c>
      <c r="H16" s="6">
        <v>234</v>
      </c>
      <c r="I16" s="6">
        <v>205</v>
      </c>
      <c r="J16" s="6">
        <v>176</v>
      </c>
      <c r="K16" s="6">
        <v>164</v>
      </c>
      <c r="L16" s="57">
        <f>SUM('Monthly NII'!AF16:'Monthly NII'!AH16)</f>
        <v>184.14867683146292</v>
      </c>
      <c r="M16" s="57">
        <f>SUM('Monthly NII'!AI16:'Monthly NII'!AK16)</f>
        <v>176.1725677271051</v>
      </c>
      <c r="N16" s="57">
        <f>SUM('Monthly NII'!AL16:'Monthly NII'!AN16)</f>
        <v>168.39352663283148</v>
      </c>
      <c r="O16" s="57">
        <f>SUM('Monthly NII'!AO16:'Monthly NII'!AQ16)</f>
        <v>160.80744777220366</v>
      </c>
    </row>
    <row r="17" spans="1:15" x14ac:dyDescent="0.2">
      <c r="A17" s="5" t="s">
        <v>23</v>
      </c>
      <c r="B17" s="6">
        <v>489</v>
      </c>
      <c r="C17" s="6">
        <v>528</v>
      </c>
      <c r="D17" s="6">
        <v>579</v>
      </c>
      <c r="E17" s="6">
        <v>608</v>
      </c>
      <c r="F17" s="6">
        <v>606</v>
      </c>
      <c r="G17" s="6">
        <v>591</v>
      </c>
      <c r="H17" s="6">
        <v>596</v>
      </c>
      <c r="I17" s="6">
        <v>540</v>
      </c>
      <c r="J17" s="6">
        <v>505</v>
      </c>
      <c r="K17" s="6">
        <v>535</v>
      </c>
      <c r="L17" s="57">
        <f>SUM('Monthly NII'!AF17:'Monthly NII'!AH17)</f>
        <v>598.51795757984837</v>
      </c>
      <c r="M17" s="57">
        <f>SUM('Monthly NII'!AI17:'Monthly NII'!AK17)</f>
        <v>589.73094551503289</v>
      </c>
      <c r="N17" s="57">
        <f>SUM('Monthly NII'!AL17:'Monthly NII'!AN17)</f>
        <v>580.9439334502174</v>
      </c>
      <c r="O17" s="57">
        <f>SUM('Monthly NII'!AO17:'Monthly NII'!AQ17)</f>
        <v>572.15692138540203</v>
      </c>
    </row>
    <row r="18" spans="1:15" x14ac:dyDescent="0.2">
      <c r="A18" s="5" t="s">
        <v>24</v>
      </c>
      <c r="B18" s="6">
        <v>12</v>
      </c>
      <c r="C18" s="6">
        <v>12</v>
      </c>
      <c r="D18" s="6">
        <v>11</v>
      </c>
      <c r="E18" s="6">
        <v>10</v>
      </c>
      <c r="F18" s="6">
        <v>10</v>
      </c>
      <c r="G18" s="6">
        <v>11</v>
      </c>
      <c r="H18" s="6">
        <v>9</v>
      </c>
      <c r="I18" s="6">
        <v>12</v>
      </c>
      <c r="J18" s="6">
        <v>9</v>
      </c>
      <c r="K18" s="6">
        <v>14</v>
      </c>
      <c r="L18" s="57">
        <f>SUM('Monthly NII'!AF18:'Monthly NII'!AH18)</f>
        <v>5.0264699658379186</v>
      </c>
      <c r="M18" s="57">
        <f>SUM('Monthly NII'!AI18:'Monthly NII'!AK18)</f>
        <v>4.7823449658379138</v>
      </c>
      <c r="N18" s="57">
        <f>SUM('Monthly NII'!AL18:'Monthly NII'!AN18)</f>
        <v>4.5382199658379117</v>
      </c>
      <c r="O18" s="57">
        <f>SUM('Monthly NII'!AO18:'Monthly NII'!AQ18)</f>
        <v>4.2940949658379086</v>
      </c>
    </row>
    <row r="19" spans="1:15" x14ac:dyDescent="0.2">
      <c r="A19" s="2" t="s">
        <v>25</v>
      </c>
      <c r="B19" s="7">
        <v>2568</v>
      </c>
      <c r="C19" s="7">
        <v>3053</v>
      </c>
      <c r="D19" s="7">
        <v>3450</v>
      </c>
      <c r="E19" s="7">
        <v>3626</v>
      </c>
      <c r="F19" s="7">
        <v>3689</v>
      </c>
      <c r="G19" s="7">
        <v>3734</v>
      </c>
      <c r="H19" s="7">
        <v>3784</v>
      </c>
      <c r="I19" s="7">
        <v>3619</v>
      </c>
      <c r="J19" s="7">
        <v>3405</v>
      </c>
      <c r="K19" s="7">
        <v>3833</v>
      </c>
      <c r="L19" s="58">
        <f>SUM('Monthly NII'!AF19:'Monthly NII'!AH19)</f>
        <v>4305.9701265484518</v>
      </c>
      <c r="M19" s="58">
        <f>SUM('Monthly NII'!AI19:'Monthly NII'!AK19)</f>
        <v>4229.0770609937808</v>
      </c>
      <c r="N19" s="58">
        <f>SUM('Monthly NII'!AL19:'Monthly NII'!AN19)</f>
        <v>4152.3180573090594</v>
      </c>
      <c r="O19" s="58">
        <f>SUM('Monthly NII'!AO19:'Monthly NII'!AQ19)</f>
        <v>4075.6890097178457</v>
      </c>
    </row>
    <row r="20" spans="1:15" x14ac:dyDescent="0.2">
      <c r="L20" s="47"/>
      <c r="M20" s="47"/>
      <c r="N20" s="47"/>
      <c r="O20" s="47"/>
    </row>
    <row r="21" spans="1:15" x14ac:dyDescent="0.2">
      <c r="A21" s="2" t="s">
        <v>31</v>
      </c>
      <c r="B21" s="7">
        <f t="shared" ref="B21:K21" si="0">B12-B19</f>
        <v>7186</v>
      </c>
      <c r="C21" s="7">
        <f t="shared" si="0"/>
        <v>7113</v>
      </c>
      <c r="D21" s="7">
        <f t="shared" si="0"/>
        <v>7423</v>
      </c>
      <c r="E21" s="7">
        <f t="shared" si="0"/>
        <v>7519</v>
      </c>
      <c r="F21" s="7">
        <f t="shared" si="0"/>
        <v>7488</v>
      </c>
      <c r="G21" s="7">
        <f t="shared" si="0"/>
        <v>7546</v>
      </c>
      <c r="H21" s="7">
        <f t="shared" si="0"/>
        <v>8076</v>
      </c>
      <c r="I21" s="7">
        <f t="shared" si="0"/>
        <v>8098</v>
      </c>
      <c r="J21" s="7">
        <f t="shared" si="0"/>
        <v>8013</v>
      </c>
      <c r="K21" s="7">
        <f t="shared" si="0"/>
        <v>9995</v>
      </c>
      <c r="L21" s="58">
        <f>SUM('Monthly NII'!AF21:'Monthly NII'!AH21)</f>
        <v>11687.299954261529</v>
      </c>
      <c r="M21" s="58">
        <f>SUM('Monthly NII'!AI21:'Monthly NII'!AK21)</f>
        <v>11652.779052586791</v>
      </c>
      <c r="N21" s="58">
        <f>SUM('Monthly NII'!AL21:'Monthly NII'!AN21)</f>
        <v>11618.039366259229</v>
      </c>
      <c r="O21" s="58">
        <f>SUM('Monthly NII'!AO21:'Monthly NII'!AQ21)</f>
        <v>11583.085001055277</v>
      </c>
    </row>
    <row r="22" spans="1:15" x14ac:dyDescent="0.2">
      <c r="L22" s="47"/>
      <c r="M22" s="47"/>
      <c r="N22" s="47"/>
      <c r="O22" s="47"/>
    </row>
    <row r="23" spans="1:15" x14ac:dyDescent="0.2">
      <c r="A23" s="4" t="s">
        <v>32</v>
      </c>
      <c r="L23" s="47"/>
      <c r="M23" s="47"/>
      <c r="N23" s="47"/>
      <c r="O23" s="47"/>
    </row>
    <row r="24" spans="1:15" x14ac:dyDescent="0.2">
      <c r="A24" s="5" t="s">
        <v>33</v>
      </c>
      <c r="B24" s="12">
        <v>7186</v>
      </c>
      <c r="C24" s="12">
        <v>7113</v>
      </c>
      <c r="D24" s="12">
        <v>7423</v>
      </c>
      <c r="E24" s="12">
        <v>7519</v>
      </c>
      <c r="F24" s="12">
        <v>7488</v>
      </c>
      <c r="G24" s="12">
        <v>7546</v>
      </c>
      <c r="H24" s="12">
        <v>8076</v>
      </c>
      <c r="I24" s="12">
        <v>8098</v>
      </c>
      <c r="J24" s="12">
        <v>8013</v>
      </c>
      <c r="K24" s="12">
        <v>9995</v>
      </c>
      <c r="L24" s="57"/>
      <c r="M24" s="57"/>
      <c r="N24" s="57"/>
      <c r="O24" s="57"/>
    </row>
    <row r="25" spans="1:15" x14ac:dyDescent="0.2">
      <c r="A25" s="2" t="s">
        <v>34</v>
      </c>
      <c r="B25" s="13">
        <f t="shared" ref="B25:K25" si="1">IF(B24="","",B21-B24)</f>
        <v>0</v>
      </c>
      <c r="C25" s="13">
        <f t="shared" si="1"/>
        <v>0</v>
      </c>
      <c r="D25" s="13">
        <f t="shared" si="1"/>
        <v>0</v>
      </c>
      <c r="E25" s="13">
        <f t="shared" si="1"/>
        <v>0</v>
      </c>
      <c r="F25" s="13">
        <f t="shared" si="1"/>
        <v>0</v>
      </c>
      <c r="G25" s="13">
        <f t="shared" si="1"/>
        <v>0</v>
      </c>
      <c r="H25" s="13">
        <f t="shared" si="1"/>
        <v>0</v>
      </c>
      <c r="I25" s="13">
        <f t="shared" si="1"/>
        <v>0</v>
      </c>
      <c r="J25" s="13">
        <f t="shared" si="1"/>
        <v>0</v>
      </c>
      <c r="K25" s="13">
        <f t="shared" si="1"/>
        <v>0</v>
      </c>
      <c r="L25" s="63"/>
      <c r="M25" s="63"/>
      <c r="N25" s="63"/>
      <c r="O25" s="63"/>
    </row>
    <row r="27" spans="1:15" x14ac:dyDescent="0.2">
      <c r="A27" s="14" t="s">
        <v>35</v>
      </c>
    </row>
    <row r="28" spans="1:15" x14ac:dyDescent="0.2">
      <c r="J28" s="76" t="s">
        <v>170</v>
      </c>
      <c r="K28" s="77">
        <f>SUM(J21:K21)</f>
        <v>18008</v>
      </c>
      <c r="O28" s="77">
        <f>SUM(N21:O21)</f>
        <v>23201.124367314507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2"/>
  <sheetViews>
    <sheetView topLeftCell="A17" workbookViewId="0"/>
  </sheetViews>
  <sheetFormatPr baseColWidth="10" defaultColWidth="8.6640625" defaultRowHeight="15" x14ac:dyDescent="0.2"/>
  <cols>
    <col min="1" max="1" width="108" customWidth="1"/>
  </cols>
  <sheetData>
    <row r="1" spans="1:1" ht="17" x14ac:dyDescent="0.2">
      <c r="A1" s="15" t="s">
        <v>36</v>
      </c>
    </row>
    <row r="2" spans="1:1" x14ac:dyDescent="0.2">
      <c r="A2" s="16"/>
    </row>
    <row r="3" spans="1:1" x14ac:dyDescent="0.2">
      <c r="A3" s="17" t="s">
        <v>37</v>
      </c>
    </row>
    <row r="4" spans="1:1" ht="28" x14ac:dyDescent="0.2">
      <c r="A4" s="18" t="s">
        <v>38</v>
      </c>
    </row>
    <row r="5" spans="1:1" x14ac:dyDescent="0.2">
      <c r="A5" s="16"/>
    </row>
    <row r="6" spans="1:1" x14ac:dyDescent="0.2">
      <c r="A6" s="17" t="s">
        <v>39</v>
      </c>
    </row>
    <row r="7" spans="1:1" x14ac:dyDescent="0.2">
      <c r="A7" s="18" t="s">
        <v>40</v>
      </c>
    </row>
    <row r="8" spans="1:1" x14ac:dyDescent="0.2">
      <c r="A8" s="18" t="s">
        <v>41</v>
      </c>
    </row>
    <row r="9" spans="1:1" x14ac:dyDescent="0.2">
      <c r="A9" s="18" t="s">
        <v>42</v>
      </c>
    </row>
    <row r="10" spans="1:1" x14ac:dyDescent="0.2">
      <c r="A10" s="16"/>
    </row>
    <row r="11" spans="1:1" x14ac:dyDescent="0.2">
      <c r="A11" s="17" t="s">
        <v>43</v>
      </c>
    </row>
    <row r="12" spans="1:1" ht="28" x14ac:dyDescent="0.2">
      <c r="A12" s="18" t="s">
        <v>44</v>
      </c>
    </row>
    <row r="13" spans="1:1" x14ac:dyDescent="0.2">
      <c r="A13" s="16"/>
    </row>
    <row r="14" spans="1:1" x14ac:dyDescent="0.2">
      <c r="A14" s="17" t="s">
        <v>45</v>
      </c>
    </row>
    <row r="15" spans="1:1" ht="28" x14ac:dyDescent="0.2">
      <c r="A15" s="18" t="s">
        <v>46</v>
      </c>
    </row>
    <row r="16" spans="1:1" ht="28" x14ac:dyDescent="0.2">
      <c r="A16" s="18" t="s">
        <v>47</v>
      </c>
    </row>
    <row r="17" spans="1:1" ht="28" x14ac:dyDescent="0.2">
      <c r="A17" s="18" t="s">
        <v>48</v>
      </c>
    </row>
    <row r="18" spans="1:1" x14ac:dyDescent="0.2">
      <c r="A18" s="16"/>
    </row>
    <row r="19" spans="1:1" x14ac:dyDescent="0.2">
      <c r="A19" s="17" t="s">
        <v>49</v>
      </c>
    </row>
    <row r="20" spans="1:1" ht="28" x14ac:dyDescent="0.2">
      <c r="A20" s="18" t="s">
        <v>50</v>
      </c>
    </row>
    <row r="21" spans="1:1" x14ac:dyDescent="0.2">
      <c r="A21" s="16"/>
    </row>
    <row r="22" spans="1:1" x14ac:dyDescent="0.2">
      <c r="A22" s="17" t="s">
        <v>51</v>
      </c>
    </row>
    <row r="23" spans="1:1" x14ac:dyDescent="0.2">
      <c r="A23" s="18" t="s">
        <v>52</v>
      </c>
    </row>
    <row r="25" spans="1:1" x14ac:dyDescent="0.2">
      <c r="A25" s="21" t="s">
        <v>60</v>
      </c>
    </row>
    <row r="26" spans="1:1" ht="16" x14ac:dyDescent="0.2">
      <c r="A26" s="44" t="s">
        <v>61</v>
      </c>
    </row>
    <row r="27" spans="1:1" ht="32" x14ac:dyDescent="0.2">
      <c r="A27" s="44" t="s">
        <v>62</v>
      </c>
    </row>
    <row r="28" spans="1:1" ht="32" x14ac:dyDescent="0.2">
      <c r="A28" s="44" t="s">
        <v>63</v>
      </c>
    </row>
    <row r="29" spans="1:1" ht="32" x14ac:dyDescent="0.2">
      <c r="A29" s="44" t="s">
        <v>64</v>
      </c>
    </row>
    <row r="30" spans="1:1" ht="32" x14ac:dyDescent="0.2">
      <c r="A30" s="44" t="s">
        <v>65</v>
      </c>
    </row>
    <row r="31" spans="1:1" ht="16" x14ac:dyDescent="0.2">
      <c r="A31" s="44" t="s">
        <v>66</v>
      </c>
    </row>
    <row r="32" spans="1:1" ht="32" x14ac:dyDescent="0.2">
      <c r="A32" s="44" t="s">
        <v>67</v>
      </c>
    </row>
    <row r="33" spans="1:1" ht="32" x14ac:dyDescent="0.2">
      <c r="A33" s="44" t="s">
        <v>68</v>
      </c>
    </row>
    <row r="34" spans="1:1" ht="16" x14ac:dyDescent="0.2">
      <c r="A34" s="44" t="s">
        <v>69</v>
      </c>
    </row>
    <row r="36" spans="1:1" x14ac:dyDescent="0.2">
      <c r="A36" s="21" t="s">
        <v>70</v>
      </c>
    </row>
    <row r="37" spans="1:1" ht="16" x14ac:dyDescent="0.2">
      <c r="A37" s="44" t="s">
        <v>71</v>
      </c>
    </row>
    <row r="38" spans="1:1" ht="32" x14ac:dyDescent="0.2">
      <c r="A38" s="44" t="s">
        <v>72</v>
      </c>
    </row>
    <row r="39" spans="1:1" ht="32" x14ac:dyDescent="0.2">
      <c r="A39" s="44" t="s">
        <v>73</v>
      </c>
    </row>
    <row r="40" spans="1:1" ht="32" x14ac:dyDescent="0.2">
      <c r="A40" s="44" t="s">
        <v>74</v>
      </c>
    </row>
    <row r="41" spans="1:1" ht="32" x14ac:dyDescent="0.2">
      <c r="A41" s="44" t="s">
        <v>75</v>
      </c>
    </row>
    <row r="42" spans="1:1" ht="16" x14ac:dyDescent="0.2">
      <c r="A42" s="44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1"/>
  <sheetViews>
    <sheetView tabSelected="1" workbookViewId="0">
      <pane xSplit="1" ySplit="4" topLeftCell="H5" activePane="bottomRight" state="frozen"/>
      <selection pane="topRight"/>
      <selection pane="bottomLeft"/>
      <selection pane="bottomRight" activeCell="A2" sqref="A2"/>
    </sheetView>
  </sheetViews>
  <sheetFormatPr baseColWidth="10" defaultColWidth="8.83203125" defaultRowHeight="15" x14ac:dyDescent="0.2"/>
  <cols>
    <col min="1" max="1" width="43" customWidth="1"/>
    <col min="2" max="16" width="12" customWidth="1"/>
  </cols>
  <sheetData>
    <row r="1" spans="1:16" ht="18" x14ac:dyDescent="0.2">
      <c r="A1" s="23" t="s">
        <v>77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31" customHeight="1" x14ac:dyDescent="0.2">
      <c r="A2" s="25" t="s">
        <v>78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x14ac:dyDescent="0.2">
      <c r="A4" s="22" t="s">
        <v>79</v>
      </c>
      <c r="B4" s="26">
        <v>44926</v>
      </c>
      <c r="C4" s="26">
        <v>45016</v>
      </c>
      <c r="D4" s="26">
        <v>45107</v>
      </c>
      <c r="E4" s="26">
        <v>45199</v>
      </c>
      <c r="F4" s="26">
        <v>45291</v>
      </c>
      <c r="G4" s="26">
        <v>45382</v>
      </c>
      <c r="H4" s="26">
        <v>45473</v>
      </c>
      <c r="I4" s="26">
        <v>45565</v>
      </c>
      <c r="J4" s="26">
        <v>45657</v>
      </c>
      <c r="K4" s="26">
        <v>45747</v>
      </c>
      <c r="L4" s="26">
        <v>45838</v>
      </c>
      <c r="M4" s="64">
        <v>45930</v>
      </c>
      <c r="N4" s="64">
        <v>46022</v>
      </c>
      <c r="O4" s="64">
        <v>46112</v>
      </c>
      <c r="P4" s="64">
        <v>46203</v>
      </c>
    </row>
    <row r="5" spans="1:16" x14ac:dyDescent="0.2">
      <c r="A5" s="27" t="s">
        <v>12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x14ac:dyDescent="0.2">
      <c r="A6" s="19" t="s">
        <v>80</v>
      </c>
      <c r="B6" s="32"/>
      <c r="C6" s="32" t="str">
        <f>IF(ISNUMBER(C9),C9*Balance!B6/Balance!B9,"")</f>
        <v/>
      </c>
      <c r="D6" s="32" t="str">
        <f>IF(ISNUMBER(D9),D9*Balance!C6/Balance!C9,"")</f>
        <v/>
      </c>
      <c r="E6" s="32" t="str">
        <f>IF(ISNUMBER(E9),E9*Balance!D6/Balance!D9,"")</f>
        <v/>
      </c>
      <c r="F6" s="32">
        <f>IF(ISNUMBER(F9),F9*Balance!E6/Balance!E9,"")</f>
        <v>150877.96787709056</v>
      </c>
      <c r="G6" s="32">
        <f>IF(ISNUMBER(G9),G9*Balance!F6/Balance!F9,"")</f>
        <v>149854.52206374003</v>
      </c>
      <c r="H6" s="32">
        <f>IF(ISNUMBER(H9),H9*Balance!G6/Balance!G9,"")</f>
        <v>151994.78529429459</v>
      </c>
      <c r="I6" s="32">
        <f>IF(ISNUMBER(I9),I9*Balance!H6/Balance!H9,"")</f>
        <v>154899.08187565694</v>
      </c>
      <c r="J6" s="32">
        <f>IF(ISNUMBER(J9),J9*Balance!I6/Balance!I9,"")</f>
        <v>160051.49210427509</v>
      </c>
      <c r="K6" s="32">
        <f>IF(ISNUMBER(K9),K9*Balance!J6/Balance!J9,"")</f>
        <v>156808.26089004002</v>
      </c>
      <c r="L6" s="32">
        <f>IF(ISNUMBER(L9),L9*Balance!K6/Balance!K9,"")</f>
        <v>243351.39186129757</v>
      </c>
      <c r="M6" s="65">
        <f>'Monthly EOP Balance'!AI6</f>
        <v>243475.7716663226</v>
      </c>
      <c r="N6" s="65">
        <f>'Monthly EOP Balance'!AL6</f>
        <v>243600.15147134769</v>
      </c>
      <c r="O6" s="65">
        <f>'Monthly EOP Balance'!AO6</f>
        <v>243724.53127637276</v>
      </c>
      <c r="P6" s="65">
        <f>'Monthly EOP Balance'!AR6</f>
        <v>243848.91108139785</v>
      </c>
    </row>
    <row r="7" spans="1:16" x14ac:dyDescent="0.2">
      <c r="A7" s="19" t="s">
        <v>81</v>
      </c>
      <c r="B7" s="32"/>
      <c r="C7" s="32" t="str">
        <f>IF(ISNUMBER(C9),C9*Balance!B7/Balance!B9,"")</f>
        <v/>
      </c>
      <c r="D7" s="32" t="str">
        <f>IF(ISNUMBER(D9),D9*Balance!C7/Balance!C9,"")</f>
        <v/>
      </c>
      <c r="E7" s="32" t="str">
        <f>IF(ISNUMBER(E9),E9*Balance!D7/Balance!D9,"")</f>
        <v/>
      </c>
      <c r="F7" s="32">
        <f>IF(ISNUMBER(F9),F9*Balance!E7/Balance!E9,"")</f>
        <v>77126.73844803471</v>
      </c>
      <c r="G7" s="32">
        <f>IF(ISNUMBER(G9),G9*Balance!F7/Balance!F9,"")</f>
        <v>74993.67484147381</v>
      </c>
      <c r="H7" s="32">
        <f>IF(ISNUMBER(H9),H9*Balance!G7/Balance!G9,"")</f>
        <v>75950.04099131476</v>
      </c>
      <c r="I7" s="32">
        <f>IF(ISNUMBER(I9),I9*Balance!H7/Balance!H9,"")</f>
        <v>76547.23569960623</v>
      </c>
      <c r="J7" s="32">
        <f>IF(ISNUMBER(J9),J9*Balance!I7/Balance!I9,"")</f>
        <v>78551.962294771656</v>
      </c>
      <c r="K7" s="32">
        <f>IF(ISNUMBER(K9),K9*Balance!J7/Balance!J9,"")</f>
        <v>78680.836751638926</v>
      </c>
      <c r="L7" s="32">
        <f>IF(ISNUMBER(L9),L9*Balance!K7/Balance!K9,"")</f>
        <v>92951.265569812196</v>
      </c>
      <c r="M7" s="65">
        <f>'Monthly EOP Balance'!AI7</f>
        <v>92901.806927108599</v>
      </c>
      <c r="N7" s="65">
        <f>'Monthly EOP Balance'!AL7</f>
        <v>92852.348284405001</v>
      </c>
      <c r="O7" s="65">
        <f>'Monthly EOP Balance'!AO7</f>
        <v>92802.889641701418</v>
      </c>
      <c r="P7" s="65">
        <f>'Monthly EOP Balance'!AR7</f>
        <v>92753.430998997806</v>
      </c>
    </row>
    <row r="8" spans="1:16" x14ac:dyDescent="0.2">
      <c r="A8" s="19" t="s">
        <v>82</v>
      </c>
      <c r="B8" s="32"/>
      <c r="C8" s="32" t="str">
        <f>IF(ISNUMBER(C9),C9*Balance!B8/Balance!B9,"")</f>
        <v/>
      </c>
      <c r="D8" s="32" t="str">
        <f>IF(ISNUMBER(D9),D9*Balance!C8/Balance!C9,"")</f>
        <v/>
      </c>
      <c r="E8" s="32" t="str">
        <f>IF(ISNUMBER(E9),E9*Balance!D8/Balance!D9,"")</f>
        <v/>
      </c>
      <c r="F8" s="32">
        <f>IF(ISNUMBER(F9),F9*Balance!E8/Balance!E9,"")</f>
        <v>92467.293674874731</v>
      </c>
      <c r="G8" s="32">
        <f>IF(ISNUMBER(G9),G9*Balance!F8/Balance!F9,"")</f>
        <v>90305.803094786141</v>
      </c>
      <c r="H8" s="32">
        <f>IF(ISNUMBER(H9),H9*Balance!G8/Balance!G9,"")</f>
        <v>90241.17371439065</v>
      </c>
      <c r="I8" s="32">
        <f>IF(ISNUMBER(I9),I9*Balance!H8/Balance!H9,"")</f>
        <v>88796.682424736835</v>
      </c>
      <c r="J8" s="32">
        <f>IF(ISNUMBER(J9),J9*Balance!I8/Balance!I9,"")</f>
        <v>89171.545600953265</v>
      </c>
      <c r="K8" s="32">
        <f>IF(ISNUMBER(K9),K9*Balance!J8/Balance!J9,"")</f>
        <v>88108.902358321051</v>
      </c>
      <c r="L8" s="32">
        <f>IF(ISNUMBER(L9),L9*Balance!K8/Balance!K9,"")</f>
        <v>102994.34256889022</v>
      </c>
      <c r="M8" s="65">
        <f>'Monthly EOP Balance'!AI8</f>
        <v>103046.98420841164</v>
      </c>
      <c r="N8" s="65">
        <f>'Monthly EOP Balance'!AL8</f>
        <v>103099.62584793309</v>
      </c>
      <c r="O8" s="65">
        <f>'Monthly EOP Balance'!AO8</f>
        <v>103152.26748745453</v>
      </c>
      <c r="P8" s="65">
        <f>'Monthly EOP Balance'!AR8</f>
        <v>103204.90912697598</v>
      </c>
    </row>
    <row r="9" spans="1:16" x14ac:dyDescent="0.2">
      <c r="A9" s="22" t="s">
        <v>83</v>
      </c>
      <c r="B9" s="29" t="str">
        <f t="shared" ref="B9:L9" si="0">IF(ISNUMBER(B24),B24,"")</f>
        <v/>
      </c>
      <c r="C9" s="29" t="str">
        <f t="shared" si="0"/>
        <v/>
      </c>
      <c r="D9" s="29" t="str">
        <f t="shared" si="0"/>
        <v/>
      </c>
      <c r="E9" s="29" t="str">
        <f t="shared" si="0"/>
        <v/>
      </c>
      <c r="F9" s="29">
        <f t="shared" si="0"/>
        <v>320472</v>
      </c>
      <c r="G9" s="29">
        <f t="shared" si="0"/>
        <v>315154</v>
      </c>
      <c r="H9" s="29">
        <f t="shared" si="0"/>
        <v>318186</v>
      </c>
      <c r="I9" s="29">
        <f t="shared" si="0"/>
        <v>320243</v>
      </c>
      <c r="J9" s="29">
        <f t="shared" si="0"/>
        <v>327775</v>
      </c>
      <c r="K9" s="29">
        <f t="shared" si="0"/>
        <v>323598</v>
      </c>
      <c r="L9" s="29">
        <f t="shared" si="0"/>
        <v>439297</v>
      </c>
      <c r="M9" s="67">
        <f>'Monthly EOP Balance'!AI9</f>
        <v>439424.56280184287</v>
      </c>
      <c r="N9" s="67">
        <f>'Monthly EOP Balance'!AL9</f>
        <v>439552.12560368574</v>
      </c>
      <c r="O9" s="67">
        <f>'Monthly EOP Balance'!AO9</f>
        <v>439679.68840552872</v>
      </c>
      <c r="P9" s="67">
        <f>'Monthly EOP Balance'!AR9</f>
        <v>439807.25120737165</v>
      </c>
    </row>
    <row r="10" spans="1:16" x14ac:dyDescent="0.2">
      <c r="A10" s="19" t="s">
        <v>84</v>
      </c>
      <c r="B10" s="32" t="str">
        <f t="shared" ref="B10:L10" si="1">IF(COUNT(B25:B26)=0,"",SUM(B25:B26))</f>
        <v/>
      </c>
      <c r="C10" s="32" t="str">
        <f t="shared" si="1"/>
        <v/>
      </c>
      <c r="D10" s="32" t="str">
        <f t="shared" si="1"/>
        <v/>
      </c>
      <c r="E10" s="32" t="str">
        <f t="shared" si="1"/>
        <v/>
      </c>
      <c r="F10" s="32">
        <f t="shared" si="1"/>
        <v>79117</v>
      </c>
      <c r="G10" s="32">
        <f t="shared" si="1"/>
        <v>78398</v>
      </c>
      <c r="H10" s="32">
        <f t="shared" si="1"/>
        <v>79250</v>
      </c>
      <c r="I10" s="32">
        <f t="shared" si="1"/>
        <v>83500</v>
      </c>
      <c r="J10" s="32">
        <f t="shared" si="1"/>
        <v>83013</v>
      </c>
      <c r="K10" s="32">
        <f t="shared" si="1"/>
        <v>84362</v>
      </c>
      <c r="L10" s="32">
        <f t="shared" si="1"/>
        <v>87196</v>
      </c>
      <c r="M10" s="65">
        <f>'Monthly EOP Balance'!AI10</f>
        <v>87196</v>
      </c>
      <c r="N10" s="65">
        <f>'Monthly EOP Balance'!AL10</f>
        <v>87196</v>
      </c>
      <c r="O10" s="65">
        <f>'Monthly EOP Balance'!AO10</f>
        <v>87196</v>
      </c>
      <c r="P10" s="65">
        <f>'Monthly EOP Balance'!AR10</f>
        <v>87196</v>
      </c>
    </row>
    <row r="11" spans="1:16" x14ac:dyDescent="0.2">
      <c r="A11" s="19" t="s">
        <v>85</v>
      </c>
      <c r="B11" s="32">
        <f t="shared" ref="B11:L11" si="2">IF(ISNUMBER(B27),B27,"")</f>
        <v>31256</v>
      </c>
      <c r="C11" s="32">
        <f t="shared" si="2"/>
        <v>46973</v>
      </c>
      <c r="D11" s="32">
        <f t="shared" si="2"/>
        <v>42048</v>
      </c>
      <c r="E11" s="32">
        <f t="shared" si="2"/>
        <v>45304</v>
      </c>
      <c r="F11" s="32">
        <f t="shared" si="2"/>
        <v>43755</v>
      </c>
      <c r="G11" s="32">
        <f t="shared" si="2"/>
        <v>51502</v>
      </c>
      <c r="H11" s="32">
        <f t="shared" si="2"/>
        <v>47829</v>
      </c>
      <c r="I11" s="32">
        <f t="shared" si="2"/>
        <v>49719</v>
      </c>
      <c r="J11" s="32">
        <f t="shared" si="2"/>
        <v>43671</v>
      </c>
      <c r="K11" s="32">
        <f t="shared" si="2"/>
        <v>48965</v>
      </c>
      <c r="L11" s="32">
        <f t="shared" si="2"/>
        <v>61578</v>
      </c>
      <c r="M11" s="65">
        <f>'Monthly EOP Balance'!AI11</f>
        <v>61609.473251807816</v>
      </c>
      <c r="N11" s="65">
        <f>'Monthly EOP Balance'!AL11</f>
        <v>61640.946503615633</v>
      </c>
      <c r="O11" s="65">
        <f>'Monthly EOP Balance'!AO11</f>
        <v>61672.419755423456</v>
      </c>
      <c r="P11" s="65">
        <f>'Monthly EOP Balance'!AR11</f>
        <v>61703.893007231287</v>
      </c>
    </row>
    <row r="12" spans="1:16" x14ac:dyDescent="0.2">
      <c r="A12" s="22" t="s">
        <v>86</v>
      </c>
      <c r="B12" s="29" t="str">
        <f t="shared" ref="B12:L12" si="3">IF(COUNT(B9:B11)&lt;3,"",SUM(B9:B11))</f>
        <v/>
      </c>
      <c r="C12" s="29" t="str">
        <f t="shared" si="3"/>
        <v/>
      </c>
      <c r="D12" s="29" t="str">
        <f t="shared" si="3"/>
        <v/>
      </c>
      <c r="E12" s="29" t="str">
        <f t="shared" si="3"/>
        <v/>
      </c>
      <c r="F12" s="29">
        <f t="shared" si="3"/>
        <v>443344</v>
      </c>
      <c r="G12" s="29">
        <f t="shared" si="3"/>
        <v>445054</v>
      </c>
      <c r="H12" s="29">
        <f t="shared" si="3"/>
        <v>445265</v>
      </c>
      <c r="I12" s="29">
        <f t="shared" si="3"/>
        <v>453462</v>
      </c>
      <c r="J12" s="29">
        <f t="shared" si="3"/>
        <v>454459</v>
      </c>
      <c r="K12" s="29">
        <f t="shared" si="3"/>
        <v>456925</v>
      </c>
      <c r="L12" s="29">
        <f t="shared" si="3"/>
        <v>588071</v>
      </c>
      <c r="M12" s="67">
        <f>'Monthly EOP Balance'!AI12</f>
        <v>588230.03605365066</v>
      </c>
      <c r="N12" s="67">
        <f>'Monthly EOP Balance'!AL12</f>
        <v>588389.07210730133</v>
      </c>
      <c r="O12" s="67">
        <f>'Monthly EOP Balance'!AO12</f>
        <v>588548.10816095211</v>
      </c>
      <c r="P12" s="67">
        <f>'Monthly EOP Balance'!AR12</f>
        <v>588707.144214603</v>
      </c>
    </row>
    <row r="13" spans="1:16" x14ac:dyDescent="0.2">
      <c r="A13" s="19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65"/>
      <c r="N13" s="65"/>
      <c r="O13" s="65"/>
      <c r="P13" s="65"/>
    </row>
    <row r="14" spans="1:16" x14ac:dyDescent="0.2">
      <c r="A14" s="27" t="s">
        <v>20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66"/>
      <c r="N14" s="66"/>
      <c r="O14" s="66"/>
      <c r="P14" s="66"/>
    </row>
    <row r="15" spans="1:16" x14ac:dyDescent="0.2">
      <c r="A15" s="19" t="s">
        <v>87</v>
      </c>
      <c r="B15" s="32" t="str">
        <f t="shared" ref="B15:L15" si="4">IF(ISNUMBER(B28),B28,"")</f>
        <v/>
      </c>
      <c r="C15" s="32" t="str">
        <f t="shared" si="4"/>
        <v/>
      </c>
      <c r="D15" s="32" t="str">
        <f t="shared" si="4"/>
        <v/>
      </c>
      <c r="E15" s="32" t="str">
        <f t="shared" si="4"/>
        <v/>
      </c>
      <c r="F15" s="32">
        <f t="shared" si="4"/>
        <v>320389</v>
      </c>
      <c r="G15" s="32">
        <f t="shared" si="4"/>
        <v>323352</v>
      </c>
      <c r="H15" s="32">
        <f t="shared" si="4"/>
        <v>324437</v>
      </c>
      <c r="I15" s="32">
        <f t="shared" si="4"/>
        <v>327253</v>
      </c>
      <c r="J15" s="32">
        <f t="shared" si="4"/>
        <v>336585</v>
      </c>
      <c r="K15" s="32">
        <f t="shared" si="4"/>
        <v>340964</v>
      </c>
      <c r="L15" s="32">
        <f t="shared" si="4"/>
        <v>440231</v>
      </c>
      <c r="M15" s="65">
        <f>'Monthly EOP Balance'!AI15</f>
        <v>440456.00732593791</v>
      </c>
      <c r="N15" s="65">
        <f>'Monthly EOP Balance'!AL15</f>
        <v>440681.01465187588</v>
      </c>
      <c r="O15" s="65">
        <f>'Monthly EOP Balance'!AO15</f>
        <v>440906.02197781386</v>
      </c>
      <c r="P15" s="65">
        <f>'Monthly EOP Balance'!AR15</f>
        <v>441131.02930375189</v>
      </c>
    </row>
    <row r="16" spans="1:16" x14ac:dyDescent="0.2">
      <c r="A16" s="19" t="s">
        <v>88</v>
      </c>
      <c r="B16" s="32"/>
      <c r="C16" s="32" t="str">
        <f>IF(ISNUMBER(C29),C29*Balance!B16/SUM(Balance!B16:'Balance'!B17),"")</f>
        <v/>
      </c>
      <c r="D16" s="32" t="str">
        <f>IF(ISNUMBER(D29),D29*Balance!C16/SUM(Balance!C16:'Balance'!C17),"")</f>
        <v/>
      </c>
      <c r="E16" s="32" t="str">
        <f>IF(ISNUMBER(E29),E29*Balance!D16/SUM(Balance!D16:'Balance'!D17),"")</f>
        <v/>
      </c>
      <c r="F16" s="32">
        <f>IF(ISNUMBER(F29),F29*Balance!E16/SUM(Balance!E16:'Balance'!E17),"")</f>
        <v>17559.230243536313</v>
      </c>
      <c r="G16" s="32">
        <f>IF(ISNUMBER(G29),G29*Balance!F16/SUM(Balance!F16:'Balance'!F17),"")</f>
        <v>17745.478210482146</v>
      </c>
      <c r="H16" s="32">
        <f>IF(ISNUMBER(H29),H29*Balance!G16/SUM(Balance!G16:'Balance'!G17),"")</f>
        <v>17023.537724550897</v>
      </c>
      <c r="I16" s="32">
        <f>IF(ISNUMBER(I29),I29*Balance!H16/SUM(Balance!H16:'Balance'!H17),"")</f>
        <v>16144.540418598823</v>
      </c>
      <c r="J16" s="32">
        <f>IF(ISNUMBER(J29),J29*Balance!I16/SUM(Balance!I16:'Balance'!I17),"")</f>
        <v>14654.52536896341</v>
      </c>
      <c r="K16" s="32">
        <f>IF(ISNUMBER(K29),K29*Balance!J16/SUM(Balance!J16:'Balance'!J17),"")</f>
        <v>12839.117607008306</v>
      </c>
      <c r="L16" s="32">
        <f>IF(ISNUMBER(L29),L29*Balance!K16/SUM(Balance!K16:'Balance'!K17),"")</f>
        <v>14749.966938908854</v>
      </c>
      <c r="M16" s="65">
        <f>'Monthly EOP Balance'!AI16</f>
        <v>14529.82183859977</v>
      </c>
      <c r="N16" s="65">
        <f>'Monthly EOP Balance'!AL16</f>
        <v>14312.962431430939</v>
      </c>
      <c r="O16" s="65">
        <f>'Monthly EOP Balance'!AO16</f>
        <v>14099.33967802153</v>
      </c>
      <c r="P16" s="65">
        <f>'Monthly EOP Balance'!AR16</f>
        <v>13888.905270909598</v>
      </c>
    </row>
    <row r="17" spans="1:16" x14ac:dyDescent="0.2">
      <c r="A17" s="19" t="s">
        <v>89</v>
      </c>
      <c r="B17" s="32"/>
      <c r="C17" s="32" t="str">
        <f>IF(ISNUMBER(C29),C29*Balance!B17/SUM(Balance!B16:'Balance'!B17),"")</f>
        <v/>
      </c>
      <c r="D17" s="32" t="str">
        <f>IF(ISNUMBER(D29),D29*Balance!C17/SUM(Balance!C16:'Balance'!C17),"")</f>
        <v/>
      </c>
      <c r="E17" s="32" t="str">
        <f>IF(ISNUMBER(E29),E29*Balance!D17/SUM(Balance!D16:'Balance'!D17),"")</f>
        <v/>
      </c>
      <c r="F17" s="32">
        <f>IF(ISNUMBER(F29),F29*Balance!E17/SUM(Balance!E16:'Balance'!E17),"")</f>
        <v>31758.769756463687</v>
      </c>
      <c r="G17" s="32">
        <f>IF(ISNUMBER(G29),G29*Balance!F17/SUM(Balance!F16:'Balance'!F17),"")</f>
        <v>32047.521789517854</v>
      </c>
      <c r="H17" s="32">
        <f>IF(ISNUMBER(H29),H29*Balance!G17/SUM(Balance!G16:'Balance'!G17),"")</f>
        <v>30217.462275449103</v>
      </c>
      <c r="I17" s="32">
        <f>IF(ISNUMBER(I29),I29*Balance!H17/SUM(Balance!H16:'Balance'!H17),"")</f>
        <v>32671.459581401177</v>
      </c>
      <c r="J17" s="32">
        <f>IF(ISNUMBER(J29),J29*Balance!I17/SUM(Balance!I16:'Balance'!I17),"")</f>
        <v>30334.474631036592</v>
      </c>
      <c r="K17" s="32">
        <f>IF(ISNUMBER(K29),K29*Balance!J17/SUM(Balance!J16:'Balance'!J17),"")</f>
        <v>28360.882392991694</v>
      </c>
      <c r="L17" s="32">
        <f>IF(ISNUMBER(L29),L29*Balance!K17/SUM(Balance!K16:'Balance'!K17),"")</f>
        <v>37174.033061091148</v>
      </c>
      <c r="M17" s="65">
        <f>'Monthly EOP Balance'!AI17</f>
        <v>37174.033061091148</v>
      </c>
      <c r="N17" s="65">
        <f>'Monthly EOP Balance'!AL17</f>
        <v>37174.033061091148</v>
      </c>
      <c r="O17" s="65">
        <f>'Monthly EOP Balance'!AO17</f>
        <v>37174.033061091148</v>
      </c>
      <c r="P17" s="65">
        <f>'Monthly EOP Balance'!AR17</f>
        <v>37174.033061091148</v>
      </c>
    </row>
    <row r="18" spans="1:16" x14ac:dyDescent="0.2">
      <c r="A18" s="19" t="s">
        <v>90</v>
      </c>
      <c r="B18" s="32" t="str">
        <f t="shared" ref="B18:L18" si="5">IF(COUNT(B30:B31)&lt;2,"",SUM(B30:B31))</f>
        <v/>
      </c>
      <c r="C18" s="32" t="str">
        <f t="shared" si="5"/>
        <v/>
      </c>
      <c r="D18" s="32" t="str">
        <f t="shared" si="5"/>
        <v/>
      </c>
      <c r="E18" s="32" t="str">
        <f t="shared" si="5"/>
        <v/>
      </c>
      <c r="F18" s="32">
        <f t="shared" si="5"/>
        <v>565</v>
      </c>
      <c r="G18" s="32">
        <f t="shared" si="5"/>
        <v>592</v>
      </c>
      <c r="H18" s="32">
        <f t="shared" si="5"/>
        <v>740</v>
      </c>
      <c r="I18" s="32">
        <f t="shared" si="5"/>
        <v>544</v>
      </c>
      <c r="J18" s="32">
        <f t="shared" si="5"/>
        <v>591</v>
      </c>
      <c r="K18" s="32">
        <f t="shared" si="5"/>
        <v>598</v>
      </c>
      <c r="L18" s="32">
        <f t="shared" si="5"/>
        <v>1302</v>
      </c>
      <c r="M18" s="65">
        <f>'Monthly EOP Balance'!AI18</f>
        <v>1302</v>
      </c>
      <c r="N18" s="65">
        <f>'Monthly EOP Balance'!AL18</f>
        <v>1302</v>
      </c>
      <c r="O18" s="65">
        <f>'Monthly EOP Balance'!AO18</f>
        <v>1302</v>
      </c>
      <c r="P18" s="65">
        <f>'Monthly EOP Balance'!AR18</f>
        <v>1302</v>
      </c>
    </row>
    <row r="19" spans="1:16" x14ac:dyDescent="0.2">
      <c r="A19" s="22" t="s">
        <v>91</v>
      </c>
      <c r="B19" s="29" t="str">
        <f t="shared" ref="B19:L19" si="6">IF(COUNT(B15:B18)&lt;4,"",SUM(B15:B18))</f>
        <v/>
      </c>
      <c r="C19" s="29" t="str">
        <f t="shared" si="6"/>
        <v/>
      </c>
      <c r="D19" s="29" t="str">
        <f t="shared" si="6"/>
        <v/>
      </c>
      <c r="E19" s="29" t="str">
        <f t="shared" si="6"/>
        <v/>
      </c>
      <c r="F19" s="29">
        <f t="shared" si="6"/>
        <v>370272</v>
      </c>
      <c r="G19" s="29">
        <f t="shared" si="6"/>
        <v>373737</v>
      </c>
      <c r="H19" s="29">
        <f t="shared" si="6"/>
        <v>372418</v>
      </c>
      <c r="I19" s="29">
        <f t="shared" si="6"/>
        <v>376613</v>
      </c>
      <c r="J19" s="29">
        <f t="shared" si="6"/>
        <v>382165</v>
      </c>
      <c r="K19" s="29">
        <f t="shared" si="6"/>
        <v>382762</v>
      </c>
      <c r="L19" s="29">
        <f t="shared" si="6"/>
        <v>493457</v>
      </c>
      <c r="M19" s="67">
        <f>'Monthly EOP Balance'!AI19</f>
        <v>493461.86222562881</v>
      </c>
      <c r="N19" s="67">
        <f>'Monthly EOP Balance'!AL19</f>
        <v>493470.01014439797</v>
      </c>
      <c r="O19" s="67">
        <f>'Monthly EOP Balance'!AO19</f>
        <v>493481.39471692656</v>
      </c>
      <c r="P19" s="67">
        <f>'Monthly EOP Balance'!AR19</f>
        <v>493495.96763575263</v>
      </c>
    </row>
    <row r="20" spans="1:16" x14ac:dyDescent="0.2">
      <c r="A20" s="19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65"/>
      <c r="N20" s="65"/>
      <c r="O20" s="65"/>
      <c r="P20" s="65"/>
    </row>
    <row r="21" spans="1:16" x14ac:dyDescent="0.2">
      <c r="A21" s="22" t="s">
        <v>26</v>
      </c>
      <c r="B21" s="29" t="str">
        <f t="shared" ref="B21:L21" si="7">IF(COUNT(B12,B19)&lt;2,"",B12-B19)</f>
        <v/>
      </c>
      <c r="C21" s="29" t="str">
        <f t="shared" si="7"/>
        <v/>
      </c>
      <c r="D21" s="29" t="str">
        <f t="shared" si="7"/>
        <v/>
      </c>
      <c r="E21" s="29" t="str">
        <f t="shared" si="7"/>
        <v/>
      </c>
      <c r="F21" s="29">
        <f t="shared" si="7"/>
        <v>73072</v>
      </c>
      <c r="G21" s="29">
        <f t="shared" si="7"/>
        <v>71317</v>
      </c>
      <c r="H21" s="29">
        <f t="shared" si="7"/>
        <v>72847</v>
      </c>
      <c r="I21" s="29">
        <f t="shared" si="7"/>
        <v>76849</v>
      </c>
      <c r="J21" s="29">
        <f t="shared" si="7"/>
        <v>72294</v>
      </c>
      <c r="K21" s="29">
        <f t="shared" si="7"/>
        <v>74163</v>
      </c>
      <c r="L21" s="29">
        <f t="shared" si="7"/>
        <v>94614</v>
      </c>
      <c r="M21" s="67">
        <f>'Monthly EOP Balance'!AI21</f>
        <v>94768.173828021856</v>
      </c>
      <c r="N21" s="67">
        <f>'Monthly EOP Balance'!AL21</f>
        <v>94919.061962903361</v>
      </c>
      <c r="O21" s="67">
        <f>'Monthly EOP Balance'!AO21</f>
        <v>95066.713444025547</v>
      </c>
      <c r="P21" s="67">
        <f>'Monthly EOP Balance'!AR21</f>
        <v>95211.176578850369</v>
      </c>
    </row>
    <row r="22" spans="1:16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68"/>
      <c r="N22" s="68"/>
      <c r="O22" s="68"/>
      <c r="P22" s="68"/>
    </row>
    <row r="23" spans="1:16" x14ac:dyDescent="0.2">
      <c r="A23" s="27" t="s">
        <v>92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69"/>
      <c r="N23" s="69"/>
      <c r="O23" s="69"/>
      <c r="P23" s="69"/>
    </row>
    <row r="24" spans="1:16" x14ac:dyDescent="0.2">
      <c r="A24" s="19" t="s">
        <v>93</v>
      </c>
      <c r="B24" s="31"/>
      <c r="C24" s="31"/>
      <c r="D24" s="31"/>
      <c r="E24" s="31"/>
      <c r="F24" s="31">
        <v>320472</v>
      </c>
      <c r="G24" s="31">
        <v>315154</v>
      </c>
      <c r="H24" s="31">
        <v>318186</v>
      </c>
      <c r="I24" s="31">
        <v>320243</v>
      </c>
      <c r="J24" s="31">
        <v>327775</v>
      </c>
      <c r="K24" s="31">
        <v>323598</v>
      </c>
      <c r="L24" s="31">
        <v>439297</v>
      </c>
      <c r="M24" s="65"/>
      <c r="N24" s="65"/>
      <c r="O24" s="65"/>
      <c r="P24" s="65"/>
    </row>
    <row r="25" spans="1:16" x14ac:dyDescent="0.2">
      <c r="A25" s="19" t="s">
        <v>94</v>
      </c>
      <c r="B25" s="31"/>
      <c r="C25" s="31"/>
      <c r="D25" s="31"/>
      <c r="E25" s="31"/>
      <c r="F25" s="31">
        <v>79117</v>
      </c>
      <c r="G25" s="31">
        <v>78398</v>
      </c>
      <c r="H25" s="31">
        <v>79250</v>
      </c>
      <c r="I25" s="31">
        <v>83500</v>
      </c>
      <c r="J25" s="31">
        <v>83013</v>
      </c>
      <c r="K25" s="31">
        <v>84362</v>
      </c>
      <c r="L25" s="31">
        <v>87196</v>
      </c>
      <c r="M25" s="65"/>
      <c r="N25" s="65"/>
      <c r="O25" s="65"/>
      <c r="P25" s="65"/>
    </row>
    <row r="26" spans="1:16" x14ac:dyDescent="0.2">
      <c r="A26" s="19" t="s">
        <v>95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65"/>
      <c r="N26" s="65"/>
      <c r="O26" s="65"/>
      <c r="P26" s="65"/>
    </row>
    <row r="27" spans="1:16" x14ac:dyDescent="0.2">
      <c r="A27" s="19" t="s">
        <v>96</v>
      </c>
      <c r="B27" s="31">
        <v>31256</v>
      </c>
      <c r="C27" s="31">
        <v>46973</v>
      </c>
      <c r="D27" s="31">
        <v>42048</v>
      </c>
      <c r="E27" s="31">
        <v>45304</v>
      </c>
      <c r="F27" s="31">
        <v>43755</v>
      </c>
      <c r="G27" s="31">
        <v>51502</v>
      </c>
      <c r="H27" s="31">
        <v>47829</v>
      </c>
      <c r="I27" s="31">
        <v>49719</v>
      </c>
      <c r="J27" s="31">
        <v>43671</v>
      </c>
      <c r="K27" s="31">
        <v>48965</v>
      </c>
      <c r="L27" s="31">
        <v>61578</v>
      </c>
      <c r="M27" s="65"/>
      <c r="N27" s="65"/>
      <c r="O27" s="65"/>
      <c r="P27" s="65"/>
    </row>
    <row r="28" spans="1:16" x14ac:dyDescent="0.2">
      <c r="A28" s="19" t="s">
        <v>87</v>
      </c>
      <c r="B28" s="31"/>
      <c r="C28" s="31"/>
      <c r="D28" s="31"/>
      <c r="E28" s="31"/>
      <c r="F28" s="31">
        <v>320389</v>
      </c>
      <c r="G28" s="31">
        <v>323352</v>
      </c>
      <c r="H28" s="31">
        <v>324437</v>
      </c>
      <c r="I28" s="31">
        <v>327253</v>
      </c>
      <c r="J28" s="31">
        <v>336585</v>
      </c>
      <c r="K28" s="31">
        <v>340964</v>
      </c>
      <c r="L28" s="31">
        <v>440231</v>
      </c>
      <c r="M28" s="65"/>
      <c r="N28" s="65"/>
      <c r="O28" s="65"/>
      <c r="P28" s="65"/>
    </row>
    <row r="29" spans="1:16" x14ac:dyDescent="0.2">
      <c r="A29" s="19" t="s">
        <v>97</v>
      </c>
      <c r="B29" s="31"/>
      <c r="C29" s="31"/>
      <c r="D29" s="31"/>
      <c r="E29" s="31"/>
      <c r="F29" s="31">
        <v>49318</v>
      </c>
      <c r="G29" s="31">
        <v>49793</v>
      </c>
      <c r="H29" s="31">
        <v>47241</v>
      </c>
      <c r="I29" s="31">
        <v>48816</v>
      </c>
      <c r="J29" s="31">
        <v>44989</v>
      </c>
      <c r="K29" s="31">
        <v>41200</v>
      </c>
      <c r="L29" s="31">
        <v>51924</v>
      </c>
      <c r="M29" s="65"/>
      <c r="N29" s="65"/>
      <c r="O29" s="65"/>
      <c r="P29" s="65"/>
    </row>
    <row r="30" spans="1:16" x14ac:dyDescent="0.2">
      <c r="A30" s="19" t="s">
        <v>98</v>
      </c>
      <c r="B30" s="31"/>
      <c r="C30" s="31"/>
      <c r="D30" s="31"/>
      <c r="E30" s="31"/>
      <c r="F30" s="31">
        <v>538</v>
      </c>
      <c r="G30" s="31">
        <v>568</v>
      </c>
      <c r="H30" s="31">
        <v>715</v>
      </c>
      <c r="I30" s="31">
        <v>520</v>
      </c>
      <c r="J30" s="31">
        <v>562</v>
      </c>
      <c r="K30" s="31">
        <v>573</v>
      </c>
      <c r="L30" s="31">
        <v>742</v>
      </c>
      <c r="M30" s="65"/>
      <c r="N30" s="65"/>
      <c r="O30" s="65"/>
      <c r="P30" s="65"/>
    </row>
    <row r="31" spans="1:16" x14ac:dyDescent="0.2">
      <c r="A31" s="19" t="s">
        <v>90</v>
      </c>
      <c r="B31" s="31"/>
      <c r="C31" s="31"/>
      <c r="D31" s="31"/>
      <c r="E31" s="31"/>
      <c r="F31" s="31">
        <v>27</v>
      </c>
      <c r="G31" s="31">
        <v>24</v>
      </c>
      <c r="H31" s="31">
        <v>25</v>
      </c>
      <c r="I31" s="31">
        <v>24</v>
      </c>
      <c r="J31" s="31">
        <v>29</v>
      </c>
      <c r="K31" s="31">
        <v>25</v>
      </c>
      <c r="L31" s="31">
        <v>560</v>
      </c>
      <c r="M31" s="65"/>
      <c r="N31" s="65"/>
      <c r="O31" s="65"/>
      <c r="P31" s="6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1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5" x14ac:dyDescent="0.2"/>
  <cols>
    <col min="1" max="1" width="43" customWidth="1"/>
    <col min="2" max="44" width="12" customWidth="1"/>
  </cols>
  <sheetData>
    <row r="1" spans="1:44" ht="18" x14ac:dyDescent="0.2">
      <c r="A1" s="23" t="s">
        <v>99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</row>
    <row r="2" spans="1:44" ht="31" customHeight="1" x14ac:dyDescent="0.2">
      <c r="A2" s="25" t="s">
        <v>100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spans="1:4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</row>
    <row r="4" spans="1:44" x14ac:dyDescent="0.2">
      <c r="A4" s="22" t="s">
        <v>1</v>
      </c>
      <c r="B4" s="26">
        <v>44926</v>
      </c>
      <c r="C4" s="26">
        <v>44957</v>
      </c>
      <c r="D4" s="26">
        <v>44985</v>
      </c>
      <c r="E4" s="26">
        <v>45016</v>
      </c>
      <c r="F4" s="26">
        <v>45046</v>
      </c>
      <c r="G4" s="26">
        <v>45077</v>
      </c>
      <c r="H4" s="26">
        <v>45107</v>
      </c>
      <c r="I4" s="26">
        <v>45138</v>
      </c>
      <c r="J4" s="26">
        <v>45169</v>
      </c>
      <c r="K4" s="26">
        <v>45199</v>
      </c>
      <c r="L4" s="26">
        <v>45230</v>
      </c>
      <c r="M4" s="26">
        <v>45260</v>
      </c>
      <c r="N4" s="26">
        <v>45291</v>
      </c>
      <c r="O4" s="26">
        <v>45322</v>
      </c>
      <c r="P4" s="26">
        <v>45351</v>
      </c>
      <c r="Q4" s="26">
        <v>45382</v>
      </c>
      <c r="R4" s="26">
        <v>45412</v>
      </c>
      <c r="S4" s="26">
        <v>45443</v>
      </c>
      <c r="T4" s="26">
        <v>45473</v>
      </c>
      <c r="U4" s="26">
        <v>45504</v>
      </c>
      <c r="V4" s="26">
        <v>45535</v>
      </c>
      <c r="W4" s="26">
        <v>45565</v>
      </c>
      <c r="X4" s="26">
        <v>45596</v>
      </c>
      <c r="Y4" s="26">
        <v>45626</v>
      </c>
      <c r="Z4" s="26">
        <v>45657</v>
      </c>
      <c r="AA4" s="26">
        <v>45688</v>
      </c>
      <c r="AB4" s="26">
        <v>45716</v>
      </c>
      <c r="AC4" s="26">
        <v>45747</v>
      </c>
      <c r="AD4" s="26">
        <v>45777</v>
      </c>
      <c r="AE4" s="26">
        <v>45808</v>
      </c>
      <c r="AF4" s="26">
        <v>45838</v>
      </c>
      <c r="AG4" s="64">
        <v>45869</v>
      </c>
      <c r="AH4" s="64">
        <v>45900</v>
      </c>
      <c r="AI4" s="64">
        <v>45930</v>
      </c>
      <c r="AJ4" s="64">
        <v>45961</v>
      </c>
      <c r="AK4" s="64">
        <v>45991</v>
      </c>
      <c r="AL4" s="64">
        <v>46022</v>
      </c>
      <c r="AM4" s="64">
        <v>46053</v>
      </c>
      <c r="AN4" s="64">
        <v>46081</v>
      </c>
      <c r="AO4" s="64">
        <v>46112</v>
      </c>
      <c r="AP4" s="64">
        <v>46142</v>
      </c>
      <c r="AQ4" s="64">
        <v>46173</v>
      </c>
      <c r="AR4" s="64">
        <v>46203</v>
      </c>
    </row>
    <row r="5" spans="1:44" x14ac:dyDescent="0.2">
      <c r="A5" s="27" t="s">
        <v>12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</row>
    <row r="6" spans="1:44" x14ac:dyDescent="0.2">
      <c r="A6" s="19" t="s">
        <v>80</v>
      </c>
      <c r="B6" s="32">
        <f>IF(ISNUMBER('Quarter-End Anchors'!B6),'Quarter-End Anchors'!B6,Balance!B6)</f>
        <v>134669</v>
      </c>
      <c r="C6" s="32">
        <f>B6+(E6-B6)/3+(2*Balance!B6-B6-E6)</f>
        <v>134669</v>
      </c>
      <c r="D6" s="32">
        <f>B6+2*(E6-B6)/3+(2*Balance!B6-B6-E6)</f>
        <v>134669</v>
      </c>
      <c r="E6" s="32">
        <f>IF(ISNUMBER('Quarter-End Anchors'!C6),'Quarter-End Anchors'!C6,2*Balance!B6-B6)</f>
        <v>134669</v>
      </c>
      <c r="F6" s="32">
        <f>E6+(H6-E6)/3+(2*Balance!C6-E6-H6)</f>
        <v>137397.66666666666</v>
      </c>
      <c r="G6" s="32">
        <f>E6+2*(H6-E6)/3+(2*Balance!C6-E6-H6)</f>
        <v>140126.33333333334</v>
      </c>
      <c r="H6" s="32">
        <f>IF(ISNUMBER('Quarter-End Anchors'!D6),'Quarter-End Anchors'!D6,2*Balance!C6-E6)</f>
        <v>142855</v>
      </c>
      <c r="I6" s="32">
        <f>H6+(K6-H6)/3+(2*Balance!D6-H6-K6)</f>
        <v>143653.66666666666</v>
      </c>
      <c r="J6" s="32">
        <f>H6+2*(K6-H6)/3+(2*Balance!D6-H6-K6)</f>
        <v>144452.33333333334</v>
      </c>
      <c r="K6" s="32">
        <f>IF(ISNUMBER('Quarter-End Anchors'!E6),'Quarter-End Anchors'!E6,2*Balance!D6-H6)</f>
        <v>145251</v>
      </c>
      <c r="L6" s="32">
        <f>K6+(N6-K6)/3+(2*Balance!E6-K6-N6)</f>
        <v>149221.68808193962</v>
      </c>
      <c r="M6" s="32">
        <f>K6+2*(N6-K6)/3+(2*Balance!E6-K6-N6)</f>
        <v>151097.34404096982</v>
      </c>
      <c r="N6" s="32">
        <f>IF(ISNUMBER('Quarter-End Anchors'!F6),'Quarter-End Anchors'!F6,2*Balance!E6-K6)</f>
        <v>150877.96787709056</v>
      </c>
      <c r="O6" s="32">
        <f>N6+(Q6-N6)/3+(2*Balance!F6-N6-Q6)</f>
        <v>149902.3293318098</v>
      </c>
      <c r="P6" s="32">
        <f>N6+2*(Q6-N6)/3+(2*Balance!F6-N6-Q6)</f>
        <v>149561.18072735961</v>
      </c>
      <c r="Q6" s="32">
        <f>IF(ISNUMBER('Quarter-End Anchors'!G6),'Quarter-End Anchors'!G6,2*Balance!F6-N6)</f>
        <v>149854.52206374003</v>
      </c>
      <c r="R6" s="32">
        <f>Q6+(T6-Q6)/3+(2*Balance!G6-Q6-T6)</f>
        <v>150450.63578255693</v>
      </c>
      <c r="S6" s="32">
        <f>Q6+2*(T6-Q6)/3+(2*Balance!G6-Q6-T6)</f>
        <v>151164.05685940845</v>
      </c>
      <c r="T6" s="32">
        <f>IF(ISNUMBER('Quarter-End Anchors'!H6),'Quarter-End Anchors'!H6,2*Balance!G6-Q6)</f>
        <v>151994.78529429459</v>
      </c>
      <c r="U6" s="32">
        <f>T6+(W6-T6)/3+(2*Balance!H6-T6-W6)</f>
        <v>154389.01698479717</v>
      </c>
      <c r="V6" s="32">
        <f>T6+2*(W6-T6)/3+(2*Balance!H6-T6-W6)</f>
        <v>155357.1158452513</v>
      </c>
      <c r="W6" s="32">
        <f>IF(ISNUMBER('Quarter-End Anchors'!I6),'Quarter-End Anchors'!I6,2*Balance!H6-T6)</f>
        <v>154899.08187565694</v>
      </c>
      <c r="X6" s="32">
        <f>W6+(Z6-W6)/3+(2*Balance!I6-W6-Z6)</f>
        <v>156385.97797193096</v>
      </c>
      <c r="Y6" s="32">
        <f>W6+2*(Z6-W6)/3+(2*Balance!I6-W6-Z6)</f>
        <v>158103.44804813701</v>
      </c>
      <c r="Z6" s="32">
        <f>IF(ISNUMBER('Quarter-End Anchors'!J6),'Quarter-End Anchors'!J6,2*Balance!I6-W6)</f>
        <v>160051.49210427509</v>
      </c>
      <c r="AA6" s="32">
        <f>Z6+(AC6-Z6)/3+(2*Balance!J6-Z6-AC6)</f>
        <v>154926.6620385483</v>
      </c>
      <c r="AB6" s="32">
        <f>Z6+2*(AC6-Z6)/3+(2*Balance!J6-Z6-AC6)</f>
        <v>153845.58496713659</v>
      </c>
      <c r="AC6" s="32">
        <f>IF(ISNUMBER('Quarter-End Anchors'!K6),'Quarter-End Anchors'!K6,2*Balance!J6-Z6)</f>
        <v>156808.26089004002</v>
      </c>
      <c r="AD6" s="32">
        <f>AC6+(AF6-AC6)/3+(2*Balance!K6-AC6-AF6)</f>
        <v>204882.31846245495</v>
      </c>
      <c r="AE6" s="32">
        <f>AC6+2*(AF6-AC6)/3+(2*Balance!K6-AC6-AF6)</f>
        <v>233730.02878620746</v>
      </c>
      <c r="AF6" s="32">
        <f>IF(ISNUMBER('Quarter-End Anchors'!L6),'Quarter-End Anchors'!L6,2*Balance!K6-AC6)</f>
        <v>243351.39186129757</v>
      </c>
      <c r="AG6" s="65">
        <f>AF6*('Forecast Drivers'!C12/'Forecast Drivers'!B12)*((1-'Forecast Drivers'!C11/100)/(1-'Forecast Drivers'!B11/100))</f>
        <v>243392.85179630591</v>
      </c>
      <c r="AH6" s="65">
        <f>AG6*('Forecast Drivers'!D12/'Forecast Drivers'!C12)*((1-'Forecast Drivers'!D11/100)/(1-'Forecast Drivers'!C11/100))</f>
        <v>243434.31173131426</v>
      </c>
      <c r="AI6" s="65">
        <f>AH6*('Forecast Drivers'!E12/'Forecast Drivers'!D12)*((1-'Forecast Drivers'!E11/100)/(1-'Forecast Drivers'!D11/100))</f>
        <v>243475.7716663226</v>
      </c>
      <c r="AJ6" s="65">
        <f>AI6*('Forecast Drivers'!F12/'Forecast Drivers'!E12)*((1-'Forecast Drivers'!F11/100)/(1-'Forecast Drivers'!E11/100))</f>
        <v>243517.23160133098</v>
      </c>
      <c r="AK6" s="65">
        <f>AJ6*('Forecast Drivers'!G12/'Forecast Drivers'!F12)*((1-'Forecast Drivers'!G11/100)/(1-'Forecast Drivers'!F11/100))</f>
        <v>243558.69153633935</v>
      </c>
      <c r="AL6" s="65">
        <f>AK6*('Forecast Drivers'!H12/'Forecast Drivers'!G12)*((1-'Forecast Drivers'!H11/100)/(1-'Forecast Drivers'!G11/100))</f>
        <v>243600.15147134769</v>
      </c>
      <c r="AM6" s="65">
        <f>AL6*('Forecast Drivers'!I12/'Forecast Drivers'!H12)*((1-'Forecast Drivers'!I11/100)/(1-'Forecast Drivers'!H11/100))</f>
        <v>243641.61140635607</v>
      </c>
      <c r="AN6" s="65">
        <f>AM6*('Forecast Drivers'!J12/'Forecast Drivers'!I12)*((1-'Forecast Drivers'!J11/100)/(1-'Forecast Drivers'!I11/100))</f>
        <v>243683.07134136441</v>
      </c>
      <c r="AO6" s="65">
        <f>AN6*('Forecast Drivers'!K12/'Forecast Drivers'!J12)*((1-'Forecast Drivers'!K11/100)/(1-'Forecast Drivers'!J11/100))</f>
        <v>243724.53127637276</v>
      </c>
      <c r="AP6" s="65">
        <f>AO6*('Forecast Drivers'!L12/'Forecast Drivers'!K12)*((1-'Forecast Drivers'!L11/100)/(1-'Forecast Drivers'!K11/100))</f>
        <v>243765.99121138113</v>
      </c>
      <c r="AQ6" s="65">
        <f>AP6*('Forecast Drivers'!M12/'Forecast Drivers'!L12)*((1-'Forecast Drivers'!M11/100)/(1-'Forecast Drivers'!L11/100))</f>
        <v>243807.4511463895</v>
      </c>
      <c r="AR6" s="65">
        <f>AQ6*('Forecast Drivers'!N12/'Forecast Drivers'!M12)*((1-'Forecast Drivers'!N11/100)/(1-'Forecast Drivers'!M11/100))</f>
        <v>243848.91108139785</v>
      </c>
    </row>
    <row r="7" spans="1:44" x14ac:dyDescent="0.2">
      <c r="A7" s="19" t="s">
        <v>81</v>
      </c>
      <c r="B7" s="32">
        <f>IF(ISNUMBER('Quarter-End Anchors'!B7),'Quarter-End Anchors'!B7,Balance!B7)</f>
        <v>79000</v>
      </c>
      <c r="C7" s="32">
        <f>B7+(E7-B7)/3+(2*Balance!B7-B7-E7)</f>
        <v>79000</v>
      </c>
      <c r="D7" s="32">
        <f>B7+2*(E7-B7)/3+(2*Balance!B7-B7-E7)</f>
        <v>79000</v>
      </c>
      <c r="E7" s="32">
        <f>IF(ISNUMBER('Quarter-End Anchors'!C7),'Quarter-End Anchors'!C7,2*Balance!B7-B7)</f>
        <v>79000</v>
      </c>
      <c r="F7" s="32">
        <f>E7+(H7-E7)/3+(2*Balance!C7-E7-H7)</f>
        <v>78132.666666666672</v>
      </c>
      <c r="G7" s="32">
        <f>E7+2*(H7-E7)/3+(2*Balance!C7-E7-H7)</f>
        <v>77265.333333333328</v>
      </c>
      <c r="H7" s="32">
        <f>IF(ISNUMBER('Quarter-End Anchors'!D7),'Quarter-End Anchors'!D7,2*Balance!C7-E7)</f>
        <v>76398</v>
      </c>
      <c r="I7" s="32">
        <f>H7+(K7-H7)/3+(2*Balance!D7-H7-K7)</f>
        <v>76902</v>
      </c>
      <c r="J7" s="32">
        <f>H7+2*(K7-H7)/3+(2*Balance!D7-H7-K7)</f>
        <v>77406</v>
      </c>
      <c r="K7" s="32">
        <f>IF(ISNUMBER('Quarter-End Anchors'!E7),'Quarter-End Anchors'!E7,2*Balance!D7-H7)</f>
        <v>77910</v>
      </c>
      <c r="L7" s="32">
        <f>K7+(N7-K7)/3+(2*Balance!E7-K7-N7)</f>
        <v>75060.174367976855</v>
      </c>
      <c r="M7" s="32">
        <f>K7+2*(N7-K7)/3+(2*Balance!E7-K7-N7)</f>
        <v>74799.087183988435</v>
      </c>
      <c r="N7" s="32">
        <f>IF(ISNUMBER('Quarter-End Anchors'!F7),'Quarter-End Anchors'!F7,2*Balance!E7-K7)</f>
        <v>77126.73844803471</v>
      </c>
      <c r="O7" s="32">
        <f>N7+(Q7-N7)/3+(2*Balance!F7-N7-Q7)</f>
        <v>74477.303956339223</v>
      </c>
      <c r="P7" s="32">
        <f>N7+2*(Q7-N7)/3+(2*Balance!F7-N7-Q7)</f>
        <v>73766.282754152257</v>
      </c>
      <c r="Q7" s="32">
        <f>IF(ISNUMBER('Quarter-End Anchors'!G7),'Quarter-End Anchors'!G7,2*Balance!F7-N7)</f>
        <v>74993.67484147381</v>
      </c>
      <c r="R7" s="32">
        <f>Q7+(T7-Q7)/3+(2*Balance!G7-Q7-T7)</f>
        <v>75140.74772529889</v>
      </c>
      <c r="S7" s="32">
        <f>Q7+2*(T7-Q7)/3+(2*Balance!G7-Q7-T7)</f>
        <v>75459.53644191254</v>
      </c>
      <c r="T7" s="32">
        <f>IF(ISNUMBER('Quarter-End Anchors'!H7),'Quarter-End Anchors'!H7,2*Balance!G7-Q7)</f>
        <v>75950.04099131476</v>
      </c>
      <c r="U7" s="32">
        <f>T7+(W7-T7)/3+(2*Balance!H7-T7-W7)</f>
        <v>76015.829203157598</v>
      </c>
      <c r="V7" s="32">
        <f>T7+2*(W7-T7)/3+(2*Balance!H7-T7-W7)</f>
        <v>76214.894105921412</v>
      </c>
      <c r="W7" s="32">
        <f>IF(ISNUMBER('Quarter-End Anchors'!I7),'Quarter-End Anchors'!I7,2*Balance!H7-T7)</f>
        <v>76547.23569960623</v>
      </c>
      <c r="X7" s="32">
        <f>W7+(Z7-W7)/3+(2*Balance!I7-W7-Z7)</f>
        <v>76578.279903616814</v>
      </c>
      <c r="Y7" s="32">
        <f>W7+2*(Z7-W7)/3+(2*Balance!I7-W7-Z7)</f>
        <v>77246.5221020053</v>
      </c>
      <c r="Z7" s="32">
        <f>IF(ISNUMBER('Quarter-End Anchors'!J7),'Quarter-End Anchors'!J7,2*Balance!I7-W7)</f>
        <v>78551.962294771656</v>
      </c>
      <c r="AA7" s="32">
        <f>Z7+(AC7-Z7)/3+(2*Balance!J7-Z7-AC7)</f>
        <v>78322.121400650169</v>
      </c>
      <c r="AB7" s="32">
        <f>Z7+2*(AC7-Z7)/3+(2*Balance!J7-Z7-AC7)</f>
        <v>78365.079552939249</v>
      </c>
      <c r="AC7" s="32">
        <f>IF(ISNUMBER('Quarter-End Anchors'!K7),'Quarter-End Anchors'!K7,2*Balance!J7-Z7)</f>
        <v>78680.836751638926</v>
      </c>
      <c r="AD7" s="32">
        <f>AC7+(AF7-AC7)/3+(2*Balance!K7-AC7-AF7)</f>
        <v>71995.544036245556</v>
      </c>
      <c r="AE7" s="32">
        <f>AC7+2*(AF7-AC7)/3+(2*Balance!K7-AC7-AF7)</f>
        <v>76752.353642303322</v>
      </c>
      <c r="AF7" s="32">
        <f>IF(ISNUMBER('Quarter-End Anchors'!L7),'Quarter-End Anchors'!L7,2*Balance!K7-AC7)</f>
        <v>92951.265569812196</v>
      </c>
      <c r="AG7" s="65">
        <f>AF7*('Forecast Drivers'!C9/'Forecast Drivers'!B9)</f>
        <v>92934.779355577659</v>
      </c>
      <c r="AH7" s="65">
        <f>AG7*('Forecast Drivers'!D9/'Forecast Drivers'!C9)</f>
        <v>92918.293141343136</v>
      </c>
      <c r="AI7" s="65">
        <f>AH7*('Forecast Drivers'!E9/'Forecast Drivers'!D9)</f>
        <v>92901.806927108599</v>
      </c>
      <c r="AJ7" s="65">
        <f>AI7*('Forecast Drivers'!F9/'Forecast Drivers'!E9)</f>
        <v>92885.320712874061</v>
      </c>
      <c r="AK7" s="65">
        <f>AJ7*('Forecast Drivers'!G9/'Forecast Drivers'!F9)</f>
        <v>92868.834498639539</v>
      </c>
      <c r="AL7" s="65">
        <f>AK7*('Forecast Drivers'!H9/'Forecast Drivers'!G9)</f>
        <v>92852.348284405001</v>
      </c>
      <c r="AM7" s="65">
        <f>AL7*('Forecast Drivers'!I9/'Forecast Drivers'!H9)</f>
        <v>92835.862070170479</v>
      </c>
      <c r="AN7" s="65">
        <f>AM7*('Forecast Drivers'!J9/'Forecast Drivers'!I9)</f>
        <v>92819.375855935941</v>
      </c>
      <c r="AO7" s="65">
        <f>AN7*('Forecast Drivers'!K9/'Forecast Drivers'!J9)</f>
        <v>92802.889641701418</v>
      </c>
      <c r="AP7" s="65">
        <f>AO7*('Forecast Drivers'!L9/'Forecast Drivers'!K9)</f>
        <v>92786.403427466881</v>
      </c>
      <c r="AQ7" s="65">
        <f>AP7*('Forecast Drivers'!M9/'Forecast Drivers'!L9)</f>
        <v>92769.917213232344</v>
      </c>
      <c r="AR7" s="65">
        <f>AQ7*('Forecast Drivers'!N9/'Forecast Drivers'!M9)</f>
        <v>92753.430998997806</v>
      </c>
    </row>
    <row r="8" spans="1:44" x14ac:dyDescent="0.2">
      <c r="A8" s="19" t="s">
        <v>82</v>
      </c>
      <c r="B8" s="32">
        <f>IF(ISNUMBER('Quarter-End Anchors'!B8),'Quarter-End Anchors'!B8,Balance!B8)</f>
        <v>94446</v>
      </c>
      <c r="C8" s="32">
        <f>B8+(E8-B8)/3+(2*Balance!B8-B8-E8)</f>
        <v>94446</v>
      </c>
      <c r="D8" s="32">
        <f>B8+2*(E8-B8)/3+(2*Balance!B8-B8-E8)</f>
        <v>94446</v>
      </c>
      <c r="E8" s="32">
        <f>IF(ISNUMBER('Quarter-End Anchors'!C8),'Quarter-End Anchors'!C8,2*Balance!B8-B8)</f>
        <v>94446</v>
      </c>
      <c r="F8" s="32">
        <f>E8+(H8-E8)/3+(2*Balance!C8-E8-H8)</f>
        <v>94064.666666666672</v>
      </c>
      <c r="G8" s="32">
        <f>E8+2*(H8-E8)/3+(2*Balance!C8-E8-H8)</f>
        <v>93683.333333333328</v>
      </c>
      <c r="H8" s="32">
        <f>IF(ISNUMBER('Quarter-End Anchors'!D8),'Quarter-End Anchors'!D8,2*Balance!C8-E8)</f>
        <v>93302</v>
      </c>
      <c r="I8" s="32">
        <f>H8+(K8-H8)/3+(2*Balance!D8-H8-K8)</f>
        <v>92603.333333333328</v>
      </c>
      <c r="J8" s="32">
        <f>H8+2*(K8-H8)/3+(2*Balance!D8-H8-K8)</f>
        <v>91904.666666666672</v>
      </c>
      <c r="K8" s="32">
        <f>IF(ISNUMBER('Quarter-End Anchors'!E8),'Quarter-End Anchors'!E8,2*Balance!D8-H8)</f>
        <v>91206</v>
      </c>
      <c r="L8" s="32">
        <f>K8+(N8-K8)/3+(2*Balance!E8-K8-N8)</f>
        <v>90723.137550083513</v>
      </c>
      <c r="M8" s="32">
        <f>K8+2*(N8-K8)/3+(2*Balance!E8-K8-N8)</f>
        <v>91143.568775041756</v>
      </c>
      <c r="N8" s="32">
        <f>IF(ISNUMBER('Quarter-End Anchors'!F8),'Quarter-End Anchors'!F8,2*Balance!E8-K8)</f>
        <v>92467.293674874731</v>
      </c>
      <c r="O8" s="32">
        <f>N8+(Q8-N8)/3+(2*Balance!F8-N8-Q8)</f>
        <v>89819.700045184334</v>
      </c>
      <c r="P8" s="32">
        <f>N8+2*(Q8-N8)/3+(2*Balance!F8-N8-Q8)</f>
        <v>89099.203185154794</v>
      </c>
      <c r="Q8" s="32">
        <f>IF(ISNUMBER('Quarter-End Anchors'!G8),'Quarter-End Anchors'!G8,2*Balance!F8-N8)</f>
        <v>90305.803094786141</v>
      </c>
      <c r="R8" s="32">
        <f>Q8+(T8-Q8)/3+(2*Balance!G8-Q8-T8)</f>
        <v>88879.283158810853</v>
      </c>
      <c r="S8" s="32">
        <f>Q8+2*(T8-Q8)/3+(2*Balance!G8-Q8-T8)</f>
        <v>88857.740032012356</v>
      </c>
      <c r="T8" s="32">
        <f>IF(ISNUMBER('Quarter-End Anchors'!H8),'Quarter-End Anchors'!H8,2*Balance!G8-Q8)</f>
        <v>90241.17371439065</v>
      </c>
      <c r="U8" s="32">
        <f>T8+(W8-T8)/3+(2*Balance!H8-T8-W8)</f>
        <v>87467.820478711888</v>
      </c>
      <c r="V8" s="32">
        <f>T8+2*(W8-T8)/3+(2*Balance!H8-T8-W8)</f>
        <v>86986.323382160626</v>
      </c>
      <c r="W8" s="32">
        <f>IF(ISNUMBER('Quarter-End Anchors'!I8),'Quarter-End Anchors'!I8,2*Balance!H8-T8)</f>
        <v>88796.682424736835</v>
      </c>
      <c r="X8" s="32">
        <f>W8+(Z8-W8)/3+(2*Balance!I8-W8-Z8)</f>
        <v>86297.408791118884</v>
      </c>
      <c r="Y8" s="32">
        <f>W8+2*(Z8-W8)/3+(2*Balance!I8-W8-Z8)</f>
        <v>86422.363183191017</v>
      </c>
      <c r="Z8" s="32">
        <f>IF(ISNUMBER('Quarter-End Anchors'!J8),'Quarter-End Anchors'!J8,2*Balance!I8-W8)</f>
        <v>89171.545600953265</v>
      </c>
      <c r="AA8" s="32">
        <f>Z8+(AC8-Z8)/3+(2*Balance!J8-Z8-AC8)</f>
        <v>87304.883227468206</v>
      </c>
      <c r="AB8" s="32">
        <f>Z8+2*(AC8-Z8)/3+(2*Balance!J8-Z8-AC8)</f>
        <v>86950.668813257478</v>
      </c>
      <c r="AC8" s="32">
        <f>IF(ISNUMBER('Quarter-End Anchors'!K8),'Quarter-End Anchors'!K8,2*Balance!J8-Z8)</f>
        <v>88108.902358321051</v>
      </c>
      <c r="AD8" s="32">
        <f>AC8+(AF8-AC8)/3+(2*Balance!K8-AC8-AF8)</f>
        <v>79465.470834632841</v>
      </c>
      <c r="AE8" s="32">
        <f>AC8+2*(AF8-AC8)/3+(2*Balance!K8-AC8-AF8)</f>
        <v>84427.284238155888</v>
      </c>
      <c r="AF8" s="32">
        <f>IF(ISNUMBER('Quarter-End Anchors'!L8),'Quarter-End Anchors'!L8,2*Balance!K8-AC8)</f>
        <v>102994.34256889022</v>
      </c>
      <c r="AG8" s="65">
        <f>AF8*('Forecast Drivers'!C12/'Forecast Drivers'!B12)</f>
        <v>103011.88978206403</v>
      </c>
      <c r="AH8" s="65">
        <f>AG8*('Forecast Drivers'!D12/'Forecast Drivers'!C12)</f>
        <v>103029.43699523783</v>
      </c>
      <c r="AI8" s="65">
        <f>AH8*('Forecast Drivers'!E12/'Forecast Drivers'!D12)</f>
        <v>103046.98420841164</v>
      </c>
      <c r="AJ8" s="65">
        <f>AI8*('Forecast Drivers'!F12/'Forecast Drivers'!E12)</f>
        <v>103064.53142158546</v>
      </c>
      <c r="AK8" s="65">
        <f>AJ8*('Forecast Drivers'!G12/'Forecast Drivers'!F12)</f>
        <v>103082.07863475928</v>
      </c>
      <c r="AL8" s="65">
        <f>AK8*('Forecast Drivers'!H12/'Forecast Drivers'!G12)</f>
        <v>103099.62584793309</v>
      </c>
      <c r="AM8" s="65">
        <f>AL8*('Forecast Drivers'!I12/'Forecast Drivers'!H12)</f>
        <v>103117.17306110691</v>
      </c>
      <c r="AN8" s="65">
        <f>AM8*('Forecast Drivers'!J12/'Forecast Drivers'!I12)</f>
        <v>103134.72027428071</v>
      </c>
      <c r="AO8" s="65">
        <f>AN8*('Forecast Drivers'!K12/'Forecast Drivers'!J12)</f>
        <v>103152.26748745453</v>
      </c>
      <c r="AP8" s="65">
        <f>AO8*('Forecast Drivers'!L12/'Forecast Drivers'!K12)</f>
        <v>103169.81470062835</v>
      </c>
      <c r="AQ8" s="65">
        <f>AP8*('Forecast Drivers'!M12/'Forecast Drivers'!L12)</f>
        <v>103187.36191380217</v>
      </c>
      <c r="AR8" s="65">
        <f>AQ8*('Forecast Drivers'!N12/'Forecast Drivers'!M12)</f>
        <v>103204.90912697598</v>
      </c>
    </row>
    <row r="9" spans="1:44" x14ac:dyDescent="0.2">
      <c r="A9" s="22" t="s">
        <v>83</v>
      </c>
      <c r="B9" s="29">
        <f t="shared" ref="B9:AR9" si="0">SUM(B6:B8)</f>
        <v>308115</v>
      </c>
      <c r="C9" s="29">
        <f t="shared" si="0"/>
        <v>308115</v>
      </c>
      <c r="D9" s="29">
        <f t="shared" si="0"/>
        <v>308115</v>
      </c>
      <c r="E9" s="29">
        <f t="shared" si="0"/>
        <v>308115</v>
      </c>
      <c r="F9" s="29">
        <f t="shared" si="0"/>
        <v>309595</v>
      </c>
      <c r="G9" s="29">
        <f t="shared" si="0"/>
        <v>311075</v>
      </c>
      <c r="H9" s="29">
        <f t="shared" si="0"/>
        <v>312555</v>
      </c>
      <c r="I9" s="29">
        <f t="shared" si="0"/>
        <v>313159</v>
      </c>
      <c r="J9" s="29">
        <f t="shared" si="0"/>
        <v>313763</v>
      </c>
      <c r="K9" s="29">
        <f t="shared" si="0"/>
        <v>314367</v>
      </c>
      <c r="L9" s="29">
        <f t="shared" si="0"/>
        <v>315005</v>
      </c>
      <c r="M9" s="29">
        <f t="shared" si="0"/>
        <v>317040</v>
      </c>
      <c r="N9" s="29">
        <f t="shared" si="0"/>
        <v>320472</v>
      </c>
      <c r="O9" s="29">
        <f t="shared" si="0"/>
        <v>314199.33333333337</v>
      </c>
      <c r="P9" s="29">
        <f t="shared" si="0"/>
        <v>312426.66666666663</v>
      </c>
      <c r="Q9" s="29">
        <f t="shared" si="0"/>
        <v>315154</v>
      </c>
      <c r="R9" s="29">
        <f t="shared" si="0"/>
        <v>314470.66666666669</v>
      </c>
      <c r="S9" s="29">
        <f t="shared" si="0"/>
        <v>315481.33333333331</v>
      </c>
      <c r="T9" s="29">
        <f t="shared" si="0"/>
        <v>318186</v>
      </c>
      <c r="U9" s="29">
        <f t="shared" si="0"/>
        <v>317872.66666666663</v>
      </c>
      <c r="V9" s="29">
        <f t="shared" si="0"/>
        <v>318558.33333333337</v>
      </c>
      <c r="W9" s="29">
        <f t="shared" si="0"/>
        <v>320243</v>
      </c>
      <c r="X9" s="29">
        <f t="shared" si="0"/>
        <v>319261.66666666663</v>
      </c>
      <c r="Y9" s="29">
        <f t="shared" si="0"/>
        <v>321772.33333333337</v>
      </c>
      <c r="Z9" s="29">
        <f t="shared" si="0"/>
        <v>327775</v>
      </c>
      <c r="AA9" s="29">
        <f t="shared" si="0"/>
        <v>320553.66666666663</v>
      </c>
      <c r="AB9" s="29">
        <f t="shared" si="0"/>
        <v>319161.33333333331</v>
      </c>
      <c r="AC9" s="29">
        <f t="shared" si="0"/>
        <v>323598</v>
      </c>
      <c r="AD9" s="29">
        <f t="shared" si="0"/>
        <v>356343.33333333337</v>
      </c>
      <c r="AE9" s="29">
        <f t="shared" si="0"/>
        <v>394909.66666666669</v>
      </c>
      <c r="AF9" s="29">
        <f t="shared" si="0"/>
        <v>439297</v>
      </c>
      <c r="AG9" s="67">
        <f t="shared" si="0"/>
        <v>439339.52093394758</v>
      </c>
      <c r="AH9" s="67">
        <f t="shared" si="0"/>
        <v>439382.04186789523</v>
      </c>
      <c r="AI9" s="67">
        <f t="shared" si="0"/>
        <v>439424.56280184287</v>
      </c>
      <c r="AJ9" s="67">
        <f t="shared" si="0"/>
        <v>439467.08373579051</v>
      </c>
      <c r="AK9" s="67">
        <f t="shared" si="0"/>
        <v>439509.60466973821</v>
      </c>
      <c r="AL9" s="67">
        <f t="shared" si="0"/>
        <v>439552.12560368574</v>
      </c>
      <c r="AM9" s="67">
        <f t="shared" si="0"/>
        <v>439594.6465376335</v>
      </c>
      <c r="AN9" s="67">
        <f t="shared" si="0"/>
        <v>439637.16747158108</v>
      </c>
      <c r="AO9" s="67">
        <f t="shared" si="0"/>
        <v>439679.68840552872</v>
      </c>
      <c r="AP9" s="67">
        <f t="shared" si="0"/>
        <v>439722.20933947637</v>
      </c>
      <c r="AQ9" s="67">
        <f t="shared" si="0"/>
        <v>439764.73027342401</v>
      </c>
      <c r="AR9" s="67">
        <f t="shared" si="0"/>
        <v>439807.25120737165</v>
      </c>
    </row>
    <row r="10" spans="1:44" x14ac:dyDescent="0.2">
      <c r="A10" s="19" t="s">
        <v>84</v>
      </c>
      <c r="B10" s="32">
        <f>IF(ISNUMBER('Quarter-End Anchors'!B10),'Quarter-End Anchors'!B10,Balance!B10)</f>
        <v>89960</v>
      </c>
      <c r="C10" s="32">
        <f>B10+(E10-B10)/3+(2*Balance!B10-B10-E10)</f>
        <v>89960</v>
      </c>
      <c r="D10" s="32">
        <f>B10+2*(E10-B10)/3+(2*Balance!B10-B10-E10)</f>
        <v>89960</v>
      </c>
      <c r="E10" s="32">
        <f>IF(ISNUMBER('Quarter-End Anchors'!C10),'Quarter-End Anchors'!C10,2*Balance!B10-B10)</f>
        <v>89960</v>
      </c>
      <c r="F10" s="32">
        <f>E10+(H10-E10)/3+(2*Balance!C10-E10-H10)</f>
        <v>89982.666666666672</v>
      </c>
      <c r="G10" s="32">
        <f>E10+2*(H10-E10)/3+(2*Balance!C10-E10-H10)</f>
        <v>90005.333333333328</v>
      </c>
      <c r="H10" s="32">
        <f>IF(ISNUMBER('Quarter-End Anchors'!D10),'Quarter-End Anchors'!D10,2*Balance!C10-E10)</f>
        <v>90028</v>
      </c>
      <c r="I10" s="32">
        <f>H10+(K10-H10)/3+(2*Balance!D10-H10-K10)</f>
        <v>88572.666666666672</v>
      </c>
      <c r="J10" s="32">
        <f>H10+2*(K10-H10)/3+(2*Balance!D10-H10-K10)</f>
        <v>87117.333333333328</v>
      </c>
      <c r="K10" s="32">
        <f>IF(ISNUMBER('Quarter-End Anchors'!E10),'Quarter-End Anchors'!E10,2*Balance!D10-H10)</f>
        <v>85662</v>
      </c>
      <c r="L10" s="32">
        <f>K10+(N10-K10)/3+(2*Balance!E10-K10-N10)</f>
        <v>95987.333333333328</v>
      </c>
      <c r="M10" s="32">
        <f>K10+2*(N10-K10)/3+(2*Balance!E10-K10-N10)</f>
        <v>93805.666666666672</v>
      </c>
      <c r="N10" s="32">
        <f>IF(ISNUMBER('Quarter-End Anchors'!F10),'Quarter-End Anchors'!F10,2*Balance!E10-K10)</f>
        <v>79117</v>
      </c>
      <c r="O10" s="32">
        <f>N10+(Q10-N10)/3+(2*Balance!F10-N10-Q10)</f>
        <v>98524.333333333328</v>
      </c>
      <c r="P10" s="32">
        <f>N10+2*(Q10-N10)/3+(2*Balance!F10-N10-Q10)</f>
        <v>98284.666666666672</v>
      </c>
      <c r="Q10" s="32">
        <f>IF(ISNUMBER('Quarter-End Anchors'!G10),'Quarter-End Anchors'!G10,2*Balance!F10-N10)</f>
        <v>78398</v>
      </c>
      <c r="R10" s="32">
        <f>Q10+(T10-Q10)/3+(2*Balance!G10-Q10-T10)</f>
        <v>100036</v>
      </c>
      <c r="S10" s="32">
        <f>Q10+2*(T10-Q10)/3+(2*Balance!G10-Q10-T10)</f>
        <v>100320</v>
      </c>
      <c r="T10" s="32">
        <f>IF(ISNUMBER('Quarter-End Anchors'!H10),'Quarter-End Anchors'!H10,2*Balance!G10-Q10)</f>
        <v>79250</v>
      </c>
      <c r="U10" s="32">
        <f>T10+(W10-T10)/3+(2*Balance!H10-T10-W10)</f>
        <v>99204.666666666672</v>
      </c>
      <c r="V10" s="32">
        <f>T10+2*(W10-T10)/3+(2*Balance!H10-T10-W10)</f>
        <v>100621.33333333333</v>
      </c>
      <c r="W10" s="32">
        <f>IF(ISNUMBER('Quarter-End Anchors'!I10),'Quarter-End Anchors'!I10,2*Balance!H10-T10)</f>
        <v>83500</v>
      </c>
      <c r="X10" s="32">
        <f>W10+(Z10-W10)/3+(2*Balance!I10-W10-Z10)</f>
        <v>101344.66666666667</v>
      </c>
      <c r="Y10" s="32">
        <f>W10+2*(Z10-W10)/3+(2*Balance!I10-W10-Z10)</f>
        <v>101182.33333333333</v>
      </c>
      <c r="Z10" s="32">
        <f>IF(ISNUMBER('Quarter-End Anchors'!J10),'Quarter-End Anchors'!J10,2*Balance!I10-W10)</f>
        <v>83013</v>
      </c>
      <c r="AA10" s="32">
        <f>Z10+(AC10-Z10)/3+(2*Balance!J10-Z10-AC10)</f>
        <v>101405.66666666667</v>
      </c>
      <c r="AB10" s="32">
        <f>Z10+2*(AC10-Z10)/3+(2*Balance!J10-Z10-AC10)</f>
        <v>101855.33333333333</v>
      </c>
      <c r="AC10" s="32">
        <f>IF(ISNUMBER('Quarter-End Anchors'!K10),'Quarter-End Anchors'!K10,2*Balance!J10-Z10)</f>
        <v>84362</v>
      </c>
      <c r="AD10" s="32">
        <f>AC10+(AF10-AC10)/3+(2*Balance!K10-AC10-AF10)</f>
        <v>99796.666666666672</v>
      </c>
      <c r="AE10" s="32">
        <f>AC10+2*(AF10-AC10)/3+(2*Balance!K10-AC10-AF10)</f>
        <v>100741.33333333333</v>
      </c>
      <c r="AF10" s="32">
        <f>IF(ISNUMBER('Quarter-End Anchors'!L10),'Quarter-End Anchors'!L10,2*Balance!K10-AC10)</f>
        <v>87196</v>
      </c>
      <c r="AG10" s="65">
        <f t="shared" ref="AG10:AR10" si="1">AF10</f>
        <v>87196</v>
      </c>
      <c r="AH10" s="65">
        <f t="shared" si="1"/>
        <v>87196</v>
      </c>
      <c r="AI10" s="65">
        <f t="shared" si="1"/>
        <v>87196</v>
      </c>
      <c r="AJ10" s="65">
        <f t="shared" si="1"/>
        <v>87196</v>
      </c>
      <c r="AK10" s="65">
        <f t="shared" si="1"/>
        <v>87196</v>
      </c>
      <c r="AL10" s="65">
        <f t="shared" si="1"/>
        <v>87196</v>
      </c>
      <c r="AM10" s="65">
        <f t="shared" si="1"/>
        <v>87196</v>
      </c>
      <c r="AN10" s="65">
        <f t="shared" si="1"/>
        <v>87196</v>
      </c>
      <c r="AO10" s="65">
        <f t="shared" si="1"/>
        <v>87196</v>
      </c>
      <c r="AP10" s="65">
        <f t="shared" si="1"/>
        <v>87196</v>
      </c>
      <c r="AQ10" s="65">
        <f t="shared" si="1"/>
        <v>87196</v>
      </c>
      <c r="AR10" s="65">
        <f t="shared" si="1"/>
        <v>87196</v>
      </c>
    </row>
    <row r="11" spans="1:44" x14ac:dyDescent="0.2">
      <c r="A11" s="19" t="s">
        <v>85</v>
      </c>
      <c r="B11" s="32">
        <f>IF(ISNUMBER('Quarter-End Anchors'!B11),'Quarter-End Anchors'!B11,Balance!B11)</f>
        <v>31256</v>
      </c>
      <c r="C11" s="32">
        <f>B11+(E11-B11)/3+(2*Balance!B11-B11-E11)</f>
        <v>32514</v>
      </c>
      <c r="D11" s="32">
        <f>B11+2*(E11-B11)/3+(2*Balance!B11-B11-E11)</f>
        <v>37753</v>
      </c>
      <c r="E11" s="32">
        <f>IF(ISNUMBER('Quarter-End Anchors'!C11),'Quarter-End Anchors'!C11,2*Balance!B11-B11)</f>
        <v>46973</v>
      </c>
      <c r="F11" s="32">
        <f>E11+(H11-E11)/3+(2*Balance!C11-E11-H11)</f>
        <v>33930.333333333336</v>
      </c>
      <c r="G11" s="32">
        <f>E11+2*(H11-E11)/3+(2*Balance!C11-E11-H11)</f>
        <v>32288.666666666664</v>
      </c>
      <c r="H11" s="32">
        <f>IF(ISNUMBER('Quarter-End Anchors'!D11),'Quarter-End Anchors'!D11,2*Balance!C11-E11)</f>
        <v>42048</v>
      </c>
      <c r="I11" s="32">
        <f>H11+(K11-H11)/3+(2*Balance!D11-H11-K11)</f>
        <v>40233.333333333336</v>
      </c>
      <c r="J11" s="32">
        <f>H11+2*(K11-H11)/3+(2*Balance!D11-H11-K11)</f>
        <v>41318.666666666664</v>
      </c>
      <c r="K11" s="32">
        <f>IF(ISNUMBER('Quarter-End Anchors'!E11),'Quarter-End Anchors'!E11,2*Balance!D11-H11)</f>
        <v>45304</v>
      </c>
      <c r="L11" s="32">
        <f>K11+(N11-K11)/3+(2*Balance!E11-K11-N11)</f>
        <v>38978.666666666664</v>
      </c>
      <c r="M11" s="32">
        <f>K11+2*(N11-K11)/3+(2*Balance!E11-K11-N11)</f>
        <v>38462.333333333336</v>
      </c>
      <c r="N11" s="32">
        <f>IF(ISNUMBER('Quarter-End Anchors'!F11),'Quarter-End Anchors'!F11,2*Balance!E11-K11)</f>
        <v>43755</v>
      </c>
      <c r="O11" s="32">
        <f>N11+(Q11-N11)/3+(2*Balance!F11-N11-Q11)</f>
        <v>38398.333333333336</v>
      </c>
      <c r="P11" s="32">
        <f>N11+2*(Q11-N11)/3+(2*Balance!F11-N11-Q11)</f>
        <v>40980.666666666664</v>
      </c>
      <c r="Q11" s="32">
        <f>IF(ISNUMBER('Quarter-End Anchors'!G11),'Quarter-End Anchors'!G11,2*Balance!F11-N11)</f>
        <v>51502</v>
      </c>
      <c r="R11" s="32">
        <f>Q11+(T11-Q11)/3+(2*Balance!G11-Q11-T11)</f>
        <v>42114.666666666664</v>
      </c>
      <c r="S11" s="32">
        <f>Q11+2*(T11-Q11)/3+(2*Balance!G11-Q11-T11)</f>
        <v>40890.333333333336</v>
      </c>
      <c r="T11" s="32">
        <f>IF(ISNUMBER('Quarter-End Anchors'!H11),'Quarter-End Anchors'!H11,2*Balance!G11-Q11)</f>
        <v>47829</v>
      </c>
      <c r="U11" s="32">
        <f>T11+(W11-T11)/3+(2*Balance!H11-T11-W11)</f>
        <v>41161</v>
      </c>
      <c r="V11" s="32">
        <f>T11+2*(W11-T11)/3+(2*Balance!H11-T11-W11)</f>
        <v>41791</v>
      </c>
      <c r="W11" s="32">
        <f>IF(ISNUMBER('Quarter-End Anchors'!I11),'Quarter-End Anchors'!I11,2*Balance!H11-T11)</f>
        <v>49719</v>
      </c>
      <c r="X11" s="32">
        <f>W11+(Z11-W11)/3+(2*Balance!I11-W11-Z11)</f>
        <v>46647</v>
      </c>
      <c r="Y11" s="32">
        <f>W11+2*(Z11-W11)/3+(2*Balance!I11-W11-Z11)</f>
        <v>44631</v>
      </c>
      <c r="Z11" s="32">
        <f>IF(ISNUMBER('Quarter-End Anchors'!J11),'Quarter-End Anchors'!J11,2*Balance!I11-W11)</f>
        <v>43671</v>
      </c>
      <c r="AA11" s="32">
        <f>Z11+(AC11-Z11)/3+(2*Balance!J11-Z11-AC11)</f>
        <v>47479.666666666664</v>
      </c>
      <c r="AB11" s="32">
        <f>Z11+2*(AC11-Z11)/3+(2*Balance!J11-Z11-AC11)</f>
        <v>49244.333333333336</v>
      </c>
      <c r="AC11" s="32">
        <f>IF(ISNUMBER('Quarter-End Anchors'!K11),'Quarter-End Anchors'!K11,2*Balance!J11-Z11)</f>
        <v>48965</v>
      </c>
      <c r="AD11" s="32">
        <f>AC11+(AF11-AC11)/3+(2*Balance!K11-AC11-AF11)</f>
        <v>49362.333333333336</v>
      </c>
      <c r="AE11" s="32">
        <f>AC11+2*(AF11-AC11)/3+(2*Balance!K11-AC11-AF11)</f>
        <v>53566.666666666664</v>
      </c>
      <c r="AF11" s="32">
        <f>IF(ISNUMBER('Quarter-End Anchors'!L11),'Quarter-End Anchors'!L11,2*Balance!K11-AC11)</f>
        <v>61578</v>
      </c>
      <c r="AG11" s="65">
        <f>AG15*'Forecast Drivers'!$B$18</f>
        <v>61588.491083935944</v>
      </c>
      <c r="AH11" s="65">
        <f>AH15*'Forecast Drivers'!$B$18</f>
        <v>61598.98216787188</v>
      </c>
      <c r="AI11" s="65">
        <f>AI15*'Forecast Drivers'!$B$18</f>
        <v>61609.473251807816</v>
      </c>
      <c r="AJ11" s="65">
        <f>AJ15*'Forecast Drivers'!$B$18</f>
        <v>61619.964335743753</v>
      </c>
      <c r="AK11" s="65">
        <f>AK15*'Forecast Drivers'!$B$18</f>
        <v>61630.455419679696</v>
      </c>
      <c r="AL11" s="65">
        <f>AL15*'Forecast Drivers'!$B$18</f>
        <v>61640.946503615633</v>
      </c>
      <c r="AM11" s="65">
        <f>AM15*'Forecast Drivers'!$B$18</f>
        <v>61651.437587551583</v>
      </c>
      <c r="AN11" s="65">
        <f>AN15*'Forecast Drivers'!$B$18</f>
        <v>61661.92867148752</v>
      </c>
      <c r="AO11" s="65">
        <f>AO15*'Forecast Drivers'!$B$18</f>
        <v>61672.419755423456</v>
      </c>
      <c r="AP11" s="65">
        <f>AP15*'Forecast Drivers'!$B$18</f>
        <v>61682.9108393594</v>
      </c>
      <c r="AQ11" s="65">
        <f>AQ15*'Forecast Drivers'!$B$18</f>
        <v>61693.401923295343</v>
      </c>
      <c r="AR11" s="65">
        <f>AR15*'Forecast Drivers'!$B$18</f>
        <v>61703.893007231287</v>
      </c>
    </row>
    <row r="12" spans="1:44" x14ac:dyDescent="0.2">
      <c r="A12" s="22" t="s">
        <v>86</v>
      </c>
      <c r="B12" s="29">
        <f t="shared" ref="B12:AR12" si="2">SUM(B9:B11)</f>
        <v>429331</v>
      </c>
      <c r="C12" s="29">
        <f t="shared" si="2"/>
        <v>430589</v>
      </c>
      <c r="D12" s="29">
        <f t="shared" si="2"/>
        <v>435828</v>
      </c>
      <c r="E12" s="29">
        <f t="shared" si="2"/>
        <v>445048</v>
      </c>
      <c r="F12" s="29">
        <f t="shared" si="2"/>
        <v>433508</v>
      </c>
      <c r="G12" s="29">
        <f t="shared" si="2"/>
        <v>433369</v>
      </c>
      <c r="H12" s="29">
        <f t="shared" si="2"/>
        <v>444631</v>
      </c>
      <c r="I12" s="29">
        <f t="shared" si="2"/>
        <v>441965</v>
      </c>
      <c r="J12" s="29">
        <f t="shared" si="2"/>
        <v>442199</v>
      </c>
      <c r="K12" s="29">
        <f t="shared" si="2"/>
        <v>445333</v>
      </c>
      <c r="L12" s="29">
        <f t="shared" si="2"/>
        <v>449971</v>
      </c>
      <c r="M12" s="29">
        <f t="shared" si="2"/>
        <v>449308</v>
      </c>
      <c r="N12" s="29">
        <f t="shared" si="2"/>
        <v>443344</v>
      </c>
      <c r="O12" s="29">
        <f t="shared" si="2"/>
        <v>451122</v>
      </c>
      <c r="P12" s="29">
        <f t="shared" si="2"/>
        <v>451692</v>
      </c>
      <c r="Q12" s="29">
        <f t="shared" si="2"/>
        <v>445054</v>
      </c>
      <c r="R12" s="29">
        <f t="shared" si="2"/>
        <v>456621.33333333337</v>
      </c>
      <c r="S12" s="29">
        <f t="shared" si="2"/>
        <v>456691.66666666663</v>
      </c>
      <c r="T12" s="29">
        <f t="shared" si="2"/>
        <v>445265</v>
      </c>
      <c r="U12" s="29">
        <f t="shared" si="2"/>
        <v>458238.33333333331</v>
      </c>
      <c r="V12" s="29">
        <f t="shared" si="2"/>
        <v>460970.66666666669</v>
      </c>
      <c r="W12" s="29">
        <f t="shared" si="2"/>
        <v>453462</v>
      </c>
      <c r="X12" s="29">
        <f t="shared" si="2"/>
        <v>467253.33333333331</v>
      </c>
      <c r="Y12" s="29">
        <f t="shared" si="2"/>
        <v>467585.66666666669</v>
      </c>
      <c r="Z12" s="29">
        <f t="shared" si="2"/>
        <v>454459</v>
      </c>
      <c r="AA12" s="29">
        <f t="shared" si="2"/>
        <v>469439</v>
      </c>
      <c r="AB12" s="29">
        <f t="shared" si="2"/>
        <v>470260.99999999994</v>
      </c>
      <c r="AC12" s="29">
        <f t="shared" si="2"/>
        <v>456925</v>
      </c>
      <c r="AD12" s="29">
        <f t="shared" si="2"/>
        <v>505502.33333333337</v>
      </c>
      <c r="AE12" s="29">
        <f t="shared" si="2"/>
        <v>549217.66666666663</v>
      </c>
      <c r="AF12" s="29">
        <f t="shared" si="2"/>
        <v>588071</v>
      </c>
      <c r="AG12" s="67">
        <f t="shared" si="2"/>
        <v>588124.01201788348</v>
      </c>
      <c r="AH12" s="67">
        <f t="shared" si="2"/>
        <v>588177.02403576719</v>
      </c>
      <c r="AI12" s="67">
        <f t="shared" si="2"/>
        <v>588230.03605365066</v>
      </c>
      <c r="AJ12" s="67">
        <f t="shared" si="2"/>
        <v>588283.04807153437</v>
      </c>
      <c r="AK12" s="67">
        <f t="shared" si="2"/>
        <v>588336.06008941797</v>
      </c>
      <c r="AL12" s="67">
        <f t="shared" si="2"/>
        <v>588389.07210730133</v>
      </c>
      <c r="AM12" s="67">
        <f t="shared" si="2"/>
        <v>588442.08412518504</v>
      </c>
      <c r="AN12" s="67">
        <f t="shared" si="2"/>
        <v>588495.09614306863</v>
      </c>
      <c r="AO12" s="67">
        <f t="shared" si="2"/>
        <v>588548.10816095211</v>
      </c>
      <c r="AP12" s="67">
        <f t="shared" si="2"/>
        <v>588601.12017883582</v>
      </c>
      <c r="AQ12" s="67">
        <f t="shared" si="2"/>
        <v>588654.13219671929</v>
      </c>
      <c r="AR12" s="67">
        <f t="shared" si="2"/>
        <v>588707.144214603</v>
      </c>
    </row>
    <row r="13" spans="1:44" x14ac:dyDescent="0.2">
      <c r="A13" s="19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</row>
    <row r="14" spans="1:44" x14ac:dyDescent="0.2">
      <c r="A14" s="27" t="s">
        <v>20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</row>
    <row r="15" spans="1:44" x14ac:dyDescent="0.2">
      <c r="A15" s="19" t="s">
        <v>87</v>
      </c>
      <c r="B15" s="32">
        <f>IF(ISNUMBER('Quarter-End Anchors'!B15),'Quarter-End Anchors'!B15,Balance!B15)</f>
        <v>308788</v>
      </c>
      <c r="C15" s="32">
        <f>B15+(E15-B15)/3+(2*Balance!B15-B15-E15)</f>
        <v>308788</v>
      </c>
      <c r="D15" s="32">
        <f>B15+2*(E15-B15)/3+(2*Balance!B15-B15-E15)</f>
        <v>308788</v>
      </c>
      <c r="E15" s="32">
        <f>IF(ISNUMBER('Quarter-End Anchors'!C15),'Quarter-End Anchors'!C15,2*Balance!B15-B15)</f>
        <v>308788</v>
      </c>
      <c r="F15" s="32">
        <f>E15+(H15-E15)/3+(2*Balance!C15-E15-H15)</f>
        <v>311734</v>
      </c>
      <c r="G15" s="32">
        <f>E15+2*(H15-E15)/3+(2*Balance!C15-E15-H15)</f>
        <v>314680</v>
      </c>
      <c r="H15" s="32">
        <f>IF(ISNUMBER('Quarter-End Anchors'!D15),'Quarter-End Anchors'!D15,2*Balance!C15-E15)</f>
        <v>317626</v>
      </c>
      <c r="I15" s="32">
        <f>H15+(K15-H15)/3+(2*Balance!D15-H15-K15)</f>
        <v>316563.33333333331</v>
      </c>
      <c r="J15" s="32">
        <f>H15+2*(K15-H15)/3+(2*Balance!D15-H15-K15)</f>
        <v>315500.66666666669</v>
      </c>
      <c r="K15" s="32">
        <f>IF(ISNUMBER('Quarter-End Anchors'!E15),'Quarter-End Anchors'!E15,2*Balance!D15-H15)</f>
        <v>314438</v>
      </c>
      <c r="L15" s="32">
        <f>K15+(N15-K15)/3+(2*Balance!E15-K15-N15)</f>
        <v>315278.66666666669</v>
      </c>
      <c r="M15" s="32">
        <f>K15+2*(N15-K15)/3+(2*Balance!E15-K15-N15)</f>
        <v>317262.33333333331</v>
      </c>
      <c r="N15" s="32">
        <f>IF(ISNUMBER('Quarter-End Anchors'!F15),'Quarter-End Anchors'!F15,2*Balance!E15-K15)</f>
        <v>320389</v>
      </c>
      <c r="O15" s="32">
        <f>N15+(Q15-N15)/3+(2*Balance!F15-N15-Q15)</f>
        <v>314535.66666666669</v>
      </c>
      <c r="P15" s="32">
        <f>N15+2*(Q15-N15)/3+(2*Balance!F15-N15-Q15)</f>
        <v>315523.33333333331</v>
      </c>
      <c r="Q15" s="32">
        <f>IF(ISNUMBER('Quarter-End Anchors'!G15),'Quarter-End Anchors'!G15,2*Balance!F15-N15)</f>
        <v>323352</v>
      </c>
      <c r="R15" s="32">
        <f>Q15+(T15-Q15)/3+(2*Balance!G15-Q15-T15)</f>
        <v>321086.66666666669</v>
      </c>
      <c r="S15" s="32">
        <f>Q15+2*(T15-Q15)/3+(2*Balance!G15-Q15-T15)</f>
        <v>321448.33333333331</v>
      </c>
      <c r="T15" s="32">
        <f>IF(ISNUMBER('Quarter-End Anchors'!H15),'Quarter-End Anchors'!H15,2*Balance!G15-Q15)</f>
        <v>324437</v>
      </c>
      <c r="U15" s="32">
        <f>T15+(W15-T15)/3+(2*Balance!H15-T15-W15)</f>
        <v>322703.66666666669</v>
      </c>
      <c r="V15" s="32">
        <f>T15+2*(W15-T15)/3+(2*Balance!H15-T15-W15)</f>
        <v>323642.33333333331</v>
      </c>
      <c r="W15" s="32">
        <f>IF(ISNUMBER('Quarter-End Anchors'!I15),'Quarter-End Anchors'!I15,2*Balance!H15-T15)</f>
        <v>327253</v>
      </c>
      <c r="X15" s="32">
        <f>W15+(Z15-W15)/3+(2*Balance!I15-W15-Z15)</f>
        <v>329765.66666666669</v>
      </c>
      <c r="Y15" s="32">
        <f>W15+2*(Z15-W15)/3+(2*Balance!I15-W15-Z15)</f>
        <v>332876.33333333331</v>
      </c>
      <c r="Z15" s="32">
        <f>IF(ISNUMBER('Quarter-End Anchors'!J15),'Quarter-End Anchors'!J15,2*Balance!I15-W15)</f>
        <v>336585</v>
      </c>
      <c r="AA15" s="32">
        <f>Z15+(AC15-Z15)/3+(2*Balance!J15-Z15-AC15)</f>
        <v>336175.66666666669</v>
      </c>
      <c r="AB15" s="32">
        <f>Z15+2*(AC15-Z15)/3+(2*Balance!J15-Z15-AC15)</f>
        <v>337635.33333333331</v>
      </c>
      <c r="AC15" s="32">
        <f>IF(ISNUMBER('Quarter-End Anchors'!K15),'Quarter-End Anchors'!K15,2*Balance!J15-Z15)</f>
        <v>340964</v>
      </c>
      <c r="AD15" s="32">
        <f>AC15+(AF15-AC15)/3+(2*Balance!K15-AC15-AF15)</f>
        <v>367136</v>
      </c>
      <c r="AE15" s="32">
        <f>AC15+2*(AF15-AC15)/3+(2*Balance!K15-AC15-AF15)</f>
        <v>400225</v>
      </c>
      <c r="AF15" s="32">
        <f>IF(ISNUMBER('Quarter-End Anchors'!L15),'Quarter-End Anchors'!L15,2*Balance!K15-AC15)</f>
        <v>440231</v>
      </c>
      <c r="AG15" s="65">
        <f>AF15*('Forecast Drivers'!C12/'Forecast Drivers'!B12)</f>
        <v>440306.0024419793</v>
      </c>
      <c r="AH15" s="65">
        <f>AG15*('Forecast Drivers'!D12/'Forecast Drivers'!C12)</f>
        <v>440381.00488395861</v>
      </c>
      <c r="AI15" s="65">
        <f>AH15*('Forecast Drivers'!E12/'Forecast Drivers'!D12)</f>
        <v>440456.00732593791</v>
      </c>
      <c r="AJ15" s="65">
        <f>AI15*('Forecast Drivers'!F12/'Forecast Drivers'!E12)</f>
        <v>440531.00976791722</v>
      </c>
      <c r="AK15" s="65">
        <f>AJ15*('Forecast Drivers'!G12/'Forecast Drivers'!F12)</f>
        <v>440606.01220989658</v>
      </c>
      <c r="AL15" s="65">
        <f>AK15*('Forecast Drivers'!H12/'Forecast Drivers'!G12)</f>
        <v>440681.01465187588</v>
      </c>
      <c r="AM15" s="65">
        <f>AL15*('Forecast Drivers'!I12/'Forecast Drivers'!H12)</f>
        <v>440756.01709385525</v>
      </c>
      <c r="AN15" s="65">
        <f>AM15*('Forecast Drivers'!J12/'Forecast Drivers'!I12)</f>
        <v>440831.01953583455</v>
      </c>
      <c r="AO15" s="65">
        <f>AN15*('Forecast Drivers'!K12/'Forecast Drivers'!J12)</f>
        <v>440906.02197781386</v>
      </c>
      <c r="AP15" s="65">
        <f>AO15*('Forecast Drivers'!L12/'Forecast Drivers'!K12)</f>
        <v>440981.02441979322</v>
      </c>
      <c r="AQ15" s="65">
        <f>AP15*('Forecast Drivers'!M12/'Forecast Drivers'!L12)</f>
        <v>441056.02686177258</v>
      </c>
      <c r="AR15" s="65">
        <f>AQ15*('Forecast Drivers'!N12/'Forecast Drivers'!M12)</f>
        <v>441131.02930375189</v>
      </c>
    </row>
    <row r="16" spans="1:44" x14ac:dyDescent="0.2">
      <c r="A16" s="19" t="s">
        <v>88</v>
      </c>
      <c r="B16" s="32">
        <f>IF(ISNUMBER('Quarter-End Anchors'!B16),'Quarter-End Anchors'!B16,Balance!B16)</f>
        <v>17251</v>
      </c>
      <c r="C16" s="32">
        <f>B16+(E16-B16)/3+(2*Balance!B16-B16-E16)</f>
        <v>17251</v>
      </c>
      <c r="D16" s="32">
        <f>B16+2*(E16-B16)/3+(2*Balance!B16-B16-E16)</f>
        <v>17251</v>
      </c>
      <c r="E16" s="32">
        <f>IF(ISNUMBER('Quarter-End Anchors'!C16),'Quarter-End Anchors'!C16,2*Balance!B16-B16)</f>
        <v>17251</v>
      </c>
      <c r="F16" s="32">
        <f>E16+(H16-E16)/3+(2*Balance!C16-E16-H16)</f>
        <v>17597.666666666668</v>
      </c>
      <c r="G16" s="32">
        <f>E16+2*(H16-E16)/3+(2*Balance!C16-E16-H16)</f>
        <v>17944.333333333332</v>
      </c>
      <c r="H16" s="32">
        <f>IF(ISNUMBER('Quarter-End Anchors'!D16),'Quarter-End Anchors'!D16,2*Balance!C16-E16)</f>
        <v>18291</v>
      </c>
      <c r="I16" s="32">
        <f>H16+(K16-H16)/3+(2*Balance!D16-H16-K16)</f>
        <v>17863</v>
      </c>
      <c r="J16" s="32">
        <f>H16+2*(K16-H16)/3+(2*Balance!D16-H16-K16)</f>
        <v>17435</v>
      </c>
      <c r="K16" s="32">
        <f>IF(ISNUMBER('Quarter-End Anchors'!E16),'Quarter-End Anchors'!E16,2*Balance!D16-H16)</f>
        <v>17007</v>
      </c>
      <c r="L16" s="32">
        <f>K16+(N16-K16)/3+(2*Balance!E16-K16-N16)</f>
        <v>18676.846504309124</v>
      </c>
      <c r="M16" s="32">
        <f>K16+2*(N16-K16)/3+(2*Balance!E16-K16-N16)</f>
        <v>18860.923252154564</v>
      </c>
      <c r="N16" s="32">
        <f>IF(ISNUMBER('Quarter-End Anchors'!F16),'Quarter-End Anchors'!F16,2*Balance!E16-K16)</f>
        <v>17559.230243536313</v>
      </c>
      <c r="O16" s="32">
        <f>N16+(Q16-N16)/3+(2*Balance!F16-N16-Q16)</f>
        <v>17988.604445166464</v>
      </c>
      <c r="P16" s="32">
        <f>N16+2*(Q16-N16)/3+(2*Balance!F16-N16-Q16)</f>
        <v>18050.687100815077</v>
      </c>
      <c r="Q16" s="32">
        <f>IF(ISNUMBER('Quarter-End Anchors'!G16),'Quarter-End Anchors'!G16,2*Balance!F16-N16)</f>
        <v>17745.478210482146</v>
      </c>
      <c r="R16" s="32">
        <f>Q16+(T16-Q16)/3+(2*Balance!G16-Q16-T16)</f>
        <v>17639.815446805354</v>
      </c>
      <c r="S16" s="32">
        <f>Q16+2*(T16-Q16)/3+(2*Balance!G16-Q16-T16)</f>
        <v>17399.168618161602</v>
      </c>
      <c r="T16" s="32">
        <f>IF(ISNUMBER('Quarter-End Anchors'!H16),'Quarter-End Anchors'!H16,2*Balance!G16-Q16)</f>
        <v>17023.537724550897</v>
      </c>
      <c r="U16" s="32">
        <f>T16+(W16-T16)/3+(2*Balance!H16-T16-W16)</f>
        <v>15228.460479417154</v>
      </c>
      <c r="V16" s="32">
        <f>T16+2*(W16-T16)/3+(2*Balance!H16-T16-W16)</f>
        <v>14935.461377433126</v>
      </c>
      <c r="W16" s="32">
        <f>IF(ISNUMBER('Quarter-End Anchors'!I16),'Quarter-End Anchors'!I16,2*Balance!H16-T16)</f>
        <v>16144.540418598823</v>
      </c>
      <c r="X16" s="32">
        <f>W16+(Z16-W16)/3+(2*Balance!I16-W16-Z16)</f>
        <v>14688.802947824786</v>
      </c>
      <c r="Y16" s="32">
        <f>W16+2*(Z16-W16)/3+(2*Balance!I16-W16-Z16)</f>
        <v>14192.131264612981</v>
      </c>
      <c r="Z16" s="32">
        <f>IF(ISNUMBER('Quarter-End Anchors'!J16),'Quarter-End Anchors'!J16,2*Balance!I16-W16)</f>
        <v>14654.52536896341</v>
      </c>
      <c r="AA16" s="32">
        <f>Z16+(AC16-Z16)/3+(2*Balance!J16-Z16-AC16)</f>
        <v>14017.746472339993</v>
      </c>
      <c r="AB16" s="32">
        <f>Z16+2*(AC16-Z16)/3+(2*Balance!J16-Z16-AC16)</f>
        <v>13412.610551688291</v>
      </c>
      <c r="AC16" s="32">
        <f>IF(ISNUMBER('Quarter-End Anchors'!K16),'Quarter-End Anchors'!K16,2*Balance!J16-Z16)</f>
        <v>12839.117607008306</v>
      </c>
      <c r="AD16" s="32">
        <f>AC16+(AF16-AC16)/3+(2*Balance!K16-AC16-AF16)</f>
        <v>11972.982838391328</v>
      </c>
      <c r="AE16" s="32">
        <f>AC16+2*(AF16-AC16)/3+(2*Balance!K16-AC16-AF16)</f>
        <v>12609.932615691512</v>
      </c>
      <c r="AF16" s="32">
        <f>IF(ISNUMBER('Quarter-End Anchors'!L16),'Quarter-End Anchors'!L16,2*Balance!K16-AC16)</f>
        <v>14749.966938908854</v>
      </c>
      <c r="AG16" s="65">
        <f>AF16*(1-'Forecast Drivers'!$B$19)</f>
        <v>14676.217104214309</v>
      </c>
      <c r="AH16" s="65">
        <f>AG16*(1-'Forecast Drivers'!$B$19)</f>
        <v>14602.836018693237</v>
      </c>
      <c r="AI16" s="65">
        <f>AH16*(1-'Forecast Drivers'!$B$19)</f>
        <v>14529.82183859977</v>
      </c>
      <c r="AJ16" s="65">
        <f>AI16*(1-'Forecast Drivers'!$B$19)</f>
        <v>14457.172729406771</v>
      </c>
      <c r="AK16" s="65">
        <f>AJ16*(1-'Forecast Drivers'!$B$19)</f>
        <v>14384.886865759738</v>
      </c>
      <c r="AL16" s="65">
        <f>AK16*(1-'Forecast Drivers'!$B$19)</f>
        <v>14312.962431430939</v>
      </c>
      <c r="AM16" s="65">
        <f>AL16*(1-'Forecast Drivers'!$B$19)</f>
        <v>14241.397619273785</v>
      </c>
      <c r="AN16" s="65">
        <f>AM16*(1-'Forecast Drivers'!$B$19)</f>
        <v>14170.190631177416</v>
      </c>
      <c r="AO16" s="65">
        <f>AN16*(1-'Forecast Drivers'!$B$19)</f>
        <v>14099.33967802153</v>
      </c>
      <c r="AP16" s="65">
        <f>AO16*(1-'Forecast Drivers'!$B$19)</f>
        <v>14028.842979631421</v>
      </c>
      <c r="AQ16" s="65">
        <f>AP16*(1-'Forecast Drivers'!$B$19)</f>
        <v>13958.698764733264</v>
      </c>
      <c r="AR16" s="65">
        <f>AQ16*(1-'Forecast Drivers'!$B$19)</f>
        <v>13888.905270909598</v>
      </c>
    </row>
    <row r="17" spans="1:44" x14ac:dyDescent="0.2">
      <c r="A17" s="19" t="s">
        <v>89</v>
      </c>
      <c r="B17" s="32">
        <f>IF(ISNUMBER('Quarter-End Anchors'!B17),'Quarter-End Anchors'!B17,Balance!B17)</f>
        <v>30136</v>
      </c>
      <c r="C17" s="32">
        <f>B17+(E17-B17)/3+(2*Balance!B17-B17-E17)</f>
        <v>30136</v>
      </c>
      <c r="D17" s="32">
        <f>B17+2*(E17-B17)/3+(2*Balance!B17-B17-E17)</f>
        <v>30136</v>
      </c>
      <c r="E17" s="32">
        <f>IF(ISNUMBER('Quarter-End Anchors'!C17),'Quarter-End Anchors'!C17,2*Balance!B17-B17)</f>
        <v>30136</v>
      </c>
      <c r="F17" s="32">
        <f>E17+(H17-E17)/3+(2*Balance!C17-E17-H17)</f>
        <v>30152.666666666668</v>
      </c>
      <c r="G17" s="32">
        <f>E17+2*(H17-E17)/3+(2*Balance!C17-E17-H17)</f>
        <v>30169.333333333332</v>
      </c>
      <c r="H17" s="32">
        <f>IF(ISNUMBER('Quarter-End Anchors'!D17),'Quarter-End Anchors'!D17,2*Balance!C17-E17)</f>
        <v>30186</v>
      </c>
      <c r="I17" s="32">
        <f>H17+(K17-H17)/3+(2*Balance!D17-H17-K17)</f>
        <v>31076.666666666668</v>
      </c>
      <c r="J17" s="32">
        <f>H17+2*(K17-H17)/3+(2*Balance!D17-H17-K17)</f>
        <v>31967.333333333332</v>
      </c>
      <c r="K17" s="32">
        <f>IF(ISNUMBER('Quarter-End Anchors'!E17),'Quarter-End Anchors'!E17,2*Balance!D17-H17)</f>
        <v>32858</v>
      </c>
      <c r="L17" s="32">
        <f>K17+(N17-K17)/3+(2*Balance!E17-K17-N17)</f>
        <v>33080.820162357544</v>
      </c>
      <c r="M17" s="32">
        <f>K17+2*(N17-K17)/3+(2*Balance!E17-K17-N17)</f>
        <v>32714.410081178772</v>
      </c>
      <c r="N17" s="32">
        <f>IF(ISNUMBER('Quarter-End Anchors'!F17),'Quarter-End Anchors'!F17,2*Balance!E17-K17)</f>
        <v>31758.769756463687</v>
      </c>
      <c r="O17" s="32">
        <f>N17+(Q17-N17)/3+(2*Balance!F17-N17-Q17)</f>
        <v>32470.728888166868</v>
      </c>
      <c r="P17" s="32">
        <f>N17+2*(Q17-N17)/3+(2*Balance!F17-N17-Q17)</f>
        <v>32566.97956585159</v>
      </c>
      <c r="Q17" s="32">
        <f>IF(ISNUMBER('Quarter-End Anchors'!G17),'Quarter-End Anchors'!G17,2*Balance!F17-N17)</f>
        <v>32047.521789517854</v>
      </c>
      <c r="R17" s="32">
        <f>Q17+(T17-Q17)/3+(2*Balance!G17-Q17-T17)</f>
        <v>31128.517886527981</v>
      </c>
      <c r="S17" s="32">
        <f>Q17+2*(T17-Q17)/3+(2*Balance!G17-Q17-T17)</f>
        <v>30518.498048505062</v>
      </c>
      <c r="T17" s="32">
        <f>IF(ISNUMBER('Quarter-End Anchors'!H17),'Quarter-End Anchors'!H17,2*Balance!G17-Q17)</f>
        <v>30217.462275449103</v>
      </c>
      <c r="U17" s="32">
        <f>T17+(W17-T17)/3+(2*Balance!H17-T17-W17)</f>
        <v>32228.53952058285</v>
      </c>
      <c r="V17" s="32">
        <f>T17+2*(W17-T17)/3+(2*Balance!H17-T17-W17)</f>
        <v>33046.538622566877</v>
      </c>
      <c r="W17" s="32">
        <f>IF(ISNUMBER('Quarter-End Anchors'!I17),'Quarter-End Anchors'!I17,2*Balance!H17-T17)</f>
        <v>32671.459581401177</v>
      </c>
      <c r="X17" s="32">
        <f>W17+(Z17-W17)/3+(2*Balance!I17-W17-Z17)</f>
        <v>30654.530385508548</v>
      </c>
      <c r="Y17" s="32">
        <f>W17+2*(Z17-W17)/3+(2*Balance!I17-W17-Z17)</f>
        <v>29875.535402053683</v>
      </c>
      <c r="Z17" s="32">
        <f>IF(ISNUMBER('Quarter-End Anchors'!J17),'Quarter-End Anchors'!J17,2*Balance!I17-W17)</f>
        <v>30334.474631036592</v>
      </c>
      <c r="AA17" s="32">
        <f>Z17+(AC17-Z17)/3+(2*Balance!J17-Z17-AC17)</f>
        <v>31643.253527660007</v>
      </c>
      <c r="AB17" s="32">
        <f>Z17+2*(AC17-Z17)/3+(2*Balance!J17-Z17-AC17)</f>
        <v>30985.389448311707</v>
      </c>
      <c r="AC17" s="32">
        <f>IF(ISNUMBER('Quarter-End Anchors'!K17),'Quarter-End Anchors'!K17,2*Balance!J17-Z17)</f>
        <v>28360.882392991694</v>
      </c>
      <c r="AD17" s="32">
        <f>AC17+(AF17-AC17)/3+(2*Balance!K17-AC17-AF17)</f>
        <v>31507.683828275334</v>
      </c>
      <c r="AE17" s="32">
        <f>AC17+2*(AF17-AC17)/3+(2*Balance!K17-AC17-AF17)</f>
        <v>34445.400717641816</v>
      </c>
      <c r="AF17" s="32">
        <f>IF(ISNUMBER('Quarter-End Anchors'!L17),'Quarter-End Anchors'!L17,2*Balance!K17-AC17)</f>
        <v>37174.033061091148</v>
      </c>
      <c r="AG17" s="65">
        <f t="shared" ref="AG17:AR17" si="3">AF17</f>
        <v>37174.033061091148</v>
      </c>
      <c r="AH17" s="65">
        <f t="shared" si="3"/>
        <v>37174.033061091148</v>
      </c>
      <c r="AI17" s="65">
        <f t="shared" si="3"/>
        <v>37174.033061091148</v>
      </c>
      <c r="AJ17" s="65">
        <f t="shared" si="3"/>
        <v>37174.033061091148</v>
      </c>
      <c r="AK17" s="65">
        <f t="shared" si="3"/>
        <v>37174.033061091148</v>
      </c>
      <c r="AL17" s="65">
        <f t="shared" si="3"/>
        <v>37174.033061091148</v>
      </c>
      <c r="AM17" s="65">
        <f t="shared" si="3"/>
        <v>37174.033061091148</v>
      </c>
      <c r="AN17" s="65">
        <f t="shared" si="3"/>
        <v>37174.033061091148</v>
      </c>
      <c r="AO17" s="65">
        <f t="shared" si="3"/>
        <v>37174.033061091148</v>
      </c>
      <c r="AP17" s="65">
        <f t="shared" si="3"/>
        <v>37174.033061091148</v>
      </c>
      <c r="AQ17" s="65">
        <f t="shared" si="3"/>
        <v>37174.033061091148</v>
      </c>
      <c r="AR17" s="65">
        <f t="shared" si="3"/>
        <v>37174.033061091148</v>
      </c>
    </row>
    <row r="18" spans="1:44" x14ac:dyDescent="0.2">
      <c r="A18" s="19" t="s">
        <v>90</v>
      </c>
      <c r="B18" s="32">
        <f>IF(ISNUMBER('Quarter-End Anchors'!B18),'Quarter-End Anchors'!B18,Balance!B18)</f>
        <v>2335</v>
      </c>
      <c r="C18" s="32">
        <f>B18+(E18-B18)/3+(2*Balance!B18-B18-E18)</f>
        <v>2335</v>
      </c>
      <c r="D18" s="32">
        <f>B18+2*(E18-B18)/3+(2*Balance!B18-B18-E18)</f>
        <v>2335</v>
      </c>
      <c r="E18" s="32">
        <f>IF(ISNUMBER('Quarter-End Anchors'!C18),'Quarter-End Anchors'!C18,2*Balance!B18-B18)</f>
        <v>2335</v>
      </c>
      <c r="F18" s="32">
        <f>E18+(H18-E18)/3+(2*Balance!C18-E18-H18)</f>
        <v>2391</v>
      </c>
      <c r="G18" s="32">
        <f>E18+2*(H18-E18)/3+(2*Balance!C18-E18-H18)</f>
        <v>2447</v>
      </c>
      <c r="H18" s="32">
        <f>IF(ISNUMBER('Quarter-End Anchors'!D18),'Quarter-End Anchors'!D18,2*Balance!C18-E18)</f>
        <v>2503</v>
      </c>
      <c r="I18" s="32">
        <f>H18+(K18-H18)/3+(2*Balance!D18-H18-K18)</f>
        <v>2483</v>
      </c>
      <c r="J18" s="32">
        <f>H18+2*(K18-H18)/3+(2*Balance!D18-H18-K18)</f>
        <v>2463</v>
      </c>
      <c r="K18" s="32">
        <f>IF(ISNUMBER('Quarter-End Anchors'!E18),'Quarter-End Anchors'!E18,2*Balance!D18-H18)</f>
        <v>2443</v>
      </c>
      <c r="L18" s="32">
        <f>K18+(N18-K18)/3+(2*Balance!E18-K18-N18)</f>
        <v>3501</v>
      </c>
      <c r="M18" s="32">
        <f>K18+2*(N18-K18)/3+(2*Balance!E18-K18-N18)</f>
        <v>2875</v>
      </c>
      <c r="N18" s="32">
        <f>IF(ISNUMBER('Quarter-End Anchors'!F18),'Quarter-End Anchors'!F18,2*Balance!E18-K18)</f>
        <v>565</v>
      </c>
      <c r="O18" s="32">
        <f>N18+(Q18-N18)/3+(2*Balance!F18-N18-Q18)</f>
        <v>4163</v>
      </c>
      <c r="P18" s="32">
        <f>N18+2*(Q18-N18)/3+(2*Balance!F18-N18-Q18)</f>
        <v>4172</v>
      </c>
      <c r="Q18" s="32">
        <f>IF(ISNUMBER('Quarter-End Anchors'!G18),'Quarter-End Anchors'!G18,2*Balance!F18-N18)</f>
        <v>592</v>
      </c>
      <c r="R18" s="32">
        <f>Q18+(T18-Q18)/3+(2*Balance!G18-Q18-T18)</f>
        <v>4313.333333333333</v>
      </c>
      <c r="S18" s="32">
        <f>Q18+2*(T18-Q18)/3+(2*Balance!G18-Q18-T18)</f>
        <v>4362.666666666667</v>
      </c>
      <c r="T18" s="32">
        <f>IF(ISNUMBER('Quarter-End Anchors'!H18),'Quarter-End Anchors'!H18,2*Balance!G18-Q18)</f>
        <v>740</v>
      </c>
      <c r="U18" s="32">
        <f>T18+(W18-T18)/3+(2*Balance!H18-T18-W18)</f>
        <v>4168.666666666667</v>
      </c>
      <c r="V18" s="32">
        <f>T18+2*(W18-T18)/3+(2*Balance!H18-T18-W18)</f>
        <v>4103.333333333333</v>
      </c>
      <c r="W18" s="32">
        <f>IF(ISNUMBER('Quarter-End Anchors'!I18),'Quarter-End Anchors'!I18,2*Balance!H18-T18)</f>
        <v>544</v>
      </c>
      <c r="X18" s="32">
        <f>W18+(Z18-W18)/3+(2*Balance!I18-W18-Z18)</f>
        <v>4284.666666666667</v>
      </c>
      <c r="Y18" s="32">
        <f>W18+2*(Z18-W18)/3+(2*Balance!I18-W18-Z18)</f>
        <v>4300.333333333333</v>
      </c>
      <c r="Z18" s="32">
        <f>IF(ISNUMBER('Quarter-End Anchors'!J18),'Quarter-End Anchors'!J18,2*Balance!I18-W18)</f>
        <v>591</v>
      </c>
      <c r="AA18" s="32">
        <f>Z18+(AC18-Z18)/3+(2*Balance!J18-Z18-AC18)</f>
        <v>4028.3333333333335</v>
      </c>
      <c r="AB18" s="32">
        <f>Z18+2*(AC18-Z18)/3+(2*Balance!J18-Z18-AC18)</f>
        <v>4030.6666666666665</v>
      </c>
      <c r="AC18" s="32">
        <f>IF(ISNUMBER('Quarter-End Anchors'!K18),'Quarter-End Anchors'!K18,2*Balance!J18-Z18)</f>
        <v>598</v>
      </c>
      <c r="AD18" s="32">
        <f>AC18+(AF18-AC18)/3+(2*Balance!K18-AC18-AF18)</f>
        <v>4676.666666666667</v>
      </c>
      <c r="AE18" s="32">
        <f>AC18+2*(AF18-AC18)/3+(2*Balance!K18-AC18-AF18)</f>
        <v>4911.333333333333</v>
      </c>
      <c r="AF18" s="32">
        <f>IF(ISNUMBER('Quarter-End Anchors'!L18),'Quarter-End Anchors'!L18,2*Balance!K18-AC18)</f>
        <v>1302</v>
      </c>
      <c r="AG18" s="65">
        <f t="shared" ref="AG18:AR18" si="4">AF18</f>
        <v>1302</v>
      </c>
      <c r="AH18" s="65">
        <f t="shared" si="4"/>
        <v>1302</v>
      </c>
      <c r="AI18" s="65">
        <f t="shared" si="4"/>
        <v>1302</v>
      </c>
      <c r="AJ18" s="65">
        <f t="shared" si="4"/>
        <v>1302</v>
      </c>
      <c r="AK18" s="65">
        <f t="shared" si="4"/>
        <v>1302</v>
      </c>
      <c r="AL18" s="65">
        <f t="shared" si="4"/>
        <v>1302</v>
      </c>
      <c r="AM18" s="65">
        <f t="shared" si="4"/>
        <v>1302</v>
      </c>
      <c r="AN18" s="65">
        <f t="shared" si="4"/>
        <v>1302</v>
      </c>
      <c r="AO18" s="65">
        <f t="shared" si="4"/>
        <v>1302</v>
      </c>
      <c r="AP18" s="65">
        <f t="shared" si="4"/>
        <v>1302</v>
      </c>
      <c r="AQ18" s="65">
        <f t="shared" si="4"/>
        <v>1302</v>
      </c>
      <c r="AR18" s="65">
        <f t="shared" si="4"/>
        <v>1302</v>
      </c>
    </row>
    <row r="19" spans="1:44" x14ac:dyDescent="0.2">
      <c r="A19" s="22" t="s">
        <v>91</v>
      </c>
      <c r="B19" s="29">
        <f t="shared" ref="B19:AR19" si="5">SUM(B15:B18)</f>
        <v>358510</v>
      </c>
      <c r="C19" s="29">
        <f t="shared" si="5"/>
        <v>358510</v>
      </c>
      <c r="D19" s="29">
        <f t="shared" si="5"/>
        <v>358510</v>
      </c>
      <c r="E19" s="29">
        <f t="shared" si="5"/>
        <v>358510</v>
      </c>
      <c r="F19" s="29">
        <f t="shared" si="5"/>
        <v>361875.33333333337</v>
      </c>
      <c r="G19" s="29">
        <f t="shared" si="5"/>
        <v>365240.66666666663</v>
      </c>
      <c r="H19" s="29">
        <f t="shared" si="5"/>
        <v>368606</v>
      </c>
      <c r="I19" s="29">
        <f t="shared" si="5"/>
        <v>367986</v>
      </c>
      <c r="J19" s="29">
        <f t="shared" si="5"/>
        <v>367366</v>
      </c>
      <c r="K19" s="29">
        <f t="shared" si="5"/>
        <v>366746</v>
      </c>
      <c r="L19" s="29">
        <f t="shared" si="5"/>
        <v>370537.33333333331</v>
      </c>
      <c r="M19" s="29">
        <f t="shared" si="5"/>
        <v>371712.66666666663</v>
      </c>
      <c r="N19" s="29">
        <f t="shared" si="5"/>
        <v>370272</v>
      </c>
      <c r="O19" s="29">
        <f t="shared" si="5"/>
        <v>369158.00000000006</v>
      </c>
      <c r="P19" s="29">
        <f t="shared" si="5"/>
        <v>370312.99999999994</v>
      </c>
      <c r="Q19" s="29">
        <f t="shared" si="5"/>
        <v>373737</v>
      </c>
      <c r="R19" s="29">
        <f t="shared" si="5"/>
        <v>374168.33333333337</v>
      </c>
      <c r="S19" s="29">
        <f t="shared" si="5"/>
        <v>373728.66666666663</v>
      </c>
      <c r="T19" s="29">
        <f t="shared" si="5"/>
        <v>372418</v>
      </c>
      <c r="U19" s="29">
        <f t="shared" si="5"/>
        <v>374329.33333333337</v>
      </c>
      <c r="V19" s="29">
        <f t="shared" si="5"/>
        <v>375727.66666666669</v>
      </c>
      <c r="W19" s="29">
        <f t="shared" si="5"/>
        <v>376613</v>
      </c>
      <c r="X19" s="29">
        <f t="shared" si="5"/>
        <v>379393.66666666669</v>
      </c>
      <c r="Y19" s="29">
        <f t="shared" si="5"/>
        <v>381244.33333333326</v>
      </c>
      <c r="Z19" s="29">
        <f t="shared" si="5"/>
        <v>382165</v>
      </c>
      <c r="AA19" s="29">
        <f t="shared" si="5"/>
        <v>385865</v>
      </c>
      <c r="AB19" s="29">
        <f t="shared" si="5"/>
        <v>386064</v>
      </c>
      <c r="AC19" s="29">
        <f t="shared" si="5"/>
        <v>382762</v>
      </c>
      <c r="AD19" s="29">
        <f t="shared" si="5"/>
        <v>415293.33333333337</v>
      </c>
      <c r="AE19" s="29">
        <f t="shared" si="5"/>
        <v>452191.66666666663</v>
      </c>
      <c r="AF19" s="29">
        <f t="shared" si="5"/>
        <v>493457</v>
      </c>
      <c r="AG19" s="67">
        <f t="shared" si="5"/>
        <v>493458.25260728475</v>
      </c>
      <c r="AH19" s="67">
        <f t="shared" si="5"/>
        <v>493459.87396374298</v>
      </c>
      <c r="AI19" s="67">
        <f t="shared" si="5"/>
        <v>493461.86222562881</v>
      </c>
      <c r="AJ19" s="67">
        <f t="shared" si="5"/>
        <v>493464.21555841516</v>
      </c>
      <c r="AK19" s="67">
        <f t="shared" si="5"/>
        <v>493466.93213674746</v>
      </c>
      <c r="AL19" s="67">
        <f t="shared" si="5"/>
        <v>493470.01014439797</v>
      </c>
      <c r="AM19" s="67">
        <f t="shared" si="5"/>
        <v>493473.4477742202</v>
      </c>
      <c r="AN19" s="67">
        <f t="shared" si="5"/>
        <v>493477.24322810309</v>
      </c>
      <c r="AO19" s="67">
        <f t="shared" si="5"/>
        <v>493481.39471692656</v>
      </c>
      <c r="AP19" s="67">
        <f t="shared" si="5"/>
        <v>493485.90046051581</v>
      </c>
      <c r="AQ19" s="67">
        <f t="shared" si="5"/>
        <v>493490.758687597</v>
      </c>
      <c r="AR19" s="67">
        <f t="shared" si="5"/>
        <v>493495.96763575263</v>
      </c>
    </row>
    <row r="20" spans="1:44" x14ac:dyDescent="0.2">
      <c r="A20" s="19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</row>
    <row r="21" spans="1:44" x14ac:dyDescent="0.2">
      <c r="A21" s="22" t="s">
        <v>26</v>
      </c>
      <c r="B21" s="29">
        <f t="shared" ref="B21:AR21" si="6">B12-B19</f>
        <v>70821</v>
      </c>
      <c r="C21" s="29">
        <f t="shared" si="6"/>
        <v>72079</v>
      </c>
      <c r="D21" s="29">
        <f t="shared" si="6"/>
        <v>77318</v>
      </c>
      <c r="E21" s="29">
        <f t="shared" si="6"/>
        <v>86538</v>
      </c>
      <c r="F21" s="29">
        <f t="shared" si="6"/>
        <v>71632.666666666628</v>
      </c>
      <c r="G21" s="29">
        <f t="shared" si="6"/>
        <v>68128.333333333372</v>
      </c>
      <c r="H21" s="29">
        <f t="shared" si="6"/>
        <v>76025</v>
      </c>
      <c r="I21" s="29">
        <f t="shared" si="6"/>
        <v>73979</v>
      </c>
      <c r="J21" s="29">
        <f t="shared" si="6"/>
        <v>74833</v>
      </c>
      <c r="K21" s="29">
        <f t="shared" si="6"/>
        <v>78587</v>
      </c>
      <c r="L21" s="29">
        <f t="shared" si="6"/>
        <v>79433.666666666686</v>
      </c>
      <c r="M21" s="29">
        <f t="shared" si="6"/>
        <v>77595.333333333372</v>
      </c>
      <c r="N21" s="29">
        <f t="shared" si="6"/>
        <v>73072</v>
      </c>
      <c r="O21" s="29">
        <f t="shared" si="6"/>
        <v>81963.999999999942</v>
      </c>
      <c r="P21" s="29">
        <f t="shared" si="6"/>
        <v>81379.000000000058</v>
      </c>
      <c r="Q21" s="29">
        <f t="shared" si="6"/>
        <v>71317</v>
      </c>
      <c r="R21" s="29">
        <f t="shared" si="6"/>
        <v>82453</v>
      </c>
      <c r="S21" s="29">
        <f t="shared" si="6"/>
        <v>82963</v>
      </c>
      <c r="T21" s="29">
        <f t="shared" si="6"/>
        <v>72847</v>
      </c>
      <c r="U21" s="29">
        <f t="shared" si="6"/>
        <v>83908.999999999942</v>
      </c>
      <c r="V21" s="29">
        <f t="shared" si="6"/>
        <v>85243</v>
      </c>
      <c r="W21" s="29">
        <f t="shared" si="6"/>
        <v>76849</v>
      </c>
      <c r="X21" s="29">
        <f t="shared" si="6"/>
        <v>87859.666666666628</v>
      </c>
      <c r="Y21" s="29">
        <f t="shared" si="6"/>
        <v>86341.33333333343</v>
      </c>
      <c r="Z21" s="29">
        <f t="shared" si="6"/>
        <v>72294</v>
      </c>
      <c r="AA21" s="29">
        <f t="shared" si="6"/>
        <v>83574</v>
      </c>
      <c r="AB21" s="29">
        <f t="shared" si="6"/>
        <v>84196.999999999942</v>
      </c>
      <c r="AC21" s="29">
        <f t="shared" si="6"/>
        <v>74163</v>
      </c>
      <c r="AD21" s="29">
        <f t="shared" si="6"/>
        <v>90209</v>
      </c>
      <c r="AE21" s="29">
        <f t="shared" si="6"/>
        <v>97026</v>
      </c>
      <c r="AF21" s="29">
        <f t="shared" si="6"/>
        <v>94614</v>
      </c>
      <c r="AG21" s="67">
        <f t="shared" si="6"/>
        <v>94665.759410598723</v>
      </c>
      <c r="AH21" s="67">
        <f t="shared" si="6"/>
        <v>94717.150072024204</v>
      </c>
      <c r="AI21" s="67">
        <f t="shared" si="6"/>
        <v>94768.173828021856</v>
      </c>
      <c r="AJ21" s="67">
        <f t="shared" si="6"/>
        <v>94818.83251311921</v>
      </c>
      <c r="AK21" s="67">
        <f t="shared" si="6"/>
        <v>94869.127952670504</v>
      </c>
      <c r="AL21" s="67">
        <f t="shared" si="6"/>
        <v>94919.061962903361</v>
      </c>
      <c r="AM21" s="67">
        <f t="shared" si="6"/>
        <v>94968.636350964836</v>
      </c>
      <c r="AN21" s="67">
        <f t="shared" si="6"/>
        <v>95017.852914965537</v>
      </c>
      <c r="AO21" s="67">
        <f t="shared" si="6"/>
        <v>95066.713444025547</v>
      </c>
      <c r="AP21" s="67">
        <f t="shared" si="6"/>
        <v>95115.219718320004</v>
      </c>
      <c r="AQ21" s="67">
        <f t="shared" si="6"/>
        <v>95163.373509122292</v>
      </c>
      <c r="AR21" s="67">
        <f t="shared" si="6"/>
        <v>95211.176578850369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21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5" x14ac:dyDescent="0.2"/>
  <cols>
    <col min="1" max="1" width="43" customWidth="1"/>
    <col min="2" max="43" width="12" customWidth="1"/>
  </cols>
  <sheetData>
    <row r="1" spans="1:43" ht="18" x14ac:dyDescent="0.2">
      <c r="A1" s="23" t="s">
        <v>101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</row>
    <row r="2" spans="1:43" ht="31" customHeight="1" x14ac:dyDescent="0.2">
      <c r="A2" s="25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</row>
    <row r="4" spans="1:43" x14ac:dyDescent="0.2">
      <c r="A4" s="22" t="s">
        <v>1</v>
      </c>
      <c r="B4" s="26">
        <v>44957</v>
      </c>
      <c r="C4" s="26">
        <v>44985</v>
      </c>
      <c r="D4" s="26">
        <v>45016</v>
      </c>
      <c r="E4" s="26">
        <v>45046</v>
      </c>
      <c r="F4" s="26">
        <v>45077</v>
      </c>
      <c r="G4" s="26">
        <v>45107</v>
      </c>
      <c r="H4" s="26">
        <v>45138</v>
      </c>
      <c r="I4" s="26">
        <v>45169</v>
      </c>
      <c r="J4" s="26">
        <v>45199</v>
      </c>
      <c r="K4" s="26">
        <v>45230</v>
      </c>
      <c r="L4" s="26">
        <v>45260</v>
      </c>
      <c r="M4" s="26">
        <v>45291</v>
      </c>
      <c r="N4" s="26">
        <v>45322</v>
      </c>
      <c r="O4" s="26">
        <v>45351</v>
      </c>
      <c r="P4" s="26">
        <v>45382</v>
      </c>
      <c r="Q4" s="26">
        <v>45412</v>
      </c>
      <c r="R4" s="26">
        <v>45443</v>
      </c>
      <c r="S4" s="26">
        <v>45473</v>
      </c>
      <c r="T4" s="26">
        <v>45504</v>
      </c>
      <c r="U4" s="26">
        <v>45535</v>
      </c>
      <c r="V4" s="26">
        <v>45565</v>
      </c>
      <c r="W4" s="26">
        <v>45596</v>
      </c>
      <c r="X4" s="26">
        <v>45626</v>
      </c>
      <c r="Y4" s="26">
        <v>45657</v>
      </c>
      <c r="Z4" s="26">
        <v>45688</v>
      </c>
      <c r="AA4" s="26">
        <v>45716</v>
      </c>
      <c r="AB4" s="26">
        <v>45747</v>
      </c>
      <c r="AC4" s="26">
        <v>45777</v>
      </c>
      <c r="AD4" s="26">
        <v>45808</v>
      </c>
      <c r="AE4" s="26">
        <v>45838</v>
      </c>
      <c r="AF4" s="64">
        <v>45869</v>
      </c>
      <c r="AG4" s="64">
        <v>45900</v>
      </c>
      <c r="AH4" s="64">
        <v>45930</v>
      </c>
      <c r="AI4" s="64">
        <v>45961</v>
      </c>
      <c r="AJ4" s="64">
        <v>45991</v>
      </c>
      <c r="AK4" s="64">
        <v>46022</v>
      </c>
      <c r="AL4" s="64">
        <v>46053</v>
      </c>
      <c r="AM4" s="64">
        <v>46081</v>
      </c>
      <c r="AN4" s="64">
        <v>46112</v>
      </c>
      <c r="AO4" s="64">
        <v>46142</v>
      </c>
      <c r="AP4" s="64">
        <v>46173</v>
      </c>
      <c r="AQ4" s="64">
        <v>46203</v>
      </c>
    </row>
    <row r="5" spans="1:43" x14ac:dyDescent="0.2">
      <c r="A5" s="27" t="s">
        <v>12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</row>
    <row r="6" spans="1:43" x14ac:dyDescent="0.2">
      <c r="A6" s="19" t="s">
        <v>80</v>
      </c>
      <c r="B6" s="32">
        <f>AVERAGE('Monthly EOP Balance'!B6,'Monthly EOP Balance'!C6)</f>
        <v>134669</v>
      </c>
      <c r="C6" s="32">
        <f>AVERAGE('Monthly EOP Balance'!C6,'Monthly EOP Balance'!D6)</f>
        <v>134669</v>
      </c>
      <c r="D6" s="32">
        <f>AVERAGE('Monthly EOP Balance'!D6,'Monthly EOP Balance'!E6)</f>
        <v>134669</v>
      </c>
      <c r="E6" s="32">
        <f>AVERAGE('Monthly EOP Balance'!E6,'Monthly EOP Balance'!F6)</f>
        <v>136033.33333333331</v>
      </c>
      <c r="F6" s="32">
        <f>AVERAGE('Monthly EOP Balance'!F6,'Monthly EOP Balance'!G6)</f>
        <v>138762</v>
      </c>
      <c r="G6" s="32">
        <f>AVERAGE('Monthly EOP Balance'!G6,'Monthly EOP Balance'!H6)</f>
        <v>141490.66666666669</v>
      </c>
      <c r="H6" s="32">
        <f>AVERAGE('Monthly EOP Balance'!H6,'Monthly EOP Balance'!I6)</f>
        <v>143254.33333333331</v>
      </c>
      <c r="I6" s="32">
        <f>AVERAGE('Monthly EOP Balance'!I6,'Monthly EOP Balance'!J6)</f>
        <v>144053</v>
      </c>
      <c r="J6" s="32">
        <f>AVERAGE('Monthly EOP Balance'!J6,'Monthly EOP Balance'!K6)</f>
        <v>144851.66666666669</v>
      </c>
      <c r="K6" s="32">
        <f>AVERAGE('Monthly EOP Balance'!K6,'Monthly EOP Balance'!L6)</f>
        <v>147236.34404096979</v>
      </c>
      <c r="L6" s="32">
        <f>AVERAGE('Monthly EOP Balance'!L6,'Monthly EOP Balance'!M6)</f>
        <v>150159.51606145472</v>
      </c>
      <c r="M6" s="32">
        <f>AVERAGE('Monthly EOP Balance'!M6,'Monthly EOP Balance'!N6)</f>
        <v>150987.65595903021</v>
      </c>
      <c r="N6" s="32">
        <f>AVERAGE('Monthly EOP Balance'!N6,'Monthly EOP Balance'!O6)</f>
        <v>150390.14860445017</v>
      </c>
      <c r="O6" s="32">
        <f>AVERAGE('Monthly EOP Balance'!O6,'Monthly EOP Balance'!P6)</f>
        <v>149731.75502958469</v>
      </c>
      <c r="P6" s="32">
        <f>AVERAGE('Monthly EOP Balance'!P6,'Monthly EOP Balance'!Q6)</f>
        <v>149707.85139554983</v>
      </c>
      <c r="Q6" s="32">
        <f>AVERAGE('Monthly EOP Balance'!Q6,'Monthly EOP Balance'!R6)</f>
        <v>150152.57892314848</v>
      </c>
      <c r="R6" s="32">
        <f>AVERAGE('Monthly EOP Balance'!R6,'Monthly EOP Balance'!S6)</f>
        <v>150807.34632098267</v>
      </c>
      <c r="S6" s="32">
        <f>AVERAGE('Monthly EOP Balance'!S6,'Monthly EOP Balance'!T6)</f>
        <v>151579.42107685152</v>
      </c>
      <c r="T6" s="32">
        <f>AVERAGE('Monthly EOP Balance'!T6,'Monthly EOP Balance'!U6)</f>
        <v>153191.90113954589</v>
      </c>
      <c r="U6" s="32">
        <f>AVERAGE('Monthly EOP Balance'!U6,'Monthly EOP Balance'!V6)</f>
        <v>154873.06641502422</v>
      </c>
      <c r="V6" s="32">
        <f>AVERAGE('Monthly EOP Balance'!V6,'Monthly EOP Balance'!W6)</f>
        <v>155128.09886045411</v>
      </c>
      <c r="W6" s="32">
        <f>AVERAGE('Monthly EOP Balance'!W6,'Monthly EOP Balance'!X6)</f>
        <v>155642.52992379395</v>
      </c>
      <c r="X6" s="32">
        <f>AVERAGE('Monthly EOP Balance'!X6,'Monthly EOP Balance'!Y6)</f>
        <v>157244.713010034</v>
      </c>
      <c r="Y6" s="32">
        <f>AVERAGE('Monthly EOP Balance'!Y6,'Monthly EOP Balance'!Z6)</f>
        <v>159077.47007620605</v>
      </c>
      <c r="Z6" s="32">
        <f>AVERAGE('Monthly EOP Balance'!Z6,'Monthly EOP Balance'!AA6)</f>
        <v>157489.07707141171</v>
      </c>
      <c r="AA6" s="32">
        <f>AVERAGE('Monthly EOP Balance'!AA6,'Monthly EOP Balance'!AB6)</f>
        <v>154386.12350284244</v>
      </c>
      <c r="AB6" s="32">
        <f>AVERAGE('Monthly EOP Balance'!AB6,'Monthly EOP Balance'!AC6)</f>
        <v>155326.92292858829</v>
      </c>
      <c r="AC6" s="32">
        <f>AVERAGE('Monthly EOP Balance'!AC6,'Monthly EOP Balance'!AD6)</f>
        <v>180845.28967624748</v>
      </c>
      <c r="AD6" s="32">
        <f>AVERAGE('Monthly EOP Balance'!AD6,'Monthly EOP Balance'!AE6)</f>
        <v>219306.17362433119</v>
      </c>
      <c r="AE6" s="32">
        <f>AVERAGE('Monthly EOP Balance'!AE6,'Monthly EOP Balance'!AF6)</f>
        <v>238540.71032375252</v>
      </c>
      <c r="AF6" s="65">
        <f>AVERAGE('Monthly EOP Balance'!AF6,'Monthly EOP Balance'!AG6)</f>
        <v>243372.12182880176</v>
      </c>
      <c r="AG6" s="65">
        <f>AVERAGE('Monthly EOP Balance'!AG6,'Monthly EOP Balance'!AH6)</f>
        <v>243413.58176381007</v>
      </c>
      <c r="AH6" s="65">
        <f>AVERAGE('Monthly EOP Balance'!AH6,'Monthly EOP Balance'!AI6)</f>
        <v>243455.04169881844</v>
      </c>
      <c r="AI6" s="65">
        <f>AVERAGE('Monthly EOP Balance'!AI6,'Monthly EOP Balance'!AJ6)</f>
        <v>243496.50163382679</v>
      </c>
      <c r="AJ6" s="65">
        <f>AVERAGE('Monthly EOP Balance'!AJ6,'Monthly EOP Balance'!AK6)</f>
        <v>243537.96156883516</v>
      </c>
      <c r="AK6" s="65">
        <f>AVERAGE('Monthly EOP Balance'!AK6,'Monthly EOP Balance'!AL6)</f>
        <v>243579.42150384351</v>
      </c>
      <c r="AL6" s="65">
        <f>AVERAGE('Monthly EOP Balance'!AL6,'Monthly EOP Balance'!AM6)</f>
        <v>243620.88143885188</v>
      </c>
      <c r="AM6" s="65">
        <f>AVERAGE('Monthly EOP Balance'!AM6,'Monthly EOP Balance'!AN6)</f>
        <v>243662.34137386025</v>
      </c>
      <c r="AN6" s="65">
        <f>AVERAGE('Monthly EOP Balance'!AN6,'Monthly EOP Balance'!AO6)</f>
        <v>243703.80130886857</v>
      </c>
      <c r="AO6" s="65">
        <f>AVERAGE('Monthly EOP Balance'!AO6,'Monthly EOP Balance'!AP6)</f>
        <v>243745.26124387694</v>
      </c>
      <c r="AP6" s="65">
        <f>AVERAGE('Monthly EOP Balance'!AP6,'Monthly EOP Balance'!AQ6)</f>
        <v>243786.72117888532</v>
      </c>
      <c r="AQ6" s="65">
        <f>AVERAGE('Monthly EOP Balance'!AQ6,'Monthly EOP Balance'!AR6)</f>
        <v>243828.18111389369</v>
      </c>
    </row>
    <row r="7" spans="1:43" x14ac:dyDescent="0.2">
      <c r="A7" s="19" t="s">
        <v>81</v>
      </c>
      <c r="B7" s="32">
        <f>AVERAGE('Monthly EOP Balance'!B7,'Monthly EOP Balance'!C7)</f>
        <v>79000</v>
      </c>
      <c r="C7" s="32">
        <f>AVERAGE('Monthly EOP Balance'!C7,'Monthly EOP Balance'!D7)</f>
        <v>79000</v>
      </c>
      <c r="D7" s="32">
        <f>AVERAGE('Monthly EOP Balance'!D7,'Monthly EOP Balance'!E7)</f>
        <v>79000</v>
      </c>
      <c r="E7" s="32">
        <f>AVERAGE('Monthly EOP Balance'!E7,'Monthly EOP Balance'!F7)</f>
        <v>78566.333333333343</v>
      </c>
      <c r="F7" s="32">
        <f>AVERAGE('Monthly EOP Balance'!F7,'Monthly EOP Balance'!G7)</f>
        <v>77699</v>
      </c>
      <c r="G7" s="32">
        <f>AVERAGE('Monthly EOP Balance'!G7,'Monthly EOP Balance'!H7)</f>
        <v>76831.666666666657</v>
      </c>
      <c r="H7" s="32">
        <f>AVERAGE('Monthly EOP Balance'!H7,'Monthly EOP Balance'!I7)</f>
        <v>76650</v>
      </c>
      <c r="I7" s="32">
        <f>AVERAGE('Monthly EOP Balance'!I7,'Monthly EOP Balance'!J7)</f>
        <v>77154</v>
      </c>
      <c r="J7" s="32">
        <f>AVERAGE('Monthly EOP Balance'!J7,'Monthly EOP Balance'!K7)</f>
        <v>77658</v>
      </c>
      <c r="K7" s="32">
        <f>AVERAGE('Monthly EOP Balance'!K7,'Monthly EOP Balance'!L7)</f>
        <v>76485.08718398842</v>
      </c>
      <c r="L7" s="32">
        <f>AVERAGE('Monthly EOP Balance'!L7,'Monthly EOP Balance'!M7)</f>
        <v>74929.630775982645</v>
      </c>
      <c r="M7" s="32">
        <f>AVERAGE('Monthly EOP Balance'!M7,'Monthly EOP Balance'!N7)</f>
        <v>75962.91281601158</v>
      </c>
      <c r="N7" s="32">
        <f>AVERAGE('Monthly EOP Balance'!N7,'Monthly EOP Balance'!O7)</f>
        <v>75802.021202186967</v>
      </c>
      <c r="O7" s="32">
        <f>AVERAGE('Monthly EOP Balance'!O7,'Monthly EOP Balance'!P7)</f>
        <v>74121.79335524574</v>
      </c>
      <c r="P7" s="32">
        <f>AVERAGE('Monthly EOP Balance'!P7,'Monthly EOP Balance'!Q7)</f>
        <v>74379.978797813033</v>
      </c>
      <c r="Q7" s="32">
        <f>AVERAGE('Monthly EOP Balance'!Q7,'Monthly EOP Balance'!R7)</f>
        <v>75067.21128338635</v>
      </c>
      <c r="R7" s="32">
        <f>AVERAGE('Monthly EOP Balance'!R7,'Monthly EOP Balance'!S7)</f>
        <v>75300.142083605722</v>
      </c>
      <c r="S7" s="32">
        <f>AVERAGE('Monthly EOP Balance'!S7,'Monthly EOP Balance'!T7)</f>
        <v>75704.78871661365</v>
      </c>
      <c r="T7" s="32">
        <f>AVERAGE('Monthly EOP Balance'!T7,'Monthly EOP Balance'!U7)</f>
        <v>75982.935097236186</v>
      </c>
      <c r="U7" s="32">
        <f>AVERAGE('Monthly EOP Balance'!U7,'Monthly EOP Balance'!V7)</f>
        <v>76115.361654539505</v>
      </c>
      <c r="V7" s="32">
        <f>AVERAGE('Monthly EOP Balance'!V7,'Monthly EOP Balance'!W7)</f>
        <v>76381.064902763814</v>
      </c>
      <c r="W7" s="32">
        <f>AVERAGE('Monthly EOP Balance'!W7,'Monthly EOP Balance'!X7)</f>
        <v>76562.757801611529</v>
      </c>
      <c r="X7" s="32">
        <f>AVERAGE('Monthly EOP Balance'!X7,'Monthly EOP Balance'!Y7)</f>
        <v>76912.401002811064</v>
      </c>
      <c r="Y7" s="32">
        <f>AVERAGE('Monthly EOP Balance'!Y7,'Monthly EOP Balance'!Z7)</f>
        <v>77899.242198388471</v>
      </c>
      <c r="Z7" s="32">
        <f>AVERAGE('Monthly EOP Balance'!Z7,'Monthly EOP Balance'!AA7)</f>
        <v>78437.041847710905</v>
      </c>
      <c r="AA7" s="32">
        <f>AVERAGE('Monthly EOP Balance'!AA7,'Monthly EOP Balance'!AB7)</f>
        <v>78343.600476794702</v>
      </c>
      <c r="AB7" s="32">
        <f>AVERAGE('Monthly EOP Balance'!AB7,'Monthly EOP Balance'!AC7)</f>
        <v>78522.958152289095</v>
      </c>
      <c r="AC7" s="32">
        <f>AVERAGE('Monthly EOP Balance'!AC7,'Monthly EOP Balance'!AD7)</f>
        <v>75338.190393942234</v>
      </c>
      <c r="AD7" s="32">
        <f>AVERAGE('Monthly EOP Balance'!AD7,'Monthly EOP Balance'!AE7)</f>
        <v>74373.948839274439</v>
      </c>
      <c r="AE7" s="32">
        <f>AVERAGE('Monthly EOP Balance'!AE7,'Monthly EOP Balance'!AF7)</f>
        <v>84851.809606057766</v>
      </c>
      <c r="AF7" s="65">
        <f>AVERAGE('Monthly EOP Balance'!AF7,'Monthly EOP Balance'!AG7)</f>
        <v>92943.022462694935</v>
      </c>
      <c r="AG7" s="65">
        <f>AVERAGE('Monthly EOP Balance'!AG7,'Monthly EOP Balance'!AH7)</f>
        <v>92926.536248460397</v>
      </c>
      <c r="AH7" s="65">
        <f>AVERAGE('Monthly EOP Balance'!AH7,'Monthly EOP Balance'!AI7)</f>
        <v>92910.05003422586</v>
      </c>
      <c r="AI7" s="65">
        <f>AVERAGE('Monthly EOP Balance'!AI7,'Monthly EOP Balance'!AJ7)</f>
        <v>92893.563819991337</v>
      </c>
      <c r="AJ7" s="65">
        <f>AVERAGE('Monthly EOP Balance'!AJ7,'Monthly EOP Balance'!AK7)</f>
        <v>92877.0776057568</v>
      </c>
      <c r="AK7" s="65">
        <f>AVERAGE('Monthly EOP Balance'!AK7,'Monthly EOP Balance'!AL7)</f>
        <v>92860.591391522263</v>
      </c>
      <c r="AL7" s="65">
        <f>AVERAGE('Monthly EOP Balance'!AL7,'Monthly EOP Balance'!AM7)</f>
        <v>92844.10517728774</v>
      </c>
      <c r="AM7" s="65">
        <f>AVERAGE('Monthly EOP Balance'!AM7,'Monthly EOP Balance'!AN7)</f>
        <v>92827.618963053217</v>
      </c>
      <c r="AN7" s="65">
        <f>AVERAGE('Monthly EOP Balance'!AN7,'Monthly EOP Balance'!AO7)</f>
        <v>92811.13274881868</v>
      </c>
      <c r="AO7" s="65">
        <f>AVERAGE('Monthly EOP Balance'!AO7,'Monthly EOP Balance'!AP7)</f>
        <v>92794.646534584143</v>
      </c>
      <c r="AP7" s="65">
        <f>AVERAGE('Monthly EOP Balance'!AP7,'Monthly EOP Balance'!AQ7)</f>
        <v>92778.16032034962</v>
      </c>
      <c r="AQ7" s="65">
        <f>AVERAGE('Monthly EOP Balance'!AQ7,'Monthly EOP Balance'!AR7)</f>
        <v>92761.674106115068</v>
      </c>
    </row>
    <row r="8" spans="1:43" x14ac:dyDescent="0.2">
      <c r="A8" s="19" t="s">
        <v>82</v>
      </c>
      <c r="B8" s="32">
        <f>AVERAGE('Monthly EOP Balance'!B8,'Monthly EOP Balance'!C8)</f>
        <v>94446</v>
      </c>
      <c r="C8" s="32">
        <f>AVERAGE('Monthly EOP Balance'!C8,'Monthly EOP Balance'!D8)</f>
        <v>94446</v>
      </c>
      <c r="D8" s="32">
        <f>AVERAGE('Monthly EOP Balance'!D8,'Monthly EOP Balance'!E8)</f>
        <v>94446</v>
      </c>
      <c r="E8" s="32">
        <f>AVERAGE('Monthly EOP Balance'!E8,'Monthly EOP Balance'!F8)</f>
        <v>94255.333333333343</v>
      </c>
      <c r="F8" s="32">
        <f>AVERAGE('Monthly EOP Balance'!F8,'Monthly EOP Balance'!G8)</f>
        <v>93874</v>
      </c>
      <c r="G8" s="32">
        <f>AVERAGE('Monthly EOP Balance'!G8,'Monthly EOP Balance'!H8)</f>
        <v>93492.666666666657</v>
      </c>
      <c r="H8" s="32">
        <f>AVERAGE('Monthly EOP Balance'!H8,'Monthly EOP Balance'!I8)</f>
        <v>92952.666666666657</v>
      </c>
      <c r="I8" s="32">
        <f>AVERAGE('Monthly EOP Balance'!I8,'Monthly EOP Balance'!J8)</f>
        <v>92254</v>
      </c>
      <c r="J8" s="32">
        <f>AVERAGE('Monthly EOP Balance'!J8,'Monthly EOP Balance'!K8)</f>
        <v>91555.333333333343</v>
      </c>
      <c r="K8" s="32">
        <f>AVERAGE('Monthly EOP Balance'!K8,'Monthly EOP Balance'!L8)</f>
        <v>90964.568775041756</v>
      </c>
      <c r="L8" s="32">
        <f>AVERAGE('Monthly EOP Balance'!L8,'Monthly EOP Balance'!M8)</f>
        <v>90933.353162562635</v>
      </c>
      <c r="M8" s="32">
        <f>AVERAGE('Monthly EOP Balance'!M8,'Monthly EOP Balance'!N8)</f>
        <v>91805.431224958244</v>
      </c>
      <c r="N8" s="32">
        <f>AVERAGE('Monthly EOP Balance'!N8,'Monthly EOP Balance'!O8)</f>
        <v>91143.496860029525</v>
      </c>
      <c r="O8" s="32">
        <f>AVERAGE('Monthly EOP Balance'!O8,'Monthly EOP Balance'!P8)</f>
        <v>89459.451615169557</v>
      </c>
      <c r="P8" s="32">
        <f>AVERAGE('Monthly EOP Balance'!P8,'Monthly EOP Balance'!Q8)</f>
        <v>89702.503139970475</v>
      </c>
      <c r="Q8" s="32">
        <f>AVERAGE('Monthly EOP Balance'!Q8,'Monthly EOP Balance'!R8)</f>
        <v>89592.543126798497</v>
      </c>
      <c r="R8" s="32">
        <f>AVERAGE('Monthly EOP Balance'!R8,'Monthly EOP Balance'!S8)</f>
        <v>88868.511595411605</v>
      </c>
      <c r="S8" s="32">
        <f>AVERAGE('Monthly EOP Balance'!S8,'Monthly EOP Balance'!T8)</f>
        <v>89549.456873201503</v>
      </c>
      <c r="T8" s="32">
        <f>AVERAGE('Monthly EOP Balance'!T8,'Monthly EOP Balance'!U8)</f>
        <v>88854.497096551262</v>
      </c>
      <c r="U8" s="32">
        <f>AVERAGE('Monthly EOP Balance'!U8,'Monthly EOP Balance'!V8)</f>
        <v>87227.071930436257</v>
      </c>
      <c r="V8" s="32">
        <f>AVERAGE('Monthly EOP Balance'!V8,'Monthly EOP Balance'!W8)</f>
        <v>87891.502903448738</v>
      </c>
      <c r="W8" s="32">
        <f>AVERAGE('Monthly EOP Balance'!W8,'Monthly EOP Balance'!X8)</f>
        <v>87547.045607927867</v>
      </c>
      <c r="X8" s="32">
        <f>AVERAGE('Monthly EOP Balance'!X8,'Monthly EOP Balance'!Y8)</f>
        <v>86359.88598715495</v>
      </c>
      <c r="Y8" s="32">
        <f>AVERAGE('Monthly EOP Balance'!Y8,'Monthly EOP Balance'!Z8)</f>
        <v>87796.954392072133</v>
      </c>
      <c r="Z8" s="32">
        <f>AVERAGE('Monthly EOP Balance'!Z8,'Monthly EOP Balance'!AA8)</f>
        <v>88238.214414210728</v>
      </c>
      <c r="AA8" s="32">
        <f>AVERAGE('Monthly EOP Balance'!AA8,'Monthly EOP Balance'!AB8)</f>
        <v>87127.776020362842</v>
      </c>
      <c r="AB8" s="32">
        <f>AVERAGE('Monthly EOP Balance'!AB8,'Monthly EOP Balance'!AC8)</f>
        <v>87529.785585789272</v>
      </c>
      <c r="AC8" s="32">
        <f>AVERAGE('Monthly EOP Balance'!AC8,'Monthly EOP Balance'!AD8)</f>
        <v>83787.186596476939</v>
      </c>
      <c r="AD8" s="32">
        <f>AVERAGE('Monthly EOP Balance'!AD8,'Monthly EOP Balance'!AE8)</f>
        <v>81946.377536394371</v>
      </c>
      <c r="AE8" s="32">
        <f>AVERAGE('Monthly EOP Balance'!AE8,'Monthly EOP Balance'!AF8)</f>
        <v>93710.813403523061</v>
      </c>
      <c r="AF8" s="65">
        <f>AVERAGE('Monthly EOP Balance'!AF8,'Monthly EOP Balance'!AG8)</f>
        <v>103003.11617547713</v>
      </c>
      <c r="AG8" s="65">
        <f>AVERAGE('Monthly EOP Balance'!AG8,'Monthly EOP Balance'!AH8)</f>
        <v>103020.66338865092</v>
      </c>
      <c r="AH8" s="65">
        <f>AVERAGE('Monthly EOP Balance'!AH8,'Monthly EOP Balance'!AI8)</f>
        <v>103038.21060182474</v>
      </c>
      <c r="AI8" s="65">
        <f>AVERAGE('Monthly EOP Balance'!AI8,'Monthly EOP Balance'!AJ8)</f>
        <v>103055.75781499855</v>
      </c>
      <c r="AJ8" s="65">
        <f>AVERAGE('Monthly EOP Balance'!AJ8,'Monthly EOP Balance'!AK8)</f>
        <v>103073.30502817237</v>
      </c>
      <c r="AK8" s="65">
        <f>AVERAGE('Monthly EOP Balance'!AK8,'Monthly EOP Balance'!AL8)</f>
        <v>103090.85224134618</v>
      </c>
      <c r="AL8" s="65">
        <f>AVERAGE('Monthly EOP Balance'!AL8,'Monthly EOP Balance'!AM8)</f>
        <v>103108.39945452</v>
      </c>
      <c r="AM8" s="65">
        <f>AVERAGE('Monthly EOP Balance'!AM8,'Monthly EOP Balance'!AN8)</f>
        <v>103125.94666769382</v>
      </c>
      <c r="AN8" s="65">
        <f>AVERAGE('Monthly EOP Balance'!AN8,'Monthly EOP Balance'!AO8)</f>
        <v>103143.49388086762</v>
      </c>
      <c r="AO8" s="65">
        <f>AVERAGE('Monthly EOP Balance'!AO8,'Monthly EOP Balance'!AP8)</f>
        <v>103161.04109404144</v>
      </c>
      <c r="AP8" s="65">
        <f>AVERAGE('Monthly EOP Balance'!AP8,'Monthly EOP Balance'!AQ8)</f>
        <v>103178.58830721526</v>
      </c>
      <c r="AQ8" s="65">
        <f>AVERAGE('Monthly EOP Balance'!AQ8,'Monthly EOP Balance'!AR8)</f>
        <v>103196.13552038907</v>
      </c>
    </row>
    <row r="9" spans="1:43" x14ac:dyDescent="0.2">
      <c r="A9" s="22" t="s">
        <v>83</v>
      </c>
      <c r="B9" s="29">
        <f>AVERAGE('Monthly EOP Balance'!B9,'Monthly EOP Balance'!C9)</f>
        <v>308115</v>
      </c>
      <c r="C9" s="29">
        <f>AVERAGE('Monthly EOP Balance'!C9,'Monthly EOP Balance'!D9)</f>
        <v>308115</v>
      </c>
      <c r="D9" s="29">
        <f>AVERAGE('Monthly EOP Balance'!D9,'Monthly EOP Balance'!E9)</f>
        <v>308115</v>
      </c>
      <c r="E9" s="29">
        <f>AVERAGE('Monthly EOP Balance'!E9,'Monthly EOP Balance'!F9)</f>
        <v>308855</v>
      </c>
      <c r="F9" s="29">
        <f>AVERAGE('Monthly EOP Balance'!F9,'Monthly EOP Balance'!G9)</f>
        <v>310335</v>
      </c>
      <c r="G9" s="29">
        <f>AVERAGE('Monthly EOP Balance'!G9,'Monthly EOP Balance'!H9)</f>
        <v>311815</v>
      </c>
      <c r="H9" s="29">
        <f>AVERAGE('Monthly EOP Balance'!H9,'Monthly EOP Balance'!I9)</f>
        <v>312857</v>
      </c>
      <c r="I9" s="29">
        <f>AVERAGE('Monthly EOP Balance'!I9,'Monthly EOP Balance'!J9)</f>
        <v>313461</v>
      </c>
      <c r="J9" s="29">
        <f>AVERAGE('Monthly EOP Balance'!J9,'Monthly EOP Balance'!K9)</f>
        <v>314065</v>
      </c>
      <c r="K9" s="29">
        <f>AVERAGE('Monthly EOP Balance'!K9,'Monthly EOP Balance'!L9)</f>
        <v>314686</v>
      </c>
      <c r="L9" s="29">
        <f>AVERAGE('Monthly EOP Balance'!L9,'Monthly EOP Balance'!M9)</f>
        <v>316022.5</v>
      </c>
      <c r="M9" s="29">
        <f>AVERAGE('Monthly EOP Balance'!M9,'Monthly EOP Balance'!N9)</f>
        <v>318756</v>
      </c>
      <c r="N9" s="29">
        <f>AVERAGE('Monthly EOP Balance'!N9,'Monthly EOP Balance'!O9)</f>
        <v>317335.66666666669</v>
      </c>
      <c r="O9" s="29">
        <f>AVERAGE('Monthly EOP Balance'!O9,'Monthly EOP Balance'!P9)</f>
        <v>313313</v>
      </c>
      <c r="P9" s="29">
        <f>AVERAGE('Monthly EOP Balance'!P9,'Monthly EOP Balance'!Q9)</f>
        <v>313790.33333333331</v>
      </c>
      <c r="Q9" s="29">
        <f>AVERAGE('Monthly EOP Balance'!Q9,'Monthly EOP Balance'!R9)</f>
        <v>314812.33333333337</v>
      </c>
      <c r="R9" s="29">
        <f>AVERAGE('Monthly EOP Balance'!R9,'Monthly EOP Balance'!S9)</f>
        <v>314976</v>
      </c>
      <c r="S9" s="29">
        <f>AVERAGE('Monthly EOP Balance'!S9,'Monthly EOP Balance'!T9)</f>
        <v>316833.66666666663</v>
      </c>
      <c r="T9" s="29">
        <f>AVERAGE('Monthly EOP Balance'!T9,'Monthly EOP Balance'!U9)</f>
        <v>318029.33333333331</v>
      </c>
      <c r="U9" s="29">
        <f>AVERAGE('Monthly EOP Balance'!U9,'Monthly EOP Balance'!V9)</f>
        <v>318215.5</v>
      </c>
      <c r="V9" s="29">
        <f>AVERAGE('Monthly EOP Balance'!V9,'Monthly EOP Balance'!W9)</f>
        <v>319400.66666666669</v>
      </c>
      <c r="W9" s="29">
        <f>AVERAGE('Monthly EOP Balance'!W9,'Monthly EOP Balance'!X9)</f>
        <v>319752.33333333331</v>
      </c>
      <c r="X9" s="29">
        <f>AVERAGE('Monthly EOP Balance'!X9,'Monthly EOP Balance'!Y9)</f>
        <v>320517</v>
      </c>
      <c r="Y9" s="29">
        <f>AVERAGE('Monthly EOP Balance'!Y9,'Monthly EOP Balance'!Z9)</f>
        <v>324773.66666666669</v>
      </c>
      <c r="Z9" s="29">
        <f>AVERAGE('Monthly EOP Balance'!Z9,'Monthly EOP Balance'!AA9)</f>
        <v>324164.33333333331</v>
      </c>
      <c r="AA9" s="29">
        <f>AVERAGE('Monthly EOP Balance'!AA9,'Monthly EOP Balance'!AB9)</f>
        <v>319857.5</v>
      </c>
      <c r="AB9" s="29">
        <f>AVERAGE('Monthly EOP Balance'!AB9,'Monthly EOP Balance'!AC9)</f>
        <v>321379.66666666663</v>
      </c>
      <c r="AC9" s="29">
        <f>AVERAGE('Monthly EOP Balance'!AC9,'Monthly EOP Balance'!AD9)</f>
        <v>339970.66666666669</v>
      </c>
      <c r="AD9" s="29">
        <f>AVERAGE('Monthly EOP Balance'!AD9,'Monthly EOP Balance'!AE9)</f>
        <v>375626.5</v>
      </c>
      <c r="AE9" s="29">
        <f>AVERAGE('Monthly EOP Balance'!AE9,'Monthly EOP Balance'!AF9)</f>
        <v>417103.33333333337</v>
      </c>
      <c r="AF9" s="67">
        <f t="shared" ref="AF9:AQ9" si="0">SUM(AF6:AF8)</f>
        <v>439318.26046697388</v>
      </c>
      <c r="AG9" s="67">
        <f t="shared" si="0"/>
        <v>439360.78140092141</v>
      </c>
      <c r="AH9" s="67">
        <f t="shared" si="0"/>
        <v>439403.30233486905</v>
      </c>
      <c r="AI9" s="67">
        <f t="shared" si="0"/>
        <v>439445.82326881669</v>
      </c>
      <c r="AJ9" s="67">
        <f t="shared" si="0"/>
        <v>439488.34420276433</v>
      </c>
      <c r="AK9" s="67">
        <f t="shared" si="0"/>
        <v>439530.86513671197</v>
      </c>
      <c r="AL9" s="67">
        <f t="shared" si="0"/>
        <v>439573.38607065962</v>
      </c>
      <c r="AM9" s="67">
        <f t="shared" si="0"/>
        <v>439615.90700460726</v>
      </c>
      <c r="AN9" s="67">
        <f t="shared" si="0"/>
        <v>439658.42793855484</v>
      </c>
      <c r="AO9" s="67">
        <f t="shared" si="0"/>
        <v>439700.94887250254</v>
      </c>
      <c r="AP9" s="67">
        <f t="shared" si="0"/>
        <v>439743.46980645019</v>
      </c>
      <c r="AQ9" s="67">
        <f t="shared" si="0"/>
        <v>439785.99074039783</v>
      </c>
    </row>
    <row r="10" spans="1:43" x14ac:dyDescent="0.2">
      <c r="A10" s="19" t="s">
        <v>84</v>
      </c>
      <c r="B10" s="32">
        <f>AVERAGE('Monthly EOP Balance'!B10,'Monthly EOP Balance'!C10)</f>
        <v>89960</v>
      </c>
      <c r="C10" s="32">
        <f>AVERAGE('Monthly EOP Balance'!C10,'Monthly EOP Balance'!D10)</f>
        <v>89960</v>
      </c>
      <c r="D10" s="32">
        <f>AVERAGE('Monthly EOP Balance'!D10,'Monthly EOP Balance'!E10)</f>
        <v>89960</v>
      </c>
      <c r="E10" s="32">
        <f>AVERAGE('Monthly EOP Balance'!E10,'Monthly EOP Balance'!F10)</f>
        <v>89971.333333333343</v>
      </c>
      <c r="F10" s="32">
        <f>AVERAGE('Monthly EOP Balance'!F10,'Monthly EOP Balance'!G10)</f>
        <v>89994</v>
      </c>
      <c r="G10" s="32">
        <f>AVERAGE('Monthly EOP Balance'!G10,'Monthly EOP Balance'!H10)</f>
        <v>90016.666666666657</v>
      </c>
      <c r="H10" s="32">
        <f>AVERAGE('Monthly EOP Balance'!H10,'Monthly EOP Balance'!I10)</f>
        <v>89300.333333333343</v>
      </c>
      <c r="I10" s="32">
        <f>AVERAGE('Monthly EOP Balance'!I10,'Monthly EOP Balance'!J10)</f>
        <v>87845</v>
      </c>
      <c r="J10" s="32">
        <f>AVERAGE('Monthly EOP Balance'!J10,'Monthly EOP Balance'!K10)</f>
        <v>86389.666666666657</v>
      </c>
      <c r="K10" s="32">
        <f>AVERAGE('Monthly EOP Balance'!K10,'Monthly EOP Balance'!L10)</f>
        <v>90824.666666666657</v>
      </c>
      <c r="L10" s="32">
        <f>AVERAGE('Monthly EOP Balance'!L10,'Monthly EOP Balance'!M10)</f>
        <v>94896.5</v>
      </c>
      <c r="M10" s="32">
        <f>AVERAGE('Monthly EOP Balance'!M10,'Monthly EOP Balance'!N10)</f>
        <v>86461.333333333343</v>
      </c>
      <c r="N10" s="32">
        <f>AVERAGE('Monthly EOP Balance'!N10,'Monthly EOP Balance'!O10)</f>
        <v>88820.666666666657</v>
      </c>
      <c r="O10" s="32">
        <f>AVERAGE('Monthly EOP Balance'!O10,'Monthly EOP Balance'!P10)</f>
        <v>98404.5</v>
      </c>
      <c r="P10" s="32">
        <f>AVERAGE('Monthly EOP Balance'!P10,'Monthly EOP Balance'!Q10)</f>
        <v>88341.333333333343</v>
      </c>
      <c r="Q10" s="32">
        <f>AVERAGE('Monthly EOP Balance'!Q10,'Monthly EOP Balance'!R10)</f>
        <v>89217</v>
      </c>
      <c r="R10" s="32">
        <f>AVERAGE('Monthly EOP Balance'!R10,'Monthly EOP Balance'!S10)</f>
        <v>100178</v>
      </c>
      <c r="S10" s="32">
        <f>AVERAGE('Monthly EOP Balance'!S10,'Monthly EOP Balance'!T10)</f>
        <v>89785</v>
      </c>
      <c r="T10" s="32">
        <f>AVERAGE('Monthly EOP Balance'!T10,'Monthly EOP Balance'!U10)</f>
        <v>89227.333333333343</v>
      </c>
      <c r="U10" s="32">
        <f>AVERAGE('Monthly EOP Balance'!U10,'Monthly EOP Balance'!V10)</f>
        <v>99913</v>
      </c>
      <c r="V10" s="32">
        <f>AVERAGE('Monthly EOP Balance'!V10,'Monthly EOP Balance'!W10)</f>
        <v>92060.666666666657</v>
      </c>
      <c r="W10" s="32">
        <f>AVERAGE('Monthly EOP Balance'!W10,'Monthly EOP Balance'!X10)</f>
        <v>92422.333333333343</v>
      </c>
      <c r="X10" s="32">
        <f>AVERAGE('Monthly EOP Balance'!X10,'Monthly EOP Balance'!Y10)</f>
        <v>101263.5</v>
      </c>
      <c r="Y10" s="32">
        <f>AVERAGE('Monthly EOP Balance'!Y10,'Monthly EOP Balance'!Z10)</f>
        <v>92097.666666666657</v>
      </c>
      <c r="Z10" s="32">
        <f>AVERAGE('Monthly EOP Balance'!Z10,'Monthly EOP Balance'!AA10)</f>
        <v>92209.333333333343</v>
      </c>
      <c r="AA10" s="32">
        <f>AVERAGE('Monthly EOP Balance'!AA10,'Monthly EOP Balance'!AB10)</f>
        <v>101630.5</v>
      </c>
      <c r="AB10" s="32">
        <f>AVERAGE('Monthly EOP Balance'!AB10,'Monthly EOP Balance'!AC10)</f>
        <v>93108.666666666657</v>
      </c>
      <c r="AC10" s="32">
        <f>AVERAGE('Monthly EOP Balance'!AC10,'Monthly EOP Balance'!AD10)</f>
        <v>92079.333333333343</v>
      </c>
      <c r="AD10" s="32">
        <f>AVERAGE('Monthly EOP Balance'!AD10,'Monthly EOP Balance'!AE10)</f>
        <v>100269</v>
      </c>
      <c r="AE10" s="32">
        <f>AVERAGE('Monthly EOP Balance'!AE10,'Monthly EOP Balance'!AF10)</f>
        <v>93968.666666666657</v>
      </c>
      <c r="AF10" s="65">
        <f>AVERAGE('Monthly EOP Balance'!AF10,'Monthly EOP Balance'!AG10)</f>
        <v>87196</v>
      </c>
      <c r="AG10" s="65">
        <f>AVERAGE('Monthly EOP Balance'!AG10,'Monthly EOP Balance'!AH10)</f>
        <v>87196</v>
      </c>
      <c r="AH10" s="65">
        <f>AVERAGE('Monthly EOP Balance'!AH10,'Monthly EOP Balance'!AI10)</f>
        <v>87196</v>
      </c>
      <c r="AI10" s="65">
        <f>AVERAGE('Monthly EOP Balance'!AI10,'Monthly EOP Balance'!AJ10)</f>
        <v>87196</v>
      </c>
      <c r="AJ10" s="65">
        <f>AVERAGE('Monthly EOP Balance'!AJ10,'Monthly EOP Balance'!AK10)</f>
        <v>87196</v>
      </c>
      <c r="AK10" s="65">
        <f>AVERAGE('Monthly EOP Balance'!AK10,'Monthly EOP Balance'!AL10)</f>
        <v>87196</v>
      </c>
      <c r="AL10" s="65">
        <f>AVERAGE('Monthly EOP Balance'!AL10,'Monthly EOP Balance'!AM10)</f>
        <v>87196</v>
      </c>
      <c r="AM10" s="65">
        <f>AVERAGE('Monthly EOP Balance'!AM10,'Monthly EOP Balance'!AN10)</f>
        <v>87196</v>
      </c>
      <c r="AN10" s="65">
        <f>AVERAGE('Monthly EOP Balance'!AN10,'Monthly EOP Balance'!AO10)</f>
        <v>87196</v>
      </c>
      <c r="AO10" s="65">
        <f>AVERAGE('Monthly EOP Balance'!AO10,'Monthly EOP Balance'!AP10)</f>
        <v>87196</v>
      </c>
      <c r="AP10" s="65">
        <f>AVERAGE('Monthly EOP Balance'!AP10,'Monthly EOP Balance'!AQ10)</f>
        <v>87196</v>
      </c>
      <c r="AQ10" s="65">
        <f>AVERAGE('Monthly EOP Balance'!AQ10,'Monthly EOP Balance'!AR10)</f>
        <v>87196</v>
      </c>
    </row>
    <row r="11" spans="1:43" x14ac:dyDescent="0.2">
      <c r="A11" s="19" t="s">
        <v>85</v>
      </c>
      <c r="B11" s="32">
        <f>AVERAGE('Monthly EOP Balance'!B11,'Monthly EOP Balance'!C11)</f>
        <v>31885</v>
      </c>
      <c r="C11" s="32">
        <f>AVERAGE('Monthly EOP Balance'!C11,'Monthly EOP Balance'!D11)</f>
        <v>35133.5</v>
      </c>
      <c r="D11" s="32">
        <f>AVERAGE('Monthly EOP Balance'!D11,'Monthly EOP Balance'!E11)</f>
        <v>42363</v>
      </c>
      <c r="E11" s="32">
        <f>AVERAGE('Monthly EOP Balance'!E11,'Monthly EOP Balance'!F11)</f>
        <v>40451.666666666672</v>
      </c>
      <c r="F11" s="32">
        <f>AVERAGE('Monthly EOP Balance'!F11,'Monthly EOP Balance'!G11)</f>
        <v>33109.5</v>
      </c>
      <c r="G11" s="32">
        <f>AVERAGE('Monthly EOP Balance'!G11,'Monthly EOP Balance'!H11)</f>
        <v>37168.333333333328</v>
      </c>
      <c r="H11" s="32">
        <f>AVERAGE('Monthly EOP Balance'!H11,'Monthly EOP Balance'!I11)</f>
        <v>41140.666666666672</v>
      </c>
      <c r="I11" s="32">
        <f>AVERAGE('Monthly EOP Balance'!I11,'Monthly EOP Balance'!J11)</f>
        <v>40776</v>
      </c>
      <c r="J11" s="32">
        <f>AVERAGE('Monthly EOP Balance'!J11,'Monthly EOP Balance'!K11)</f>
        <v>43311.333333333328</v>
      </c>
      <c r="K11" s="32">
        <f>AVERAGE('Monthly EOP Balance'!K11,'Monthly EOP Balance'!L11)</f>
        <v>42141.333333333328</v>
      </c>
      <c r="L11" s="32">
        <f>AVERAGE('Monthly EOP Balance'!L11,'Monthly EOP Balance'!M11)</f>
        <v>38720.5</v>
      </c>
      <c r="M11" s="32">
        <f>AVERAGE('Monthly EOP Balance'!M11,'Monthly EOP Balance'!N11)</f>
        <v>41108.666666666672</v>
      </c>
      <c r="N11" s="32">
        <f>AVERAGE('Monthly EOP Balance'!N11,'Monthly EOP Balance'!O11)</f>
        <v>41076.666666666672</v>
      </c>
      <c r="O11" s="32">
        <f>AVERAGE('Monthly EOP Balance'!O11,'Monthly EOP Balance'!P11)</f>
        <v>39689.5</v>
      </c>
      <c r="P11" s="32">
        <f>AVERAGE('Monthly EOP Balance'!P11,'Monthly EOP Balance'!Q11)</f>
        <v>46241.333333333328</v>
      </c>
      <c r="Q11" s="32">
        <f>AVERAGE('Monthly EOP Balance'!Q11,'Monthly EOP Balance'!R11)</f>
        <v>46808.333333333328</v>
      </c>
      <c r="R11" s="32">
        <f>AVERAGE('Monthly EOP Balance'!R11,'Monthly EOP Balance'!S11)</f>
        <v>41502.5</v>
      </c>
      <c r="S11" s="32">
        <f>AVERAGE('Monthly EOP Balance'!S11,'Monthly EOP Balance'!T11)</f>
        <v>44359.666666666672</v>
      </c>
      <c r="T11" s="32">
        <f>AVERAGE('Monthly EOP Balance'!T11,'Monthly EOP Balance'!U11)</f>
        <v>44495</v>
      </c>
      <c r="U11" s="32">
        <f>AVERAGE('Monthly EOP Balance'!U11,'Monthly EOP Balance'!V11)</f>
        <v>41476</v>
      </c>
      <c r="V11" s="32">
        <f>AVERAGE('Monthly EOP Balance'!V11,'Monthly EOP Balance'!W11)</f>
        <v>45755</v>
      </c>
      <c r="W11" s="32">
        <f>AVERAGE('Monthly EOP Balance'!W11,'Monthly EOP Balance'!X11)</f>
        <v>48183</v>
      </c>
      <c r="X11" s="32">
        <f>AVERAGE('Monthly EOP Balance'!X11,'Monthly EOP Balance'!Y11)</f>
        <v>45639</v>
      </c>
      <c r="Y11" s="32">
        <f>AVERAGE('Monthly EOP Balance'!Y11,'Monthly EOP Balance'!Z11)</f>
        <v>44151</v>
      </c>
      <c r="Z11" s="32">
        <f>AVERAGE('Monthly EOP Balance'!Z11,'Monthly EOP Balance'!AA11)</f>
        <v>45575.333333333328</v>
      </c>
      <c r="AA11" s="32">
        <f>AVERAGE('Monthly EOP Balance'!AA11,'Monthly EOP Balance'!AB11)</f>
        <v>48362</v>
      </c>
      <c r="AB11" s="32">
        <f>AVERAGE('Monthly EOP Balance'!AB11,'Monthly EOP Balance'!AC11)</f>
        <v>49104.666666666672</v>
      </c>
      <c r="AC11" s="32">
        <f>AVERAGE('Monthly EOP Balance'!AC11,'Monthly EOP Balance'!AD11)</f>
        <v>49163.666666666672</v>
      </c>
      <c r="AD11" s="32">
        <f>AVERAGE('Monthly EOP Balance'!AD11,'Monthly EOP Balance'!AE11)</f>
        <v>51464.5</v>
      </c>
      <c r="AE11" s="32">
        <f>AVERAGE('Monthly EOP Balance'!AE11,'Monthly EOP Balance'!AF11)</f>
        <v>57572.333333333328</v>
      </c>
      <c r="AF11" s="65">
        <f>AVERAGE('Monthly EOP Balance'!AF11,'Monthly EOP Balance'!AG11)</f>
        <v>61583.245541967975</v>
      </c>
      <c r="AG11" s="65">
        <f>AVERAGE('Monthly EOP Balance'!AG11,'Monthly EOP Balance'!AH11)</f>
        <v>61593.736625903912</v>
      </c>
      <c r="AH11" s="65">
        <f>AVERAGE('Monthly EOP Balance'!AH11,'Monthly EOP Balance'!AI11)</f>
        <v>61604.227709839848</v>
      </c>
      <c r="AI11" s="65">
        <f>AVERAGE('Monthly EOP Balance'!AI11,'Monthly EOP Balance'!AJ11)</f>
        <v>61614.718793775784</v>
      </c>
      <c r="AJ11" s="65">
        <f>AVERAGE('Monthly EOP Balance'!AJ11,'Monthly EOP Balance'!AK11)</f>
        <v>61625.209877711721</v>
      </c>
      <c r="AK11" s="65">
        <f>AVERAGE('Monthly EOP Balance'!AK11,'Monthly EOP Balance'!AL11)</f>
        <v>61635.700961647664</v>
      </c>
      <c r="AL11" s="65">
        <f>AVERAGE('Monthly EOP Balance'!AL11,'Monthly EOP Balance'!AM11)</f>
        <v>61646.192045583608</v>
      </c>
      <c r="AM11" s="65">
        <f>AVERAGE('Monthly EOP Balance'!AM11,'Monthly EOP Balance'!AN11)</f>
        <v>61656.683129519552</v>
      </c>
      <c r="AN11" s="65">
        <f>AVERAGE('Monthly EOP Balance'!AN11,'Monthly EOP Balance'!AO11)</f>
        <v>61667.174213455488</v>
      </c>
      <c r="AO11" s="65">
        <f>AVERAGE('Monthly EOP Balance'!AO11,'Monthly EOP Balance'!AP11)</f>
        <v>61677.665297391432</v>
      </c>
      <c r="AP11" s="65">
        <f>AVERAGE('Monthly EOP Balance'!AP11,'Monthly EOP Balance'!AQ11)</f>
        <v>61688.156381327368</v>
      </c>
      <c r="AQ11" s="65">
        <f>AVERAGE('Monthly EOP Balance'!AQ11,'Monthly EOP Balance'!AR11)</f>
        <v>61698.647465263319</v>
      </c>
    </row>
    <row r="12" spans="1:43" x14ac:dyDescent="0.2">
      <c r="A12" s="22" t="s">
        <v>86</v>
      </c>
      <c r="B12" s="29">
        <f>AVERAGE('Monthly EOP Balance'!B12,'Monthly EOP Balance'!C12)</f>
        <v>429960</v>
      </c>
      <c r="C12" s="29">
        <f>AVERAGE('Monthly EOP Balance'!C12,'Monthly EOP Balance'!D12)</f>
        <v>433208.5</v>
      </c>
      <c r="D12" s="29">
        <f>AVERAGE('Monthly EOP Balance'!D12,'Monthly EOP Balance'!E12)</f>
        <v>440438</v>
      </c>
      <c r="E12" s="29">
        <f>AVERAGE('Monthly EOP Balance'!E12,'Monthly EOP Balance'!F12)</f>
        <v>439278</v>
      </c>
      <c r="F12" s="29">
        <f>AVERAGE('Monthly EOP Balance'!F12,'Monthly EOP Balance'!G12)</f>
        <v>433438.5</v>
      </c>
      <c r="G12" s="29">
        <f>AVERAGE('Monthly EOP Balance'!G12,'Monthly EOP Balance'!H12)</f>
        <v>439000</v>
      </c>
      <c r="H12" s="29">
        <f>AVERAGE('Monthly EOP Balance'!H12,'Monthly EOP Balance'!I12)</f>
        <v>443298</v>
      </c>
      <c r="I12" s="29">
        <f>AVERAGE('Monthly EOP Balance'!I12,'Monthly EOP Balance'!J12)</f>
        <v>442082</v>
      </c>
      <c r="J12" s="29">
        <f>AVERAGE('Monthly EOP Balance'!J12,'Monthly EOP Balance'!K12)</f>
        <v>443766</v>
      </c>
      <c r="K12" s="29">
        <f>AVERAGE('Monthly EOP Balance'!K12,'Monthly EOP Balance'!L12)</f>
        <v>447652</v>
      </c>
      <c r="L12" s="29">
        <f>AVERAGE('Monthly EOP Balance'!L12,'Monthly EOP Balance'!M12)</f>
        <v>449639.5</v>
      </c>
      <c r="M12" s="29">
        <f>AVERAGE('Monthly EOP Balance'!M12,'Monthly EOP Balance'!N12)</f>
        <v>446326</v>
      </c>
      <c r="N12" s="29">
        <f>AVERAGE('Monthly EOP Balance'!N12,'Monthly EOP Balance'!O12)</f>
        <v>447233</v>
      </c>
      <c r="O12" s="29">
        <f>AVERAGE('Monthly EOP Balance'!O12,'Monthly EOP Balance'!P12)</f>
        <v>451407</v>
      </c>
      <c r="P12" s="29">
        <f>AVERAGE('Monthly EOP Balance'!P12,'Monthly EOP Balance'!Q12)</f>
        <v>448373</v>
      </c>
      <c r="Q12" s="29">
        <f>AVERAGE('Monthly EOP Balance'!Q12,'Monthly EOP Balance'!R12)</f>
        <v>450837.66666666669</v>
      </c>
      <c r="R12" s="29">
        <f>AVERAGE('Monthly EOP Balance'!R12,'Monthly EOP Balance'!S12)</f>
        <v>456656.5</v>
      </c>
      <c r="S12" s="29">
        <f>AVERAGE('Monthly EOP Balance'!S12,'Monthly EOP Balance'!T12)</f>
        <v>450978.33333333331</v>
      </c>
      <c r="T12" s="29">
        <f>AVERAGE('Monthly EOP Balance'!T12,'Monthly EOP Balance'!U12)</f>
        <v>451751.66666666663</v>
      </c>
      <c r="U12" s="29">
        <f>AVERAGE('Monthly EOP Balance'!U12,'Monthly EOP Balance'!V12)</f>
        <v>459604.5</v>
      </c>
      <c r="V12" s="29">
        <f>AVERAGE('Monthly EOP Balance'!V12,'Monthly EOP Balance'!W12)</f>
        <v>457216.33333333337</v>
      </c>
      <c r="W12" s="29">
        <f>AVERAGE('Monthly EOP Balance'!W12,'Monthly EOP Balance'!X12)</f>
        <v>460357.66666666663</v>
      </c>
      <c r="X12" s="29">
        <f>AVERAGE('Monthly EOP Balance'!X12,'Monthly EOP Balance'!Y12)</f>
        <v>467419.5</v>
      </c>
      <c r="Y12" s="29">
        <f>AVERAGE('Monthly EOP Balance'!Y12,'Monthly EOP Balance'!Z12)</f>
        <v>461022.33333333337</v>
      </c>
      <c r="Z12" s="29">
        <f>AVERAGE('Monthly EOP Balance'!Z12,'Monthly EOP Balance'!AA12)</f>
        <v>461949</v>
      </c>
      <c r="AA12" s="29">
        <f>AVERAGE('Monthly EOP Balance'!AA12,'Monthly EOP Balance'!AB12)</f>
        <v>469850</v>
      </c>
      <c r="AB12" s="29">
        <f>AVERAGE('Monthly EOP Balance'!AB12,'Monthly EOP Balance'!AC12)</f>
        <v>463593</v>
      </c>
      <c r="AC12" s="29">
        <f>AVERAGE('Monthly EOP Balance'!AC12,'Monthly EOP Balance'!AD12)</f>
        <v>481213.66666666669</v>
      </c>
      <c r="AD12" s="29">
        <f>AVERAGE('Monthly EOP Balance'!AD12,'Monthly EOP Balance'!AE12)</f>
        <v>527360</v>
      </c>
      <c r="AE12" s="29">
        <f>AVERAGE('Monthly EOP Balance'!AE12,'Monthly EOP Balance'!AF12)</f>
        <v>568644.33333333326</v>
      </c>
      <c r="AF12" s="67">
        <f t="shared" ref="AF12:AQ12" si="1">SUM(AF9:AF11)</f>
        <v>588097.50600894191</v>
      </c>
      <c r="AG12" s="67">
        <f t="shared" si="1"/>
        <v>588150.51802682527</v>
      </c>
      <c r="AH12" s="67">
        <f t="shared" si="1"/>
        <v>588203.53004470887</v>
      </c>
      <c r="AI12" s="67">
        <f t="shared" si="1"/>
        <v>588256.54206259246</v>
      </c>
      <c r="AJ12" s="67">
        <f t="shared" si="1"/>
        <v>588309.55408047605</v>
      </c>
      <c r="AK12" s="67">
        <f t="shared" si="1"/>
        <v>588362.56609835965</v>
      </c>
      <c r="AL12" s="67">
        <f t="shared" si="1"/>
        <v>588415.57811624324</v>
      </c>
      <c r="AM12" s="67">
        <f t="shared" si="1"/>
        <v>588468.59013412683</v>
      </c>
      <c r="AN12" s="67">
        <f t="shared" si="1"/>
        <v>588521.60215201043</v>
      </c>
      <c r="AO12" s="67">
        <f t="shared" si="1"/>
        <v>588574.61416989402</v>
      </c>
      <c r="AP12" s="67">
        <f t="shared" si="1"/>
        <v>588627.62618777761</v>
      </c>
      <c r="AQ12" s="67">
        <f t="shared" si="1"/>
        <v>588680.63820566121</v>
      </c>
    </row>
    <row r="13" spans="1:43" x14ac:dyDescent="0.2">
      <c r="A13" s="19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</row>
    <row r="14" spans="1:43" x14ac:dyDescent="0.2">
      <c r="A14" s="27" t="s">
        <v>20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</row>
    <row r="15" spans="1:43" x14ac:dyDescent="0.2">
      <c r="A15" s="19" t="s">
        <v>87</v>
      </c>
      <c r="B15" s="32">
        <f>AVERAGE('Monthly EOP Balance'!B15,'Monthly EOP Balance'!C15)</f>
        <v>308788</v>
      </c>
      <c r="C15" s="32">
        <f>AVERAGE('Monthly EOP Balance'!C15,'Monthly EOP Balance'!D15)</f>
        <v>308788</v>
      </c>
      <c r="D15" s="32">
        <f>AVERAGE('Monthly EOP Balance'!D15,'Monthly EOP Balance'!E15)</f>
        <v>308788</v>
      </c>
      <c r="E15" s="32">
        <f>AVERAGE('Monthly EOP Balance'!E15,'Monthly EOP Balance'!F15)</f>
        <v>310261</v>
      </c>
      <c r="F15" s="32">
        <f>AVERAGE('Monthly EOP Balance'!F15,'Monthly EOP Balance'!G15)</f>
        <v>313207</v>
      </c>
      <c r="G15" s="32">
        <f>AVERAGE('Monthly EOP Balance'!G15,'Monthly EOP Balance'!H15)</f>
        <v>316153</v>
      </c>
      <c r="H15" s="32">
        <f>AVERAGE('Monthly EOP Balance'!H15,'Monthly EOP Balance'!I15)</f>
        <v>317094.66666666663</v>
      </c>
      <c r="I15" s="32">
        <f>AVERAGE('Monthly EOP Balance'!I15,'Monthly EOP Balance'!J15)</f>
        <v>316032</v>
      </c>
      <c r="J15" s="32">
        <f>AVERAGE('Monthly EOP Balance'!J15,'Monthly EOP Balance'!K15)</f>
        <v>314969.33333333337</v>
      </c>
      <c r="K15" s="32">
        <f>AVERAGE('Monthly EOP Balance'!K15,'Monthly EOP Balance'!L15)</f>
        <v>314858.33333333337</v>
      </c>
      <c r="L15" s="32">
        <f>AVERAGE('Monthly EOP Balance'!L15,'Monthly EOP Balance'!M15)</f>
        <v>316270.5</v>
      </c>
      <c r="M15" s="32">
        <f>AVERAGE('Monthly EOP Balance'!M15,'Monthly EOP Balance'!N15)</f>
        <v>318825.66666666663</v>
      </c>
      <c r="N15" s="32">
        <f>AVERAGE('Monthly EOP Balance'!N15,'Monthly EOP Balance'!O15)</f>
        <v>317462.33333333337</v>
      </c>
      <c r="O15" s="32">
        <f>AVERAGE('Monthly EOP Balance'!O15,'Monthly EOP Balance'!P15)</f>
        <v>315029.5</v>
      </c>
      <c r="P15" s="32">
        <f>AVERAGE('Monthly EOP Balance'!P15,'Monthly EOP Balance'!Q15)</f>
        <v>319437.66666666663</v>
      </c>
      <c r="Q15" s="32">
        <f>AVERAGE('Monthly EOP Balance'!Q15,'Monthly EOP Balance'!R15)</f>
        <v>322219.33333333337</v>
      </c>
      <c r="R15" s="32">
        <f>AVERAGE('Monthly EOP Balance'!R15,'Monthly EOP Balance'!S15)</f>
        <v>321267.5</v>
      </c>
      <c r="S15" s="32">
        <f>AVERAGE('Monthly EOP Balance'!S15,'Monthly EOP Balance'!T15)</f>
        <v>322942.66666666663</v>
      </c>
      <c r="T15" s="32">
        <f>AVERAGE('Monthly EOP Balance'!T15,'Monthly EOP Balance'!U15)</f>
        <v>323570.33333333337</v>
      </c>
      <c r="U15" s="32">
        <f>AVERAGE('Monthly EOP Balance'!U15,'Monthly EOP Balance'!V15)</f>
        <v>323173</v>
      </c>
      <c r="V15" s="32">
        <f>AVERAGE('Monthly EOP Balance'!V15,'Monthly EOP Balance'!W15)</f>
        <v>325447.66666666663</v>
      </c>
      <c r="W15" s="32">
        <f>AVERAGE('Monthly EOP Balance'!W15,'Monthly EOP Balance'!X15)</f>
        <v>328509.33333333337</v>
      </c>
      <c r="X15" s="32">
        <f>AVERAGE('Monthly EOP Balance'!X15,'Monthly EOP Balance'!Y15)</f>
        <v>331321</v>
      </c>
      <c r="Y15" s="32">
        <f>AVERAGE('Monthly EOP Balance'!Y15,'Monthly EOP Balance'!Z15)</f>
        <v>334730.66666666663</v>
      </c>
      <c r="Z15" s="32">
        <f>AVERAGE('Monthly EOP Balance'!Z15,'Monthly EOP Balance'!AA15)</f>
        <v>336380.33333333337</v>
      </c>
      <c r="AA15" s="32">
        <f>AVERAGE('Monthly EOP Balance'!AA15,'Monthly EOP Balance'!AB15)</f>
        <v>336905.5</v>
      </c>
      <c r="AB15" s="32">
        <f>AVERAGE('Monthly EOP Balance'!AB15,'Monthly EOP Balance'!AC15)</f>
        <v>339299.66666666663</v>
      </c>
      <c r="AC15" s="32">
        <f>AVERAGE('Monthly EOP Balance'!AC15,'Monthly EOP Balance'!AD15)</f>
        <v>354050</v>
      </c>
      <c r="AD15" s="32">
        <f>AVERAGE('Monthly EOP Balance'!AD15,'Monthly EOP Balance'!AE15)</f>
        <v>383680.5</v>
      </c>
      <c r="AE15" s="32">
        <f>AVERAGE('Monthly EOP Balance'!AE15,'Monthly EOP Balance'!AF15)</f>
        <v>420228</v>
      </c>
      <c r="AF15" s="65">
        <f>AVERAGE('Monthly EOP Balance'!AF15,'Monthly EOP Balance'!AG15)</f>
        <v>440268.50122098962</v>
      </c>
      <c r="AG15" s="65">
        <f>AVERAGE('Monthly EOP Balance'!AG15,'Monthly EOP Balance'!AH15)</f>
        <v>440343.50366296899</v>
      </c>
      <c r="AH15" s="65">
        <f>AVERAGE('Monthly EOP Balance'!AH15,'Monthly EOP Balance'!AI15)</f>
        <v>440418.50610494823</v>
      </c>
      <c r="AI15" s="65">
        <f>AVERAGE('Monthly EOP Balance'!AI15,'Monthly EOP Balance'!AJ15)</f>
        <v>440493.50854692759</v>
      </c>
      <c r="AJ15" s="65">
        <f>AVERAGE('Monthly EOP Balance'!AJ15,'Monthly EOP Balance'!AK15)</f>
        <v>440568.5109889069</v>
      </c>
      <c r="AK15" s="65">
        <f>AVERAGE('Monthly EOP Balance'!AK15,'Monthly EOP Balance'!AL15)</f>
        <v>440643.5134308862</v>
      </c>
      <c r="AL15" s="65">
        <f>AVERAGE('Monthly EOP Balance'!AL15,'Monthly EOP Balance'!AM15)</f>
        <v>440718.51587286557</v>
      </c>
      <c r="AM15" s="65">
        <f>AVERAGE('Monthly EOP Balance'!AM15,'Monthly EOP Balance'!AN15)</f>
        <v>440793.51831484493</v>
      </c>
      <c r="AN15" s="65">
        <f>AVERAGE('Monthly EOP Balance'!AN15,'Monthly EOP Balance'!AO15)</f>
        <v>440868.52075682417</v>
      </c>
      <c r="AO15" s="65">
        <f>AVERAGE('Monthly EOP Balance'!AO15,'Monthly EOP Balance'!AP15)</f>
        <v>440943.52319880354</v>
      </c>
      <c r="AP15" s="65">
        <f>AVERAGE('Monthly EOP Balance'!AP15,'Monthly EOP Balance'!AQ15)</f>
        <v>441018.5256407829</v>
      </c>
      <c r="AQ15" s="65">
        <f>AVERAGE('Monthly EOP Balance'!AQ15,'Monthly EOP Balance'!AR15)</f>
        <v>441093.52808276226</v>
      </c>
    </row>
    <row r="16" spans="1:43" x14ac:dyDescent="0.2">
      <c r="A16" s="19" t="s">
        <v>88</v>
      </c>
      <c r="B16" s="32">
        <f>AVERAGE('Monthly EOP Balance'!B16,'Monthly EOP Balance'!C16)</f>
        <v>17251</v>
      </c>
      <c r="C16" s="32">
        <f>AVERAGE('Monthly EOP Balance'!C16,'Monthly EOP Balance'!D16)</f>
        <v>17251</v>
      </c>
      <c r="D16" s="32">
        <f>AVERAGE('Monthly EOP Balance'!D16,'Monthly EOP Balance'!E16)</f>
        <v>17251</v>
      </c>
      <c r="E16" s="32">
        <f>AVERAGE('Monthly EOP Balance'!E16,'Monthly EOP Balance'!F16)</f>
        <v>17424.333333333336</v>
      </c>
      <c r="F16" s="32">
        <f>AVERAGE('Monthly EOP Balance'!F16,'Monthly EOP Balance'!G16)</f>
        <v>17771</v>
      </c>
      <c r="G16" s="32">
        <f>AVERAGE('Monthly EOP Balance'!G16,'Monthly EOP Balance'!H16)</f>
        <v>18117.666666666664</v>
      </c>
      <c r="H16" s="32">
        <f>AVERAGE('Monthly EOP Balance'!H16,'Monthly EOP Balance'!I16)</f>
        <v>18077</v>
      </c>
      <c r="I16" s="32">
        <f>AVERAGE('Monthly EOP Balance'!I16,'Monthly EOP Balance'!J16)</f>
        <v>17649</v>
      </c>
      <c r="J16" s="32">
        <f>AVERAGE('Monthly EOP Balance'!J16,'Monthly EOP Balance'!K16)</f>
        <v>17221</v>
      </c>
      <c r="K16" s="32">
        <f>AVERAGE('Monthly EOP Balance'!K16,'Monthly EOP Balance'!L16)</f>
        <v>17841.923252154564</v>
      </c>
      <c r="L16" s="32">
        <f>AVERAGE('Monthly EOP Balance'!L16,'Monthly EOP Balance'!M16)</f>
        <v>18768.884878231846</v>
      </c>
      <c r="M16" s="32">
        <f>AVERAGE('Monthly EOP Balance'!M16,'Monthly EOP Balance'!N16)</f>
        <v>18210.076747845436</v>
      </c>
      <c r="N16" s="32">
        <f>AVERAGE('Monthly EOP Balance'!N16,'Monthly EOP Balance'!O16)</f>
        <v>17773.917344351386</v>
      </c>
      <c r="O16" s="32">
        <f>AVERAGE('Monthly EOP Balance'!O16,'Monthly EOP Balance'!P16)</f>
        <v>18019.645772990771</v>
      </c>
      <c r="P16" s="32">
        <f>AVERAGE('Monthly EOP Balance'!P16,'Monthly EOP Balance'!Q16)</f>
        <v>17898.082655648614</v>
      </c>
      <c r="Q16" s="32">
        <f>AVERAGE('Monthly EOP Balance'!Q16,'Monthly EOP Balance'!R16)</f>
        <v>17692.646828643752</v>
      </c>
      <c r="R16" s="32">
        <f>AVERAGE('Monthly EOP Balance'!R16,'Monthly EOP Balance'!S16)</f>
        <v>17519.492032483478</v>
      </c>
      <c r="S16" s="32">
        <f>AVERAGE('Monthly EOP Balance'!S16,'Monthly EOP Balance'!T16)</f>
        <v>17211.353171356248</v>
      </c>
      <c r="T16" s="32">
        <f>AVERAGE('Monthly EOP Balance'!T16,'Monthly EOP Balance'!U16)</f>
        <v>16125.999101984025</v>
      </c>
      <c r="U16" s="32">
        <f>AVERAGE('Monthly EOP Balance'!U16,'Monthly EOP Balance'!V16)</f>
        <v>15081.96092842514</v>
      </c>
      <c r="V16" s="32">
        <f>AVERAGE('Monthly EOP Balance'!V16,'Monthly EOP Balance'!W16)</f>
        <v>15540.000898015975</v>
      </c>
      <c r="W16" s="32">
        <f>AVERAGE('Monthly EOP Balance'!W16,'Monthly EOP Balance'!X16)</f>
        <v>15416.671683211804</v>
      </c>
      <c r="X16" s="32">
        <f>AVERAGE('Monthly EOP Balance'!X16,'Monthly EOP Balance'!Y16)</f>
        <v>14440.467106218883</v>
      </c>
      <c r="Y16" s="32">
        <f>AVERAGE('Monthly EOP Balance'!Y16,'Monthly EOP Balance'!Z16)</f>
        <v>14423.328316788196</v>
      </c>
      <c r="Z16" s="32">
        <f>AVERAGE('Monthly EOP Balance'!Z16,'Monthly EOP Balance'!AA16)</f>
        <v>14336.135920651701</v>
      </c>
      <c r="AA16" s="32">
        <f>AVERAGE('Monthly EOP Balance'!AA16,'Monthly EOP Balance'!AB16)</f>
        <v>13715.178512014143</v>
      </c>
      <c r="AB16" s="32">
        <f>AVERAGE('Monthly EOP Balance'!AB16,'Monthly EOP Balance'!AC16)</f>
        <v>13125.864079348299</v>
      </c>
      <c r="AC16" s="32">
        <f>AVERAGE('Monthly EOP Balance'!AC16,'Monthly EOP Balance'!AD16)</f>
        <v>12406.050222699818</v>
      </c>
      <c r="AD16" s="32">
        <f>AVERAGE('Monthly EOP Balance'!AD16,'Monthly EOP Balance'!AE16)</f>
        <v>12291.457727041419</v>
      </c>
      <c r="AE16" s="32">
        <f>AVERAGE('Monthly EOP Balance'!AE16,'Monthly EOP Balance'!AF16)</f>
        <v>13679.949777300182</v>
      </c>
      <c r="AF16" s="65">
        <f>AVERAGE('Monthly EOP Balance'!AF16,'Monthly EOP Balance'!AG16)</f>
        <v>14713.092021561581</v>
      </c>
      <c r="AG16" s="65">
        <f>AVERAGE('Monthly EOP Balance'!AG16,'Monthly EOP Balance'!AH16)</f>
        <v>14639.526561453773</v>
      </c>
      <c r="AH16" s="65">
        <f>AVERAGE('Monthly EOP Balance'!AH16,'Monthly EOP Balance'!AI16)</f>
        <v>14566.328928646504</v>
      </c>
      <c r="AI16" s="65">
        <f>AVERAGE('Monthly EOP Balance'!AI16,'Monthly EOP Balance'!AJ16)</f>
        <v>14493.497284003271</v>
      </c>
      <c r="AJ16" s="65">
        <f>AVERAGE('Monthly EOP Balance'!AJ16,'Monthly EOP Balance'!AK16)</f>
        <v>14421.029797583255</v>
      </c>
      <c r="AK16" s="65">
        <f>AVERAGE('Monthly EOP Balance'!AK16,'Monthly EOP Balance'!AL16)</f>
        <v>14348.924648595337</v>
      </c>
      <c r="AL16" s="65">
        <f>AVERAGE('Monthly EOP Balance'!AL16,'Monthly EOP Balance'!AM16)</f>
        <v>14277.180025352362</v>
      </c>
      <c r="AM16" s="65">
        <f>AVERAGE('Monthly EOP Balance'!AM16,'Monthly EOP Balance'!AN16)</f>
        <v>14205.794125225601</v>
      </c>
      <c r="AN16" s="65">
        <f>AVERAGE('Monthly EOP Balance'!AN16,'Monthly EOP Balance'!AO16)</f>
        <v>14134.765154599474</v>
      </c>
      <c r="AO16" s="65">
        <f>AVERAGE('Monthly EOP Balance'!AO16,'Monthly EOP Balance'!AP16)</f>
        <v>14064.091328826475</v>
      </c>
      <c r="AP16" s="65">
        <f>AVERAGE('Monthly EOP Balance'!AP16,'Monthly EOP Balance'!AQ16)</f>
        <v>13993.770872182344</v>
      </c>
      <c r="AQ16" s="65">
        <f>AVERAGE('Monthly EOP Balance'!AQ16,'Monthly EOP Balance'!AR16)</f>
        <v>13923.802017821432</v>
      </c>
    </row>
    <row r="17" spans="1:43" x14ac:dyDescent="0.2">
      <c r="A17" s="19" t="s">
        <v>89</v>
      </c>
      <c r="B17" s="32">
        <f>AVERAGE('Monthly EOP Balance'!B17,'Monthly EOP Balance'!C17)</f>
        <v>30136</v>
      </c>
      <c r="C17" s="32">
        <f>AVERAGE('Monthly EOP Balance'!C17,'Monthly EOP Balance'!D17)</f>
        <v>30136</v>
      </c>
      <c r="D17" s="32">
        <f>AVERAGE('Monthly EOP Balance'!D17,'Monthly EOP Balance'!E17)</f>
        <v>30136</v>
      </c>
      <c r="E17" s="32">
        <f>AVERAGE('Monthly EOP Balance'!E17,'Monthly EOP Balance'!F17)</f>
        <v>30144.333333333336</v>
      </c>
      <c r="F17" s="32">
        <f>AVERAGE('Monthly EOP Balance'!F17,'Monthly EOP Balance'!G17)</f>
        <v>30161</v>
      </c>
      <c r="G17" s="32">
        <f>AVERAGE('Monthly EOP Balance'!G17,'Monthly EOP Balance'!H17)</f>
        <v>30177.666666666664</v>
      </c>
      <c r="H17" s="32">
        <f>AVERAGE('Monthly EOP Balance'!H17,'Monthly EOP Balance'!I17)</f>
        <v>30631.333333333336</v>
      </c>
      <c r="I17" s="32">
        <f>AVERAGE('Monthly EOP Balance'!I17,'Monthly EOP Balance'!J17)</f>
        <v>31522</v>
      </c>
      <c r="J17" s="32">
        <f>AVERAGE('Monthly EOP Balance'!J17,'Monthly EOP Balance'!K17)</f>
        <v>32412.666666666664</v>
      </c>
      <c r="K17" s="32">
        <f>AVERAGE('Monthly EOP Balance'!K17,'Monthly EOP Balance'!L17)</f>
        <v>32969.410081178772</v>
      </c>
      <c r="L17" s="32">
        <f>AVERAGE('Monthly EOP Balance'!L17,'Monthly EOP Balance'!M17)</f>
        <v>32897.615121768162</v>
      </c>
      <c r="M17" s="32">
        <f>AVERAGE('Monthly EOP Balance'!M17,'Monthly EOP Balance'!N17)</f>
        <v>32236.589918821228</v>
      </c>
      <c r="N17" s="32">
        <f>AVERAGE('Monthly EOP Balance'!N17,'Monthly EOP Balance'!O17)</f>
        <v>32114.749322315278</v>
      </c>
      <c r="O17" s="32">
        <f>AVERAGE('Monthly EOP Balance'!O17,'Monthly EOP Balance'!P17)</f>
        <v>32518.854227009229</v>
      </c>
      <c r="P17" s="32">
        <f>AVERAGE('Monthly EOP Balance'!P17,'Monthly EOP Balance'!Q17)</f>
        <v>32307.250677684722</v>
      </c>
      <c r="Q17" s="32">
        <f>AVERAGE('Monthly EOP Balance'!Q17,'Monthly EOP Balance'!R17)</f>
        <v>31588.019838022919</v>
      </c>
      <c r="R17" s="32">
        <f>AVERAGE('Monthly EOP Balance'!R17,'Monthly EOP Balance'!S17)</f>
        <v>30823.507967516522</v>
      </c>
      <c r="S17" s="32">
        <f>AVERAGE('Monthly EOP Balance'!S17,'Monthly EOP Balance'!T17)</f>
        <v>30367.980161977081</v>
      </c>
      <c r="T17" s="32">
        <f>AVERAGE('Monthly EOP Balance'!T17,'Monthly EOP Balance'!U17)</f>
        <v>31223.000898015976</v>
      </c>
      <c r="U17" s="32">
        <f>AVERAGE('Monthly EOP Balance'!U17,'Monthly EOP Balance'!V17)</f>
        <v>32637.539071574865</v>
      </c>
      <c r="V17" s="32">
        <f>AVERAGE('Monthly EOP Balance'!V17,'Monthly EOP Balance'!W17)</f>
        <v>32858.999101984024</v>
      </c>
      <c r="W17" s="32">
        <f>AVERAGE('Monthly EOP Balance'!W17,'Monthly EOP Balance'!X17)</f>
        <v>31662.994983454861</v>
      </c>
      <c r="X17" s="32">
        <f>AVERAGE('Monthly EOP Balance'!X17,'Monthly EOP Balance'!Y17)</f>
        <v>30265.032893781114</v>
      </c>
      <c r="Y17" s="32">
        <f>AVERAGE('Monthly EOP Balance'!Y17,'Monthly EOP Balance'!Z17)</f>
        <v>30105.005016545139</v>
      </c>
      <c r="Z17" s="32">
        <f>AVERAGE('Monthly EOP Balance'!Z17,'Monthly EOP Balance'!AA17)</f>
        <v>30988.864079348299</v>
      </c>
      <c r="AA17" s="32">
        <f>AVERAGE('Monthly EOP Balance'!AA17,'Monthly EOP Balance'!AB17)</f>
        <v>31314.321487985857</v>
      </c>
      <c r="AB17" s="32">
        <f>AVERAGE('Monthly EOP Balance'!AB17,'Monthly EOP Balance'!AC17)</f>
        <v>29673.135920651701</v>
      </c>
      <c r="AC17" s="32">
        <f>AVERAGE('Monthly EOP Balance'!AC17,'Monthly EOP Balance'!AD17)</f>
        <v>29934.283110633514</v>
      </c>
      <c r="AD17" s="32">
        <f>AVERAGE('Monthly EOP Balance'!AD17,'Monthly EOP Balance'!AE17)</f>
        <v>32976.542272958577</v>
      </c>
      <c r="AE17" s="32">
        <f>AVERAGE('Monthly EOP Balance'!AE17,'Monthly EOP Balance'!AF17)</f>
        <v>35809.716889366478</v>
      </c>
      <c r="AF17" s="65">
        <f>AVERAGE('Monthly EOP Balance'!AF17,'Monthly EOP Balance'!AG17)</f>
        <v>37174.033061091148</v>
      </c>
      <c r="AG17" s="65">
        <f>AVERAGE('Monthly EOP Balance'!AG17,'Monthly EOP Balance'!AH17)</f>
        <v>37174.033061091148</v>
      </c>
      <c r="AH17" s="65">
        <f>AVERAGE('Monthly EOP Balance'!AH17,'Monthly EOP Balance'!AI17)</f>
        <v>37174.033061091148</v>
      </c>
      <c r="AI17" s="65">
        <f>AVERAGE('Monthly EOP Balance'!AI17,'Monthly EOP Balance'!AJ17)</f>
        <v>37174.033061091148</v>
      </c>
      <c r="AJ17" s="65">
        <f>AVERAGE('Monthly EOP Balance'!AJ17,'Monthly EOP Balance'!AK17)</f>
        <v>37174.033061091148</v>
      </c>
      <c r="AK17" s="65">
        <f>AVERAGE('Monthly EOP Balance'!AK17,'Monthly EOP Balance'!AL17)</f>
        <v>37174.033061091148</v>
      </c>
      <c r="AL17" s="65">
        <f>AVERAGE('Monthly EOP Balance'!AL17,'Monthly EOP Balance'!AM17)</f>
        <v>37174.033061091148</v>
      </c>
      <c r="AM17" s="65">
        <f>AVERAGE('Monthly EOP Balance'!AM17,'Monthly EOP Balance'!AN17)</f>
        <v>37174.033061091148</v>
      </c>
      <c r="AN17" s="65">
        <f>AVERAGE('Monthly EOP Balance'!AN17,'Monthly EOP Balance'!AO17)</f>
        <v>37174.033061091148</v>
      </c>
      <c r="AO17" s="65">
        <f>AVERAGE('Monthly EOP Balance'!AO17,'Monthly EOP Balance'!AP17)</f>
        <v>37174.033061091148</v>
      </c>
      <c r="AP17" s="65">
        <f>AVERAGE('Monthly EOP Balance'!AP17,'Monthly EOP Balance'!AQ17)</f>
        <v>37174.033061091148</v>
      </c>
      <c r="AQ17" s="65">
        <f>AVERAGE('Monthly EOP Balance'!AQ17,'Monthly EOP Balance'!AR17)</f>
        <v>37174.033061091148</v>
      </c>
    </row>
    <row r="18" spans="1:43" x14ac:dyDescent="0.2">
      <c r="A18" s="19" t="s">
        <v>90</v>
      </c>
      <c r="B18" s="32">
        <f>AVERAGE('Monthly EOP Balance'!B18,'Monthly EOP Balance'!C18)</f>
        <v>2335</v>
      </c>
      <c r="C18" s="32">
        <f>AVERAGE('Monthly EOP Balance'!C18,'Monthly EOP Balance'!D18)</f>
        <v>2335</v>
      </c>
      <c r="D18" s="32">
        <f>AVERAGE('Monthly EOP Balance'!D18,'Monthly EOP Balance'!E18)</f>
        <v>2335</v>
      </c>
      <c r="E18" s="32">
        <f>AVERAGE('Monthly EOP Balance'!E18,'Monthly EOP Balance'!F18)</f>
        <v>2363</v>
      </c>
      <c r="F18" s="32">
        <f>AVERAGE('Monthly EOP Balance'!F18,'Monthly EOP Balance'!G18)</f>
        <v>2419</v>
      </c>
      <c r="G18" s="32">
        <f>AVERAGE('Monthly EOP Balance'!G18,'Monthly EOP Balance'!H18)</f>
        <v>2475</v>
      </c>
      <c r="H18" s="32">
        <f>AVERAGE('Monthly EOP Balance'!H18,'Monthly EOP Balance'!I18)</f>
        <v>2493</v>
      </c>
      <c r="I18" s="32">
        <f>AVERAGE('Monthly EOP Balance'!I18,'Monthly EOP Balance'!J18)</f>
        <v>2473</v>
      </c>
      <c r="J18" s="32">
        <f>AVERAGE('Monthly EOP Balance'!J18,'Monthly EOP Balance'!K18)</f>
        <v>2453</v>
      </c>
      <c r="K18" s="32">
        <f>AVERAGE('Monthly EOP Balance'!K18,'Monthly EOP Balance'!L18)</f>
        <v>2972</v>
      </c>
      <c r="L18" s="32">
        <f>AVERAGE('Monthly EOP Balance'!L18,'Monthly EOP Balance'!M18)</f>
        <v>3188</v>
      </c>
      <c r="M18" s="32">
        <f>AVERAGE('Monthly EOP Balance'!M18,'Monthly EOP Balance'!N18)</f>
        <v>1720</v>
      </c>
      <c r="N18" s="32">
        <f>AVERAGE('Monthly EOP Balance'!N18,'Monthly EOP Balance'!O18)</f>
        <v>2364</v>
      </c>
      <c r="O18" s="32">
        <f>AVERAGE('Monthly EOP Balance'!O18,'Monthly EOP Balance'!P18)</f>
        <v>4167.5</v>
      </c>
      <c r="P18" s="32">
        <f>AVERAGE('Monthly EOP Balance'!P18,'Monthly EOP Balance'!Q18)</f>
        <v>2382</v>
      </c>
      <c r="Q18" s="32">
        <f>AVERAGE('Monthly EOP Balance'!Q18,'Monthly EOP Balance'!R18)</f>
        <v>2452.6666666666665</v>
      </c>
      <c r="R18" s="32">
        <f>AVERAGE('Monthly EOP Balance'!R18,'Monthly EOP Balance'!S18)</f>
        <v>4338</v>
      </c>
      <c r="S18" s="32">
        <f>AVERAGE('Monthly EOP Balance'!S18,'Monthly EOP Balance'!T18)</f>
        <v>2551.3333333333335</v>
      </c>
      <c r="T18" s="32">
        <f>AVERAGE('Monthly EOP Balance'!T18,'Monthly EOP Balance'!U18)</f>
        <v>2454.3333333333335</v>
      </c>
      <c r="U18" s="32">
        <f>AVERAGE('Monthly EOP Balance'!U18,'Monthly EOP Balance'!V18)</f>
        <v>4136</v>
      </c>
      <c r="V18" s="32">
        <f>AVERAGE('Monthly EOP Balance'!V18,'Monthly EOP Balance'!W18)</f>
        <v>2323.6666666666665</v>
      </c>
      <c r="W18" s="32">
        <f>AVERAGE('Monthly EOP Balance'!W18,'Monthly EOP Balance'!X18)</f>
        <v>2414.3333333333335</v>
      </c>
      <c r="X18" s="32">
        <f>AVERAGE('Monthly EOP Balance'!X18,'Monthly EOP Balance'!Y18)</f>
        <v>4292.5</v>
      </c>
      <c r="Y18" s="32">
        <f>AVERAGE('Monthly EOP Balance'!Y18,'Monthly EOP Balance'!Z18)</f>
        <v>2445.6666666666665</v>
      </c>
      <c r="Z18" s="32">
        <f>AVERAGE('Monthly EOP Balance'!Z18,'Monthly EOP Balance'!AA18)</f>
        <v>2309.666666666667</v>
      </c>
      <c r="AA18" s="32">
        <f>AVERAGE('Monthly EOP Balance'!AA18,'Monthly EOP Balance'!AB18)</f>
        <v>4029.5</v>
      </c>
      <c r="AB18" s="32">
        <f>AVERAGE('Monthly EOP Balance'!AB18,'Monthly EOP Balance'!AC18)</f>
        <v>2314.333333333333</v>
      </c>
      <c r="AC18" s="32">
        <f>AVERAGE('Monthly EOP Balance'!AC18,'Monthly EOP Balance'!AD18)</f>
        <v>2637.3333333333335</v>
      </c>
      <c r="AD18" s="32">
        <f>AVERAGE('Monthly EOP Balance'!AD18,'Monthly EOP Balance'!AE18)</f>
        <v>4794</v>
      </c>
      <c r="AE18" s="32">
        <f>AVERAGE('Monthly EOP Balance'!AE18,'Monthly EOP Balance'!AF18)</f>
        <v>3106.6666666666665</v>
      </c>
      <c r="AF18" s="65">
        <f>AVERAGE('Monthly EOP Balance'!AF18,'Monthly EOP Balance'!AG18)</f>
        <v>1302</v>
      </c>
      <c r="AG18" s="65">
        <f>AVERAGE('Monthly EOP Balance'!AG18,'Monthly EOP Balance'!AH18)</f>
        <v>1302</v>
      </c>
      <c r="AH18" s="65">
        <f>AVERAGE('Monthly EOP Balance'!AH18,'Monthly EOP Balance'!AI18)</f>
        <v>1302</v>
      </c>
      <c r="AI18" s="65">
        <f>AVERAGE('Monthly EOP Balance'!AI18,'Monthly EOP Balance'!AJ18)</f>
        <v>1302</v>
      </c>
      <c r="AJ18" s="65">
        <f>AVERAGE('Monthly EOP Balance'!AJ18,'Monthly EOP Balance'!AK18)</f>
        <v>1302</v>
      </c>
      <c r="AK18" s="65">
        <f>AVERAGE('Monthly EOP Balance'!AK18,'Monthly EOP Balance'!AL18)</f>
        <v>1302</v>
      </c>
      <c r="AL18" s="65">
        <f>AVERAGE('Monthly EOP Balance'!AL18,'Monthly EOP Balance'!AM18)</f>
        <v>1302</v>
      </c>
      <c r="AM18" s="65">
        <f>AVERAGE('Monthly EOP Balance'!AM18,'Monthly EOP Balance'!AN18)</f>
        <v>1302</v>
      </c>
      <c r="AN18" s="65">
        <f>AVERAGE('Monthly EOP Balance'!AN18,'Monthly EOP Balance'!AO18)</f>
        <v>1302</v>
      </c>
      <c r="AO18" s="65">
        <f>AVERAGE('Monthly EOP Balance'!AO18,'Monthly EOP Balance'!AP18)</f>
        <v>1302</v>
      </c>
      <c r="AP18" s="65">
        <f>AVERAGE('Monthly EOP Balance'!AP18,'Monthly EOP Balance'!AQ18)</f>
        <v>1302</v>
      </c>
      <c r="AQ18" s="65">
        <f>AVERAGE('Monthly EOP Balance'!AQ18,'Monthly EOP Balance'!AR18)</f>
        <v>1302</v>
      </c>
    </row>
    <row r="19" spans="1:43" x14ac:dyDescent="0.2">
      <c r="A19" s="22" t="s">
        <v>91</v>
      </c>
      <c r="B19" s="29">
        <f>AVERAGE('Monthly EOP Balance'!B19,'Monthly EOP Balance'!C19)</f>
        <v>358510</v>
      </c>
      <c r="C19" s="29">
        <f>AVERAGE('Monthly EOP Balance'!C19,'Monthly EOP Balance'!D19)</f>
        <v>358510</v>
      </c>
      <c r="D19" s="29">
        <f>AVERAGE('Monthly EOP Balance'!D19,'Monthly EOP Balance'!E19)</f>
        <v>358510</v>
      </c>
      <c r="E19" s="29">
        <f>AVERAGE('Monthly EOP Balance'!E19,'Monthly EOP Balance'!F19)</f>
        <v>360192.66666666669</v>
      </c>
      <c r="F19" s="29">
        <f>AVERAGE('Monthly EOP Balance'!F19,'Monthly EOP Balance'!G19)</f>
        <v>363558</v>
      </c>
      <c r="G19" s="29">
        <f>AVERAGE('Monthly EOP Balance'!G19,'Monthly EOP Balance'!H19)</f>
        <v>366923.33333333331</v>
      </c>
      <c r="H19" s="29">
        <f>AVERAGE('Monthly EOP Balance'!H19,'Monthly EOP Balance'!I19)</f>
        <v>368296</v>
      </c>
      <c r="I19" s="29">
        <f>AVERAGE('Monthly EOP Balance'!I19,'Monthly EOP Balance'!J19)</f>
        <v>367676</v>
      </c>
      <c r="J19" s="29">
        <f>AVERAGE('Monthly EOP Balance'!J19,'Monthly EOP Balance'!K19)</f>
        <v>367056</v>
      </c>
      <c r="K19" s="29">
        <f>AVERAGE('Monthly EOP Balance'!K19,'Monthly EOP Balance'!L19)</f>
        <v>368641.66666666663</v>
      </c>
      <c r="L19" s="29">
        <f>AVERAGE('Monthly EOP Balance'!L19,'Monthly EOP Balance'!M19)</f>
        <v>371125</v>
      </c>
      <c r="M19" s="29">
        <f>AVERAGE('Monthly EOP Balance'!M19,'Monthly EOP Balance'!N19)</f>
        <v>370992.33333333331</v>
      </c>
      <c r="N19" s="29">
        <f>AVERAGE('Monthly EOP Balance'!N19,'Monthly EOP Balance'!O19)</f>
        <v>369715</v>
      </c>
      <c r="O19" s="29">
        <f>AVERAGE('Monthly EOP Balance'!O19,'Monthly EOP Balance'!P19)</f>
        <v>369735.5</v>
      </c>
      <c r="P19" s="29">
        <f>AVERAGE('Monthly EOP Balance'!P19,'Monthly EOP Balance'!Q19)</f>
        <v>372025</v>
      </c>
      <c r="Q19" s="29">
        <f>AVERAGE('Monthly EOP Balance'!Q19,'Monthly EOP Balance'!R19)</f>
        <v>373952.66666666669</v>
      </c>
      <c r="R19" s="29">
        <f>AVERAGE('Monthly EOP Balance'!R19,'Monthly EOP Balance'!S19)</f>
        <v>373948.5</v>
      </c>
      <c r="S19" s="29">
        <f>AVERAGE('Monthly EOP Balance'!S19,'Monthly EOP Balance'!T19)</f>
        <v>373073.33333333331</v>
      </c>
      <c r="T19" s="29">
        <f>AVERAGE('Monthly EOP Balance'!T19,'Monthly EOP Balance'!U19)</f>
        <v>373373.66666666669</v>
      </c>
      <c r="U19" s="29">
        <f>AVERAGE('Monthly EOP Balance'!U19,'Monthly EOP Balance'!V19)</f>
        <v>375028.5</v>
      </c>
      <c r="V19" s="29">
        <f>AVERAGE('Monthly EOP Balance'!V19,'Monthly EOP Balance'!W19)</f>
        <v>376170.33333333337</v>
      </c>
      <c r="W19" s="29">
        <f>AVERAGE('Monthly EOP Balance'!W19,'Monthly EOP Balance'!X19)</f>
        <v>378003.33333333337</v>
      </c>
      <c r="X19" s="29">
        <f>AVERAGE('Monthly EOP Balance'!X19,'Monthly EOP Balance'!Y19)</f>
        <v>380319</v>
      </c>
      <c r="Y19" s="29">
        <f>AVERAGE('Monthly EOP Balance'!Y19,'Monthly EOP Balance'!Z19)</f>
        <v>381704.66666666663</v>
      </c>
      <c r="Z19" s="29">
        <f>AVERAGE('Monthly EOP Balance'!Z19,'Monthly EOP Balance'!AA19)</f>
        <v>384015</v>
      </c>
      <c r="AA19" s="29">
        <f>AVERAGE('Monthly EOP Balance'!AA19,'Monthly EOP Balance'!AB19)</f>
        <v>385964.5</v>
      </c>
      <c r="AB19" s="29">
        <f>AVERAGE('Monthly EOP Balance'!AB19,'Monthly EOP Balance'!AC19)</f>
        <v>384413</v>
      </c>
      <c r="AC19" s="29">
        <f>AVERAGE('Monthly EOP Balance'!AC19,'Monthly EOP Balance'!AD19)</f>
        <v>399027.66666666669</v>
      </c>
      <c r="AD19" s="29">
        <f>AVERAGE('Monthly EOP Balance'!AD19,'Monthly EOP Balance'!AE19)</f>
        <v>433742.5</v>
      </c>
      <c r="AE19" s="29">
        <f>AVERAGE('Monthly EOP Balance'!AE19,'Monthly EOP Balance'!AF19)</f>
        <v>472824.33333333331</v>
      </c>
      <c r="AF19" s="67">
        <f t="shared" ref="AF19:AQ19" si="2">SUM(AF15:AF18)</f>
        <v>493457.62630364235</v>
      </c>
      <c r="AG19" s="67">
        <f t="shared" si="2"/>
        <v>493459.0632855139</v>
      </c>
      <c r="AH19" s="67">
        <f t="shared" si="2"/>
        <v>493460.86809468589</v>
      </c>
      <c r="AI19" s="67">
        <f t="shared" si="2"/>
        <v>493463.03889202204</v>
      </c>
      <c r="AJ19" s="67">
        <f t="shared" si="2"/>
        <v>493465.57384758128</v>
      </c>
      <c r="AK19" s="67">
        <f t="shared" si="2"/>
        <v>493468.47114057268</v>
      </c>
      <c r="AL19" s="67">
        <f t="shared" si="2"/>
        <v>493471.72895930905</v>
      </c>
      <c r="AM19" s="67">
        <f t="shared" si="2"/>
        <v>493475.3455011617</v>
      </c>
      <c r="AN19" s="67">
        <f t="shared" si="2"/>
        <v>493479.31897251477</v>
      </c>
      <c r="AO19" s="67">
        <f t="shared" si="2"/>
        <v>493483.64758872119</v>
      </c>
      <c r="AP19" s="67">
        <f t="shared" si="2"/>
        <v>493488.32957405638</v>
      </c>
      <c r="AQ19" s="67">
        <f t="shared" si="2"/>
        <v>493493.36316167482</v>
      </c>
    </row>
    <row r="20" spans="1:43" x14ac:dyDescent="0.2">
      <c r="A20" s="19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</row>
    <row r="21" spans="1:43" x14ac:dyDescent="0.2">
      <c r="A21" s="22" t="s">
        <v>26</v>
      </c>
      <c r="B21" s="29">
        <f t="shared" ref="B21:AQ21" si="3">B12-B19</f>
        <v>71450</v>
      </c>
      <c r="C21" s="29">
        <f t="shared" si="3"/>
        <v>74698.5</v>
      </c>
      <c r="D21" s="29">
        <f t="shared" si="3"/>
        <v>81928</v>
      </c>
      <c r="E21" s="29">
        <f t="shared" si="3"/>
        <v>79085.333333333314</v>
      </c>
      <c r="F21" s="29">
        <f t="shared" si="3"/>
        <v>69880.5</v>
      </c>
      <c r="G21" s="29">
        <f t="shared" si="3"/>
        <v>72076.666666666686</v>
      </c>
      <c r="H21" s="29">
        <f t="shared" si="3"/>
        <v>75002</v>
      </c>
      <c r="I21" s="29">
        <f t="shared" si="3"/>
        <v>74406</v>
      </c>
      <c r="J21" s="29">
        <f t="shared" si="3"/>
        <v>76710</v>
      </c>
      <c r="K21" s="29">
        <f t="shared" si="3"/>
        <v>79010.333333333372</v>
      </c>
      <c r="L21" s="29">
        <f t="shared" si="3"/>
        <v>78514.5</v>
      </c>
      <c r="M21" s="29">
        <f t="shared" si="3"/>
        <v>75333.666666666686</v>
      </c>
      <c r="N21" s="29">
        <f t="shared" si="3"/>
        <v>77518</v>
      </c>
      <c r="O21" s="29">
        <f t="shared" si="3"/>
        <v>81671.5</v>
      </c>
      <c r="P21" s="29">
        <f t="shared" si="3"/>
        <v>76348</v>
      </c>
      <c r="Q21" s="29">
        <f t="shared" si="3"/>
        <v>76885</v>
      </c>
      <c r="R21" s="29">
        <f t="shared" si="3"/>
        <v>82708</v>
      </c>
      <c r="S21" s="29">
        <f t="shared" si="3"/>
        <v>77905</v>
      </c>
      <c r="T21" s="29">
        <f t="shared" si="3"/>
        <v>78377.999999999942</v>
      </c>
      <c r="U21" s="29">
        <f t="shared" si="3"/>
        <v>84576</v>
      </c>
      <c r="V21" s="29">
        <f t="shared" si="3"/>
        <v>81046</v>
      </c>
      <c r="W21" s="29">
        <f t="shared" si="3"/>
        <v>82354.333333333256</v>
      </c>
      <c r="X21" s="29">
        <f t="shared" si="3"/>
        <v>87100.5</v>
      </c>
      <c r="Y21" s="29">
        <f t="shared" si="3"/>
        <v>79317.666666666744</v>
      </c>
      <c r="Z21" s="29">
        <f t="shared" si="3"/>
        <v>77934</v>
      </c>
      <c r="AA21" s="29">
        <f t="shared" si="3"/>
        <v>83885.5</v>
      </c>
      <c r="AB21" s="29">
        <f t="shared" si="3"/>
        <v>79180</v>
      </c>
      <c r="AC21" s="29">
        <f t="shared" si="3"/>
        <v>82186</v>
      </c>
      <c r="AD21" s="29">
        <f t="shared" si="3"/>
        <v>93617.5</v>
      </c>
      <c r="AE21" s="29">
        <f t="shared" si="3"/>
        <v>95819.999999999942</v>
      </c>
      <c r="AF21" s="67">
        <f t="shared" si="3"/>
        <v>94639.879705299565</v>
      </c>
      <c r="AG21" s="67">
        <f t="shared" si="3"/>
        <v>94691.454741311376</v>
      </c>
      <c r="AH21" s="67">
        <f t="shared" si="3"/>
        <v>94742.661950022972</v>
      </c>
      <c r="AI21" s="67">
        <f t="shared" si="3"/>
        <v>94793.503170570417</v>
      </c>
      <c r="AJ21" s="67">
        <f t="shared" si="3"/>
        <v>94843.98023289477</v>
      </c>
      <c r="AK21" s="67">
        <f t="shared" si="3"/>
        <v>94894.094957786961</v>
      </c>
      <c r="AL21" s="67">
        <f t="shared" si="3"/>
        <v>94943.849156934186</v>
      </c>
      <c r="AM21" s="67">
        <f t="shared" si="3"/>
        <v>94993.244632965128</v>
      </c>
      <c r="AN21" s="67">
        <f t="shared" si="3"/>
        <v>95042.283179495658</v>
      </c>
      <c r="AO21" s="67">
        <f t="shared" si="3"/>
        <v>95090.966581172834</v>
      </c>
      <c r="AP21" s="67">
        <f t="shared" si="3"/>
        <v>95139.296613721235</v>
      </c>
      <c r="AQ21" s="67">
        <f t="shared" si="3"/>
        <v>95187.275043986388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21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5" x14ac:dyDescent="0.2"/>
  <cols>
    <col min="1" max="1" width="43" customWidth="1"/>
    <col min="2" max="43" width="12" customWidth="1"/>
  </cols>
  <sheetData>
    <row r="1" spans="1:43" ht="18" x14ac:dyDescent="0.2">
      <c r="A1" s="23" t="s">
        <v>103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</row>
    <row r="2" spans="1:43" ht="31" customHeight="1" x14ac:dyDescent="0.2">
      <c r="A2" s="25" t="s">
        <v>104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</row>
    <row r="4" spans="1:43" x14ac:dyDescent="0.2">
      <c r="A4" s="22" t="s">
        <v>1</v>
      </c>
      <c r="B4" s="26">
        <v>44957</v>
      </c>
      <c r="C4" s="26">
        <v>44985</v>
      </c>
      <c r="D4" s="26">
        <v>45016</v>
      </c>
      <c r="E4" s="26">
        <v>45046</v>
      </c>
      <c r="F4" s="26">
        <v>45077</v>
      </c>
      <c r="G4" s="26">
        <v>45107</v>
      </c>
      <c r="H4" s="26">
        <v>45138</v>
      </c>
      <c r="I4" s="26">
        <v>45169</v>
      </c>
      <c r="J4" s="26">
        <v>45199</v>
      </c>
      <c r="K4" s="26">
        <v>45230</v>
      </c>
      <c r="L4" s="26">
        <v>45260</v>
      </c>
      <c r="M4" s="26">
        <v>45291</v>
      </c>
      <c r="N4" s="26">
        <v>45322</v>
      </c>
      <c r="O4" s="26">
        <v>45351</v>
      </c>
      <c r="P4" s="26">
        <v>45382</v>
      </c>
      <c r="Q4" s="26">
        <v>45412</v>
      </c>
      <c r="R4" s="26">
        <v>45443</v>
      </c>
      <c r="S4" s="26">
        <v>45473</v>
      </c>
      <c r="T4" s="26">
        <v>45504</v>
      </c>
      <c r="U4" s="26">
        <v>45535</v>
      </c>
      <c r="V4" s="26">
        <v>45565</v>
      </c>
      <c r="W4" s="26">
        <v>45596</v>
      </c>
      <c r="X4" s="26">
        <v>45626</v>
      </c>
      <c r="Y4" s="26">
        <v>45657</v>
      </c>
      <c r="Z4" s="26">
        <v>45688</v>
      </c>
      <c r="AA4" s="26">
        <v>45716</v>
      </c>
      <c r="AB4" s="26">
        <v>45747</v>
      </c>
      <c r="AC4" s="26">
        <v>45777</v>
      </c>
      <c r="AD4" s="26">
        <v>45808</v>
      </c>
      <c r="AE4" s="26">
        <v>45838</v>
      </c>
      <c r="AF4" s="64">
        <v>45869</v>
      </c>
      <c r="AG4" s="64">
        <v>45900</v>
      </c>
      <c r="AH4" s="64">
        <v>45930</v>
      </c>
      <c r="AI4" s="64">
        <v>45961</v>
      </c>
      <c r="AJ4" s="64">
        <v>45991</v>
      </c>
      <c r="AK4" s="64">
        <v>46022</v>
      </c>
      <c r="AL4" s="64">
        <v>46053</v>
      </c>
      <c r="AM4" s="64">
        <v>46081</v>
      </c>
      <c r="AN4" s="64">
        <v>46112</v>
      </c>
      <c r="AO4" s="64">
        <v>46142</v>
      </c>
      <c r="AP4" s="64">
        <v>46173</v>
      </c>
      <c r="AQ4" s="64">
        <v>46203</v>
      </c>
    </row>
    <row r="5" spans="1:43" x14ac:dyDescent="0.2">
      <c r="A5" s="27" t="s">
        <v>12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</row>
    <row r="6" spans="1:43" x14ac:dyDescent="0.2">
      <c r="A6" s="19" t="s">
        <v>80</v>
      </c>
      <c r="B6" s="35">
        <f>IF(SUM('Monthly Avg Balance'!B6:'Monthly Avg Balance'!D6)=0,"",'Monthly Avg Balance'!B6*Rate!B6/12+('Net Interest Income'!B6-SUM('Monthly Avg Balance'!B6:'Monthly Avg Balance'!D6)*Rate!B6/12)*'Monthly Avg Balance'!B6/SUM('Monthly Avg Balance'!B6:'Monthly Avg Balance'!D6))</f>
        <v>2017.6666666666667</v>
      </c>
      <c r="C6" s="35">
        <f>IF(SUM('Monthly Avg Balance'!B6:'Monthly Avg Balance'!D6)=0,"",'Monthly Avg Balance'!C6*Rate!B6/12+('Net Interest Income'!B6-SUM('Monthly Avg Balance'!B6:'Monthly Avg Balance'!D6)*Rate!B6/12)*'Monthly Avg Balance'!C6/SUM('Monthly Avg Balance'!B6:'Monthly Avg Balance'!D6))</f>
        <v>2017.6666666666667</v>
      </c>
      <c r="D6" s="35">
        <f>IF(SUM('Monthly Avg Balance'!B6:'Monthly Avg Balance'!D6)=0,"",'Monthly Avg Balance'!D6*Rate!B6/12+('Net Interest Income'!B6-SUM('Monthly Avg Balance'!B6:'Monthly Avg Balance'!D6)*Rate!B6/12)*'Monthly Avg Balance'!D6/SUM('Monthly Avg Balance'!B6:'Monthly Avg Balance'!D6))</f>
        <v>2017.6666666666667</v>
      </c>
      <c r="E6" s="35">
        <f>IF(SUM('Monthly Avg Balance'!E6:'Monthly Avg Balance'!G6)=0,"",'Monthly Avg Balance'!E6*Rate!C6/12+('Net Interest Income'!C6-SUM('Monthly Avg Balance'!E6:'Monthly Avg Balance'!G6)*Rate!C6/12)*'Monthly Avg Balance'!E6/SUM('Monthly Avg Balance'!E6:'Monthly Avg Balance'!G6))</f>
        <v>2059.358389824944</v>
      </c>
      <c r="F6" s="35">
        <f>IF(SUM('Monthly Avg Balance'!E6:'Monthly Avg Balance'!G6)=0,"",'Monthly Avg Balance'!F6*Rate!C6/12+('Net Interest Income'!C6-SUM('Monthly Avg Balance'!E6:'Monthly Avg Balance'!G6)*Rate!C6/12)*'Monthly Avg Balance'!F6/SUM('Monthly Avg Balance'!E6:'Monthly Avg Balance'!G6))</f>
        <v>2100.6666666666665</v>
      </c>
      <c r="G6" s="35">
        <f>IF(SUM('Monthly Avg Balance'!E6:'Monthly Avg Balance'!G6)=0,"",'Monthly Avg Balance'!G6*Rate!C6/12+('Net Interest Income'!C6-SUM('Monthly Avg Balance'!E6:'Monthly Avg Balance'!G6)*Rate!C6/12)*'Monthly Avg Balance'!G6/SUM('Monthly Avg Balance'!E6:'Monthly Avg Balance'!G6))</f>
        <v>2141.9749435083895</v>
      </c>
      <c r="H6" s="35">
        <f>IF(SUM('Monthly Avg Balance'!H6:'Monthly Avg Balance'!J6)=0,"",'Monthly Avg Balance'!H6*Rate!D6/12+('Net Interest Income'!D6-SUM('Monthly Avg Balance'!H6:'Monthly Avg Balance'!J6)*Rate!D6/12)*'Monthly Avg Balance'!H6/SUM('Monthly Avg Balance'!H6:'Monthly Avg Balance'!J6))</f>
        <v>2270.6739494800136</v>
      </c>
      <c r="I6" s="35">
        <f>IF(SUM('Monthly Avg Balance'!H6:'Monthly Avg Balance'!J6)=0,"",'Monthly Avg Balance'!I6*Rate!D6/12+('Net Interest Income'!D6-SUM('Monthly Avg Balance'!H6:'Monthly Avg Balance'!J6)*Rate!D6/12)*'Monthly Avg Balance'!I6/SUM('Monthly Avg Balance'!H6:'Monthly Avg Balance'!J6))</f>
        <v>2283.333333333333</v>
      </c>
      <c r="J6" s="35">
        <f>IF(SUM('Monthly Avg Balance'!H6:'Monthly Avg Balance'!J6)=0,"",'Monthly Avg Balance'!J6*Rate!D6/12+('Net Interest Income'!D6-SUM('Monthly Avg Balance'!H6:'Monthly Avg Balance'!J6)*Rate!D6/12)*'Monthly Avg Balance'!J6/SUM('Monthly Avg Balance'!H6:'Monthly Avg Balance'!J6))</f>
        <v>2295.992717186653</v>
      </c>
      <c r="K6" s="35">
        <f>IF(SUM('Monthly Avg Balance'!K6:'Monthly Avg Balance'!M6)=0,"",'Monthly Avg Balance'!K6*Rate!E6/12+('Net Interest Income'!E6-SUM('Monthly Avg Balance'!K6:'Monthly Avg Balance'!M6)*Rate!E6/12)*'Monthly Avg Balance'!K6/SUM('Monthly Avg Balance'!K6:'Monthly Avg Balance'!M6))</f>
        <v>2318.9591596735186</v>
      </c>
      <c r="L6" s="35">
        <f>IF(SUM('Monthly Avg Balance'!K6:'Monthly Avg Balance'!M6)=0,"",'Monthly Avg Balance'!L6*Rate!E6/12+('Net Interest Income'!E6-SUM('Monthly Avg Balance'!K6:'Monthly Avg Balance'!M6)*Rate!E6/12)*'Monthly Avg Balance'!L6/SUM('Monthly Avg Balance'!K6:'Monthly Avg Balance'!M6))</f>
        <v>2364.9988557577858</v>
      </c>
      <c r="M6" s="35">
        <f>IF(SUM('Monthly Avg Balance'!K6:'Monthly Avg Balance'!M6)=0,"",'Monthly Avg Balance'!M6*Rate!E6/12+('Net Interest Income'!E6-SUM('Monthly Avg Balance'!K6:'Monthly Avg Balance'!M6)*Rate!E6/12)*'Monthly Avg Balance'!M6/SUM('Monthly Avg Balance'!K6:'Monthly Avg Balance'!M6))</f>
        <v>2378.0419845686956</v>
      </c>
      <c r="N6" s="35">
        <f>IF(SUM('Monthly Avg Balance'!N6:'Monthly Avg Balance'!P6)=0,"",'Monthly Avg Balance'!N6*Rate!F6/12+('Net Interest Income'!F6-SUM('Monthly Avg Balance'!N6:'Monthly Avg Balance'!P6)*Rate!F6/12)*'Monthly Avg Balance'!N6/SUM('Monthly Avg Balance'!N6:'Monthly Avg Balance'!P6))</f>
        <v>2362.6875908147736</v>
      </c>
      <c r="O6" s="35">
        <f>IF(SUM('Monthly Avg Balance'!N6:'Monthly Avg Balance'!P6)=0,"",'Monthly Avg Balance'!O6*Rate!F6/12+('Net Interest Income'!F6-SUM('Monthly Avg Balance'!N6:'Monthly Avg Balance'!P6)*Rate!F6/12)*'Monthly Avg Balance'!O6/SUM('Monthly Avg Balance'!N6:'Monthly Avg Balance'!P6))</f>
        <v>2352.3439722756484</v>
      </c>
      <c r="P6" s="35">
        <f>IF(SUM('Monthly Avg Balance'!N6:'Monthly Avg Balance'!P6)=0,"",'Monthly Avg Balance'!P6*Rate!F6/12+('Net Interest Income'!F6-SUM('Monthly Avg Balance'!N6:'Monthly Avg Balance'!P6)*Rate!F6/12)*'Monthly Avg Balance'!P6/SUM('Monthly Avg Balance'!N6:'Monthly Avg Balance'!P6))</f>
        <v>2351.9684369095776</v>
      </c>
      <c r="Q6" s="35">
        <f>IF(SUM('Monthly Avg Balance'!Q6:'Monthly Avg Balance'!S6)=0,"",'Monthly Avg Balance'!Q6*Rate!G6/12+('Net Interest Income'!G6-SUM('Monthly Avg Balance'!Q6:'Monthly Avg Balance'!S6)*Rate!G6/12)*'Monthly Avg Balance'!Q6/SUM('Monthly Avg Balance'!Q6:'Monthly Avg Balance'!S6))</f>
        <v>2351.7987729897627</v>
      </c>
      <c r="R6" s="35">
        <f>IF(SUM('Monthly Avg Balance'!Q6:'Monthly Avg Balance'!S6)=0,"",'Monthly Avg Balance'!R6*Rate!G6/12+('Net Interest Income'!G6-SUM('Monthly Avg Balance'!Q6:'Monthly Avg Balance'!S6)*Rate!G6/12)*'Monthly Avg Balance'!R6/SUM('Monthly Avg Balance'!Q6:'Monthly Avg Balance'!S6))</f>
        <v>2362.0542156459178</v>
      </c>
      <c r="S6" s="35">
        <f>IF(SUM('Monthly Avg Balance'!Q6:'Monthly Avg Balance'!S6)=0,"",'Monthly Avg Balance'!S6*Rate!G6/12+('Net Interest Income'!G6-SUM('Monthly Avg Balance'!Q6:'Monthly Avg Balance'!S6)*Rate!G6/12)*'Monthly Avg Balance'!S6/SUM('Monthly Avg Balance'!Q6:'Monthly Avg Balance'!S6))</f>
        <v>2374.1470113643186</v>
      </c>
      <c r="T6" s="35">
        <f>IF(SUM('Monthly Avg Balance'!T6:'Monthly Avg Balance'!V6)=0,"",'Monthly Avg Balance'!T6*Rate!H6/12+('Net Interest Income'!H6-SUM('Monthly Avg Balance'!T6:'Monthly Avg Balance'!V6)*Rate!H6/12)*'Monthly Avg Balance'!T6/SUM('Monthly Avg Balance'!T6:'Monthly Avg Balance'!V6))</f>
        <v>2506.2728935482701</v>
      </c>
      <c r="U6" s="35">
        <f>IF(SUM('Monthly Avg Balance'!T6:'Monthly Avg Balance'!V6)=0,"",'Monthly Avg Balance'!U6*Rate!H6/12+('Net Interest Income'!H6-SUM('Monthly Avg Balance'!T6:'Monthly Avg Balance'!V6)*Rate!H6/12)*'Monthly Avg Balance'!U6/SUM('Monthly Avg Balance'!T6:'Monthly Avg Balance'!V6))</f>
        <v>2533.7773433799084</v>
      </c>
      <c r="V6" s="35">
        <f>IF(SUM('Monthly Avg Balance'!T6:'Monthly Avg Balance'!V6)=0,"",'Monthly Avg Balance'!V6*Rate!H6/12+('Net Interest Income'!H6-SUM('Monthly Avg Balance'!T6:'Monthly Avg Balance'!V6)*Rate!H6/12)*'Monthly Avg Balance'!V6/SUM('Monthly Avg Balance'!T6:'Monthly Avg Balance'!V6))</f>
        <v>2537.9497630718215</v>
      </c>
      <c r="W6" s="35">
        <f>IF(SUM('Monthly Avg Balance'!W6:'Monthly Avg Balance'!Y6)=0,"",'Monthly Avg Balance'!W6*Rate!I6/12+('Net Interest Income'!I6-SUM('Monthly Avg Balance'!W6:'Monthly Avg Balance'!Y6)*Rate!I6/12)*'Monthly Avg Balance'!W6/SUM('Monthly Avg Balance'!W6:'Monthly Avg Balance'!Y6))</f>
        <v>2471.0098966534269</v>
      </c>
      <c r="X6" s="35">
        <f>IF(SUM('Monthly Avg Balance'!W6:'Monthly Avg Balance'!Y6)=0,"",'Monthly Avg Balance'!X6*Rate!I6/12+('Net Interest Income'!I6-SUM('Monthly Avg Balance'!W6:'Monthly Avg Balance'!Y6)*Rate!I6/12)*'Monthly Avg Balance'!X6/SUM('Monthly Avg Balance'!W6:'Monthly Avg Balance'!Y6))</f>
        <v>2496.4464547991233</v>
      </c>
      <c r="Y6" s="35">
        <f>IF(SUM('Monthly Avg Balance'!W6:'Monthly Avg Balance'!Y6)=0,"",'Monthly Avg Balance'!Y6*Rate!I6/12+('Net Interest Income'!I6-SUM('Monthly Avg Balance'!W6:'Monthly Avg Balance'!Y6)*Rate!I6/12)*'Monthly Avg Balance'!Y6/SUM('Monthly Avg Balance'!W6:'Monthly Avg Balance'!Y6))</f>
        <v>2525.543648547452</v>
      </c>
      <c r="Z6" s="35">
        <f>IF(SUM('Monthly Avg Balance'!Z6:'Monthly Avg Balance'!AB6)=0,"",'Monthly Avg Balance'!Z6*Rate!J6/12+('Net Interest Income'!J6-SUM('Monthly Avg Balance'!Z6:'Monthly Avg Balance'!AB6)*Rate!J6/12)*'Monthly Avg Balance'!Z6/SUM('Monthly Avg Balance'!Z6:'Monthly Avg Balance'!AB6))</f>
        <v>2443.2269743453921</v>
      </c>
      <c r="AA6" s="35">
        <f>IF(SUM('Monthly Avg Balance'!Z6:'Monthly Avg Balance'!AB6)=0,"",'Monthly Avg Balance'!AA6*Rate!J6/12+('Net Interest Income'!J6-SUM('Monthly Avg Balance'!Z6:'Monthly Avg Balance'!AB6)*Rate!J6/12)*'Monthly Avg Balance'!AA6/SUM('Monthly Avg Balance'!Z6:'Monthly Avg Balance'!AB6))</f>
        <v>2395.0889066149421</v>
      </c>
      <c r="AB6" s="35">
        <f>IF(SUM('Monthly Avg Balance'!Z6:'Monthly Avg Balance'!AB6)=0,"",'Monthly Avg Balance'!AB6*Rate!J6/12+('Net Interest Income'!J6-SUM('Monthly Avg Balance'!Z6:'Monthly Avg Balance'!AB6)*Rate!J6/12)*'Monthly Avg Balance'!AB6/SUM('Monthly Avg Balance'!Z6:'Monthly Avg Balance'!AB6))</f>
        <v>2409.6841190396658</v>
      </c>
      <c r="AC6" s="35">
        <f>IF(SUM('Monthly Avg Balance'!AC6:'Monthly Avg Balance'!AE6)=0,"",'Monthly Avg Balance'!AC6*Rate!K6/12+('Net Interest Income'!K6-SUM('Monthly Avg Balance'!AC6:'Monthly Avg Balance'!AE6)*Rate!K6/12)*'Monthly Avg Balance'!AC6/SUM('Monthly Avg Balance'!AC6:'Monthly Avg Balance'!AE6))</f>
        <v>2663.5861691098262</v>
      </c>
      <c r="AD6" s="35">
        <f>IF(SUM('Monthly Avg Balance'!AC6:'Monthly Avg Balance'!AE6)=0,"",'Monthly Avg Balance'!AD6*Rate!K6/12+('Net Interest Income'!K6-SUM('Monthly Avg Balance'!AC6:'Monthly Avg Balance'!AE6)*Rate!K6/12)*'Monthly Avg Balance'!AD6/SUM('Monthly Avg Balance'!AC6:'Monthly Avg Balance'!AE6))</f>
        <v>3230.0586424556936</v>
      </c>
      <c r="AE6" s="35">
        <f>IF(SUM('Monthly Avg Balance'!AC6:'Monthly Avg Balance'!AE6)=0,"",'Monthly Avg Balance'!AE6*Rate!K6/12+('Net Interest Income'!K6-SUM('Monthly Avg Balance'!AC6:'Monthly Avg Balance'!AE6)*Rate!K6/12)*'Monthly Avg Balance'!AE6/SUM('Monthly Avg Balance'!AC6:'Monthly Avg Balance'!AE6))</f>
        <v>3513.3551884344802</v>
      </c>
      <c r="AF6" s="70">
        <f>'Monthly Avg Balance'!AF6*'Monthly Rate'!AF6/12</f>
        <v>3584.5148016329517</v>
      </c>
      <c r="AG6" s="70">
        <f>'Monthly Avg Balance'!AG6*'Monthly Rate'!AG6/12</f>
        <v>3567.3765387310359</v>
      </c>
      <c r="AH6" s="70">
        <f>'Monthly Avg Balance'!AH6*'Monthly Rate'!AH6/12</f>
        <v>3567.9841597124719</v>
      </c>
      <c r="AI6" s="70">
        <f>'Monthly Avg Balance'!AI6*'Monthly Rate'!AI6/12</f>
        <v>3568.5917806939074</v>
      </c>
      <c r="AJ6" s="70">
        <f>'Monthly Avg Balance'!AJ6*'Monthly Rate'!AJ6/12</f>
        <v>3551.4414253109494</v>
      </c>
      <c r="AK6" s="70">
        <f>'Monthly Avg Balance'!AK6*'Monthly Rate'!AK6/12</f>
        <v>3552.046023172124</v>
      </c>
      <c r="AL6" s="70">
        <f>'Monthly Avg Balance'!AL6*'Monthly Rate'!AL6/12</f>
        <v>3552.6506210332991</v>
      </c>
      <c r="AM6" s="70">
        <f>'Monthly Avg Balance'!AM6*'Monthly Rate'!AM6/12</f>
        <v>3535.4881731692972</v>
      </c>
      <c r="AN6" s="70">
        <f>'Monthly Avg Balance'!AN6*'Monthly Rate'!AN6/12</f>
        <v>3536.0897479102109</v>
      </c>
      <c r="AO6" s="70">
        <f>'Monthly Avg Balance'!AO6*'Monthly Rate'!AO6/12</f>
        <v>3536.6913226511247</v>
      </c>
      <c r="AP6" s="70">
        <f>'Monthly Avg Balance'!AP6*'Monthly Rate'!AP6/12</f>
        <v>3519.5167823060783</v>
      </c>
      <c r="AQ6" s="70">
        <f>'Monthly Avg Balance'!AQ6*'Monthly Rate'!AQ6/12</f>
        <v>3520.1153339267316</v>
      </c>
    </row>
    <row r="7" spans="1:43" x14ac:dyDescent="0.2">
      <c r="A7" s="19" t="s">
        <v>81</v>
      </c>
      <c r="B7" s="35">
        <f>IF(SUM('Monthly Avg Balance'!B7:'Monthly Avg Balance'!D7)=0,"",'Monthly Avg Balance'!B7*Rate!B7/12+('Net Interest Income'!B7-SUM('Monthly Avg Balance'!B7:'Monthly Avg Balance'!D7)*Rate!B7/12)*'Monthly Avg Balance'!B7/SUM('Monthly Avg Balance'!B7:'Monthly Avg Balance'!D7))</f>
        <v>487</v>
      </c>
      <c r="C7" s="35">
        <f>IF(SUM('Monthly Avg Balance'!B7:'Monthly Avg Balance'!D7)=0,"",'Monthly Avg Balance'!C7*Rate!B7/12+('Net Interest Income'!B7-SUM('Monthly Avg Balance'!B7:'Monthly Avg Balance'!D7)*Rate!B7/12)*'Monthly Avg Balance'!C7/SUM('Monthly Avg Balance'!B7:'Monthly Avg Balance'!D7))</f>
        <v>487</v>
      </c>
      <c r="D7" s="35">
        <f>IF(SUM('Monthly Avg Balance'!B7:'Monthly Avg Balance'!D7)=0,"",'Monthly Avg Balance'!D7*Rate!B7/12+('Net Interest Income'!B7-SUM('Monthly Avg Balance'!B7:'Monthly Avg Balance'!D7)*Rate!B7/12)*'Monthly Avg Balance'!D7/SUM('Monthly Avg Balance'!B7:'Monthly Avg Balance'!D7))</f>
        <v>487</v>
      </c>
      <c r="E7" s="35">
        <f>IF(SUM('Monthly Avg Balance'!E7:'Monthly Avg Balance'!G7)=0,"",'Monthly Avg Balance'!E7*Rate!C7/12+('Net Interest Income'!C7-SUM('Monthly Avg Balance'!E7:'Monthly Avg Balance'!G7)*Rate!C7/12)*'Monthly Avg Balance'!E7/SUM('Monthly Avg Balance'!E7:'Monthly Avg Balance'!G7))</f>
        <v>500.86260798437274</v>
      </c>
      <c r="F7" s="35">
        <f>IF(SUM('Monthly Avg Balance'!E7:'Monthly Avg Balance'!G7)=0,"",'Monthly Avg Balance'!F7*Rate!C7/12+('Net Interest Income'!C7-SUM('Monthly Avg Balance'!E7:'Monthly Avg Balance'!G7)*Rate!C7/12)*'Monthly Avg Balance'!F7/SUM('Monthly Avg Balance'!E7:'Monthly Avg Balance'!G7))</f>
        <v>495.33333333333331</v>
      </c>
      <c r="G7" s="35">
        <f>IF(SUM('Monthly Avg Balance'!E7:'Monthly Avg Balance'!G7)=0,"",'Monthly Avg Balance'!G7*Rate!C7/12+('Net Interest Income'!C7-SUM('Monthly Avg Balance'!E7:'Monthly Avg Balance'!G7)*Rate!C7/12)*'Monthly Avg Balance'!G7/SUM('Monthly Avg Balance'!E7:'Monthly Avg Balance'!G7))</f>
        <v>489.80405868229388</v>
      </c>
      <c r="H7" s="35">
        <f>IF(SUM('Monthly Avg Balance'!H7:'Monthly Avg Balance'!J7)=0,"",'Monthly Avg Balance'!H7*Rate!D7/12+('Net Interest Income'!D7-SUM('Monthly Avg Balance'!H7:'Monthly Avg Balance'!J7)*Rate!D7/12)*'Monthly Avg Balance'!H7/SUM('Monthly Avg Balance'!H7:'Monthly Avg Balance'!J7))</f>
        <v>508.98657230992558</v>
      </c>
      <c r="I7" s="35">
        <f>IF(SUM('Monthly Avg Balance'!H7:'Monthly Avg Balance'!J7)=0,"",'Monthly Avg Balance'!I7*Rate!D7/12+('Net Interest Income'!D7-SUM('Monthly Avg Balance'!H7:'Monthly Avg Balance'!J7)*Rate!D7/12)*'Monthly Avg Balance'!I7/SUM('Monthly Avg Balance'!H7:'Monthly Avg Balance'!J7))</f>
        <v>512.33333333333337</v>
      </c>
      <c r="J7" s="35">
        <f>IF(SUM('Monthly Avg Balance'!H7:'Monthly Avg Balance'!J7)=0,"",'Monthly Avg Balance'!J7*Rate!D7/12+('Net Interest Income'!D7-SUM('Monthly Avg Balance'!H7:'Monthly Avg Balance'!J7)*Rate!D7/12)*'Monthly Avg Balance'!J7/SUM('Monthly Avg Balance'!H7:'Monthly Avg Balance'!J7))</f>
        <v>515.68009435674094</v>
      </c>
      <c r="K7" s="35">
        <f>IF(SUM('Monthly Avg Balance'!K7:'Monthly Avg Balance'!M7)=0,"",'Monthly Avg Balance'!K7*Rate!E7/12+('Net Interest Income'!E7-SUM('Monthly Avg Balance'!K7:'Monthly Avg Balance'!M7)*Rate!E7/12)*'Monthly Avg Balance'!K7/SUM('Monthly Avg Balance'!K7:'Monthly Avg Balance'!M7))</f>
        <v>523.74228871615503</v>
      </c>
      <c r="L7" s="35">
        <f>IF(SUM('Monthly Avg Balance'!K7:'Monthly Avg Balance'!M7)=0,"",'Monthly Avg Balance'!L7*Rate!E7/12+('Net Interest Income'!E7-SUM('Monthly Avg Balance'!K7:'Monthly Avg Balance'!M7)*Rate!E7/12)*'Monthly Avg Balance'!L7/SUM('Monthly Avg Balance'!K7:'Monthly Avg Balance'!M7))</f>
        <v>513.09108429028493</v>
      </c>
      <c r="M7" s="35">
        <f>IF(SUM('Monthly Avg Balance'!K7:'Monthly Avg Balance'!M7)=0,"",'Monthly Avg Balance'!M7*Rate!E7/12+('Net Interest Income'!E7-SUM('Monthly Avg Balance'!K7:'Monthly Avg Balance'!M7)*Rate!E7/12)*'Monthly Avg Balance'!M7/SUM('Monthly Avg Balance'!K7:'Monthly Avg Balance'!M7))</f>
        <v>520.16662699356039</v>
      </c>
      <c r="N7" s="35">
        <f>IF(SUM('Monthly Avg Balance'!N7:'Monthly Avg Balance'!P7)=0,"",'Monthly Avg Balance'!N7*Rate!F7/12+('Net Interest Income'!F7-SUM('Monthly Avg Balance'!N7:'Monthly Avg Balance'!P7)*Rate!F7/12)*'Monthly Avg Balance'!N7/SUM('Monthly Avg Balance'!N7:'Monthly Avg Balance'!P7))</f>
        <v>528.54371915350316</v>
      </c>
      <c r="O7" s="35">
        <f>IF(SUM('Monthly Avg Balance'!N7:'Monthly Avg Balance'!P7)=0,"",'Monthly Avg Balance'!O7*Rate!F7/12+('Net Interest Income'!F7-SUM('Monthly Avg Balance'!N7:'Monthly Avg Balance'!P7)*Rate!F7/12)*'Monthly Avg Balance'!O7/SUM('Monthly Avg Balance'!N7:'Monthly Avg Balance'!P7))</f>
        <v>516.82801736662293</v>
      </c>
      <c r="P7" s="35">
        <f>IF(SUM('Monthly Avg Balance'!N7:'Monthly Avg Balance'!P7)=0,"",'Monthly Avg Balance'!P7*Rate!F7/12+('Net Interest Income'!F7-SUM('Monthly Avg Balance'!N7:'Monthly Avg Balance'!P7)*Rate!F7/12)*'Monthly Avg Balance'!P7/SUM('Monthly Avg Balance'!N7:'Monthly Avg Balance'!P7))</f>
        <v>518.62826347987391</v>
      </c>
      <c r="Q7" s="35">
        <f>IF(SUM('Monthly Avg Balance'!Q7:'Monthly Avg Balance'!S7)=0,"",'Monthly Avg Balance'!Q7*Rate!G7/12+('Net Interest Income'!G7-SUM('Monthly Avg Balance'!Q7:'Monthly Avg Balance'!S7)*Rate!G7/12)*'Monthly Avg Balance'!Q7/SUM('Monthly Avg Balance'!Q7:'Monthly Avg Balance'!S7))</f>
        <v>534.93224004933791</v>
      </c>
      <c r="R7" s="35">
        <f>IF(SUM('Monthly Avg Balance'!Q7:'Monthly Avg Balance'!S7)=0,"",'Monthly Avg Balance'!R7*Rate!G7/12+('Net Interest Income'!G7-SUM('Monthly Avg Balance'!Q7:'Monthly Avg Balance'!S7)*Rate!G7/12)*'Monthly Avg Balance'!R7/SUM('Monthly Avg Balance'!Q7:'Monthly Avg Balance'!S7))</f>
        <v>536.59211514803383</v>
      </c>
      <c r="S7" s="35">
        <f>IF(SUM('Monthly Avg Balance'!Q7:'Monthly Avg Balance'!S7)=0,"",'Monthly Avg Balance'!S7*Rate!G7/12+('Net Interest Income'!G7-SUM('Monthly Avg Balance'!Q7:'Monthly Avg Balance'!S7)*Rate!G7/12)*'Monthly Avg Balance'!S7/SUM('Monthly Avg Balance'!Q7:'Monthly Avg Balance'!S7))</f>
        <v>539.47564480262827</v>
      </c>
      <c r="T7" s="35">
        <f>IF(SUM('Monthly Avg Balance'!T7:'Monthly Avg Balance'!V7)=0,"",'Monthly Avg Balance'!T7*Rate!H7/12+('Net Interest Income'!H7-SUM('Monthly Avg Balance'!T7:'Monthly Avg Balance'!V7)*Rate!H7/12)*'Monthly Avg Balance'!T7/SUM('Monthly Avg Balance'!T7:'Monthly Avg Balance'!V7))</f>
        <v>562.69032464696261</v>
      </c>
      <c r="U7" s="35">
        <f>IF(SUM('Monthly Avg Balance'!T7:'Monthly Avg Balance'!V7)=0,"",'Monthly Avg Balance'!U7*Rate!H7/12+('Net Interest Income'!H7-SUM('Monthly Avg Balance'!T7:'Monthly Avg Balance'!V7)*Rate!H7/12)*'Monthly Avg Balance'!U7/SUM('Monthly Avg Balance'!T7:'Monthly Avg Balance'!V7))</f>
        <v>563.67100724925388</v>
      </c>
      <c r="V7" s="35">
        <f>IF(SUM('Monthly Avg Balance'!T7:'Monthly Avg Balance'!V7)=0,"",'Monthly Avg Balance'!V7*Rate!H7/12+('Net Interest Income'!H7-SUM('Monthly Avg Balance'!T7:'Monthly Avg Balance'!V7)*Rate!H7/12)*'Monthly Avg Balance'!V7/SUM('Monthly Avg Balance'!T7:'Monthly Avg Balance'!V7))</f>
        <v>565.6386681037834</v>
      </c>
      <c r="W7" s="35">
        <f>IF(SUM('Monthly Avg Balance'!W7:'Monthly Avg Balance'!Y7)=0,"",'Monthly Avg Balance'!W7*Rate!I7/12+('Net Interest Income'!I7-SUM('Monthly Avg Balance'!W7:'Monthly Avg Balance'!Y7)*Rate!I7/12)*'Monthly Avg Balance'!W7/SUM('Monthly Avg Balance'!W7:'Monthly Avg Balance'!Y7))</f>
        <v>577.42780439305795</v>
      </c>
      <c r="X7" s="35">
        <f>IF(SUM('Monthly Avg Balance'!W7:'Monthly Avg Balance'!Y7)=0,"",'Monthly Avg Balance'!X7*Rate!I7/12+('Net Interest Income'!I7-SUM('Monthly Avg Balance'!W7:'Monthly Avg Balance'!Y7)*Rate!I7/12)*'Monthly Avg Balance'!X7/SUM('Monthly Avg Balance'!W7:'Monthly Avg Balance'!Y7))</f>
        <v>580.06477453084665</v>
      </c>
      <c r="Y7" s="35">
        <f>IF(SUM('Monthly Avg Balance'!W7:'Monthly Avg Balance'!Y7)=0,"",'Monthly Avg Balance'!Y7*Rate!I7/12+('Net Interest Income'!I7-SUM('Monthly Avg Balance'!W7:'Monthly Avg Balance'!Y7)*Rate!I7/12)*'Monthly Avg Balance'!Y7/SUM('Monthly Avg Balance'!W7:'Monthly Avg Balance'!Y7))</f>
        <v>587.50742107609551</v>
      </c>
      <c r="Z7" s="35">
        <f>IF(SUM('Monthly Avg Balance'!Z7:'Monthly Avg Balance'!AB7)=0,"",'Monthly Avg Balance'!Z7*Rate!J7/12+('Net Interest Income'!J7-SUM('Monthly Avg Balance'!Z7:'Monthly Avg Balance'!AB7)*Rate!J7/12)*'Monthly Avg Balance'!Z7/SUM('Monthly Avg Balance'!Z7:'Monthly Avg Balance'!AB7))</f>
        <v>591.01890032365316</v>
      </c>
      <c r="AA7" s="35">
        <f>IF(SUM('Monthly Avg Balance'!Z7:'Monthly Avg Balance'!AB7)=0,"",'Monthly Avg Balance'!AA7*Rate!J7/12+('Net Interest Income'!J7-SUM('Monthly Avg Balance'!Z7:'Monthly Avg Balance'!AB7)*Rate!J7/12)*'Monthly Avg Balance'!AA7/SUM('Monthly Avg Balance'!Z7:'Monthly Avg Balance'!AB7))</f>
        <v>590.31482460913492</v>
      </c>
      <c r="AB7" s="35">
        <f>IF(SUM('Monthly Avg Balance'!Z7:'Monthly Avg Balance'!AB7)=0,"",'Monthly Avg Balance'!AB7*Rate!J7/12+('Net Interest Income'!J7-SUM('Monthly Avg Balance'!Z7:'Monthly Avg Balance'!AB7)*Rate!J7/12)*'Monthly Avg Balance'!AB7/SUM('Monthly Avg Balance'!Z7:'Monthly Avg Balance'!AB7))</f>
        <v>591.66627506721204</v>
      </c>
      <c r="AC7" s="35">
        <f>IF(SUM('Monthly Avg Balance'!AC7:'Monthly Avg Balance'!AE7)=0,"",'Monthly Avg Balance'!AC7*Rate!K7/12+('Net Interest Income'!K7-SUM('Monthly Avg Balance'!AC7:'Monthly Avg Balance'!AE7)*Rate!K7/12)*'Monthly Avg Balance'!AC7/SUM('Monthly Avg Balance'!AC7:'Monthly Avg Balance'!AE7))</f>
        <v>597.72344819789816</v>
      </c>
      <c r="AD7" s="35">
        <f>IF(SUM('Monthly Avg Balance'!AC7:'Monthly Avg Balance'!AE7)=0,"",'Monthly Avg Balance'!AD7*Rate!K7/12+('Net Interest Income'!K7-SUM('Monthly Avg Balance'!AC7:'Monthly Avg Balance'!AE7)*Rate!K7/12)*'Monthly Avg Balance'!AD7/SUM('Monthly Avg Balance'!AC7:'Monthly Avg Balance'!AE7))</f>
        <v>590.07328054802474</v>
      </c>
      <c r="AE7" s="35">
        <f>IF(SUM('Monthly Avg Balance'!AC7:'Monthly Avg Balance'!AE7)=0,"",'Monthly Avg Balance'!AE7*Rate!K7/12+('Net Interest Income'!K7-SUM('Monthly Avg Balance'!AC7:'Monthly Avg Balance'!AE7)*Rate!K7/12)*'Monthly Avg Balance'!AE7/SUM('Monthly Avg Balance'!AC7:'Monthly Avg Balance'!AE7))</f>
        <v>673.20327125407698</v>
      </c>
      <c r="AF7" s="70">
        <f>'Monthly Avg Balance'!AF7*'Monthly Rate'!AF7/12</f>
        <v>737.26881892029132</v>
      </c>
      <c r="AG7" s="70">
        <f>'Monthly Avg Balance'!AG7*'Monthly Rate'!AG7/12</f>
        <v>737.00897769494304</v>
      </c>
      <c r="AH7" s="70">
        <f>'Monthly Avg Balance'!AH7*'Monthly Rate'!AH7/12</f>
        <v>736.74918226463433</v>
      </c>
      <c r="AI7" s="70">
        <f>'Monthly Avg Balance'!AI7*'Monthly Rate'!AI7/12</f>
        <v>736.4894326293653</v>
      </c>
      <c r="AJ7" s="70">
        <f>'Monthly Avg Balance'!AJ7*'Monthly Rate'!AJ7/12</f>
        <v>736.22972878913561</v>
      </c>
      <c r="AK7" s="70">
        <f>'Monthly Avg Balance'!AK7*'Monthly Rate'!AK7/12</f>
        <v>735.97007074394548</v>
      </c>
      <c r="AL7" s="70">
        <f>'Monthly Avg Balance'!AL7*'Monthly Rate'!AL7/12</f>
        <v>735.71045849379504</v>
      </c>
      <c r="AM7" s="70">
        <f>'Monthly Avg Balance'!AM7*'Monthly Rate'!AM7/12</f>
        <v>735.45089203868417</v>
      </c>
      <c r="AN7" s="70">
        <f>'Monthly Avg Balance'!AN7*'Monthly Rate'!AN7/12</f>
        <v>735.19137137861264</v>
      </c>
      <c r="AO7" s="70">
        <f>'Monthly Avg Balance'!AO7*'Monthly Rate'!AO7/12</f>
        <v>734.93189651358068</v>
      </c>
      <c r="AP7" s="70">
        <f>'Monthly Avg Balance'!AP7*'Monthly Rate'!AP7/12</f>
        <v>734.67246744358829</v>
      </c>
      <c r="AQ7" s="70">
        <f>'Monthly Avg Balance'!AQ7*'Monthly Rate'!AQ7/12</f>
        <v>734.41308416863546</v>
      </c>
    </row>
    <row r="8" spans="1:43" x14ac:dyDescent="0.2">
      <c r="A8" s="19" t="s">
        <v>82</v>
      </c>
      <c r="B8" s="35">
        <f>IF(SUM('Monthly Avg Balance'!B8:'Monthly Avg Balance'!D8)=0,"",'Monthly Avg Balance'!B8*Rate!B8/12+('Net Interest Income'!B8-SUM('Monthly Avg Balance'!B8:'Monthly Avg Balance'!D8)*Rate!B8/12)*'Monthly Avg Balance'!B8/SUM('Monthly Avg Balance'!B8:'Monthly Avg Balance'!D8))</f>
        <v>495.99999999999994</v>
      </c>
      <c r="C8" s="35">
        <f>IF(SUM('Monthly Avg Balance'!B8:'Monthly Avg Balance'!D8)=0,"",'Monthly Avg Balance'!C8*Rate!B8/12+('Net Interest Income'!B8-SUM('Monthly Avg Balance'!B8:'Monthly Avg Balance'!D8)*Rate!B8/12)*'Monthly Avg Balance'!C8/SUM('Monthly Avg Balance'!B8:'Monthly Avg Balance'!D8))</f>
        <v>495.99999999999994</v>
      </c>
      <c r="D8" s="35">
        <f>IF(SUM('Monthly Avg Balance'!B8:'Monthly Avg Balance'!D8)=0,"",'Monthly Avg Balance'!D8*Rate!B8/12+('Net Interest Income'!B8-SUM('Monthly Avg Balance'!B8:'Monthly Avg Balance'!D8)*Rate!B8/12)*'Monthly Avg Balance'!D8/SUM('Monthly Avg Balance'!B8:'Monthly Avg Balance'!D8))</f>
        <v>495.99999999999994</v>
      </c>
      <c r="E8" s="35">
        <f>IF(SUM('Monthly Avg Balance'!E8:'Monthly Avg Balance'!G8)=0,"",'Monthly Avg Balance'!E8*Rate!C8/12+('Net Interest Income'!C8-SUM('Monthly Avg Balance'!E8:'Monthly Avg Balance'!G8)*Rate!C8/12)*'Monthly Avg Balance'!E8/SUM('Monthly Avg Balance'!E8:'Monthly Avg Balance'!G8))</f>
        <v>528.80608285811013</v>
      </c>
      <c r="F8" s="35">
        <f>IF(SUM('Monthly Avg Balance'!E8:'Monthly Avg Balance'!G8)=0,"",'Monthly Avg Balance'!F8*Rate!C8/12+('Net Interest Income'!C8-SUM('Monthly Avg Balance'!E8:'Monthly Avg Balance'!G8)*Rate!C8/12)*'Monthly Avg Balance'!F8/SUM('Monthly Avg Balance'!E8:'Monthly Avg Balance'!G8))</f>
        <v>526.66666666666663</v>
      </c>
      <c r="G8" s="35">
        <f>IF(SUM('Monthly Avg Balance'!E8:'Monthly Avg Balance'!G8)=0,"",'Monthly Avg Balance'!G8*Rate!C8/12+('Net Interest Income'!C8-SUM('Monthly Avg Balance'!E8:'Monthly Avg Balance'!G8)*Rate!C8/12)*'Monthly Avg Balance'!G8/SUM('Monthly Avg Balance'!E8:'Monthly Avg Balance'!G8))</f>
        <v>524.52725047522324</v>
      </c>
      <c r="H8" s="35">
        <f>IF(SUM('Monthly Avg Balance'!H8:'Monthly Avg Balance'!J8)=0,"",'Monthly Avg Balance'!H8*Rate!D8/12+('Net Interest Income'!D8-SUM('Monthly Avg Balance'!H8:'Monthly Avg Balance'!J8)*Rate!D8/12)*'Monthly Avg Balance'!H8/SUM('Monthly Avg Balance'!H8:'Monthly Avg Balance'!J8))</f>
        <v>551.47844959447707</v>
      </c>
      <c r="I8" s="35">
        <f>IF(SUM('Monthly Avg Balance'!H8:'Monthly Avg Balance'!J8)=0,"",'Monthly Avg Balance'!I8*Rate!D8/12+('Net Interest Income'!D8-SUM('Monthly Avg Balance'!H8:'Monthly Avg Balance'!J8)*Rate!D8/12)*'Monthly Avg Balance'!I8/SUM('Monthly Avg Balance'!H8:'Monthly Avg Balance'!J8))</f>
        <v>547.33333333333337</v>
      </c>
      <c r="J8" s="35">
        <f>IF(SUM('Monthly Avg Balance'!H8:'Monthly Avg Balance'!J8)=0,"",'Monthly Avg Balance'!J8*Rate!D8/12+('Net Interest Income'!D8-SUM('Monthly Avg Balance'!H8:'Monthly Avg Balance'!J8)*Rate!D8/12)*'Monthly Avg Balance'!J8/SUM('Monthly Avg Balance'!H8:'Monthly Avg Balance'!J8))</f>
        <v>543.18821707218967</v>
      </c>
      <c r="K8" s="35">
        <f>IF(SUM('Monthly Avg Balance'!K8:'Monthly Avg Balance'!M8)=0,"",'Monthly Avg Balance'!K8*Rate!E8/12+('Net Interest Income'!E8-SUM('Monthly Avg Balance'!K8:'Monthly Avg Balance'!M8)*Rate!E8/12)*'Monthly Avg Balance'!K8/SUM('Monthly Avg Balance'!K8:'Monthly Avg Balance'!M8))</f>
        <v>549.37007693814041</v>
      </c>
      <c r="L8" s="35">
        <f>IF(SUM('Monthly Avg Balance'!K8:'Monthly Avg Balance'!M8)=0,"",'Monthly Avg Balance'!L8*Rate!E8/12+('Net Interest Income'!E8-SUM('Monthly Avg Balance'!K8:'Monthly Avg Balance'!M8)*Rate!E8/12)*'Monthly Avg Balance'!L8/SUM('Monthly Avg Balance'!K8:'Monthly Avg Balance'!M8))</f>
        <v>549.18155382787597</v>
      </c>
      <c r="M8" s="35">
        <f>IF(SUM('Monthly Avg Balance'!K8:'Monthly Avg Balance'!M8)=0,"",'Monthly Avg Balance'!M8*Rate!E8/12+('Net Interest Income'!E8-SUM('Monthly Avg Balance'!K8:'Monthly Avg Balance'!M8)*Rate!E8/12)*'Monthly Avg Balance'!M8/SUM('Monthly Avg Balance'!K8:'Monthly Avg Balance'!M8))</f>
        <v>554.44836923398373</v>
      </c>
      <c r="N8" s="35">
        <f>IF(SUM('Monthly Avg Balance'!N8:'Monthly Avg Balance'!P8)=0,"",'Monthly Avg Balance'!N8*Rate!F8/12+('Net Interest Income'!F8-SUM('Monthly Avg Balance'!N8:'Monthly Avg Balance'!P8)*Rate!F8/12)*'Monthly Avg Balance'!N8/SUM('Monthly Avg Balance'!N8:'Monthly Avg Balance'!P8))</f>
        <v>543.54551882120563</v>
      </c>
      <c r="O8" s="35">
        <f>IF(SUM('Monthly Avg Balance'!N8:'Monthly Avg Balance'!P8)=0,"",'Monthly Avg Balance'!O8*Rate!F8/12+('Net Interest Income'!F8-SUM('Monthly Avg Balance'!N8:'Monthly Avg Balance'!P8)*Rate!F8/12)*'Monthly Avg Balance'!O8/SUM('Monthly Avg Balance'!N8:'Monthly Avg Balance'!P8))</f>
        <v>533.50250667145758</v>
      </c>
      <c r="P8" s="35">
        <f>IF(SUM('Monthly Avg Balance'!N8:'Monthly Avg Balance'!P8)=0,"",'Monthly Avg Balance'!P8*Rate!F8/12+('Net Interest Income'!F8-SUM('Monthly Avg Balance'!N8:'Monthly Avg Balance'!P8)*Rate!F8/12)*'Monthly Avg Balance'!P8/SUM('Monthly Avg Balance'!N8:'Monthly Avg Balance'!P8))</f>
        <v>534.95197450733713</v>
      </c>
      <c r="Q8" s="35">
        <f>IF(SUM('Monthly Avg Balance'!Q8:'Monthly Avg Balance'!S8)=0,"",'Monthly Avg Balance'!Q8*Rate!G8/12+('Net Interest Income'!G8-SUM('Monthly Avg Balance'!Q8:'Monthly Avg Balance'!S8)*Rate!G8/12)*'Monthly Avg Balance'!Q8/SUM('Monthly Avg Balance'!Q8:'Monthly Avg Balance'!S8))</f>
        <v>540.20847477605071</v>
      </c>
      <c r="R8" s="35">
        <f>IF(SUM('Monthly Avg Balance'!Q8:'Monthly Avg Balance'!S8)=0,"",'Monthly Avg Balance'!R8*Rate!G8/12+('Net Interest Income'!G8-SUM('Monthly Avg Balance'!Q8:'Monthly Avg Balance'!S8)*Rate!G8/12)*'Monthly Avg Balance'!R8/SUM('Monthly Avg Balance'!Q8:'Monthly Avg Balance'!S8))</f>
        <v>535.84284393658766</v>
      </c>
      <c r="S8" s="35">
        <f>IF(SUM('Monthly Avg Balance'!Q8:'Monthly Avg Balance'!S8)=0,"",'Monthly Avg Balance'!S8*Rate!G8/12+('Net Interest Income'!G8-SUM('Monthly Avg Balance'!Q8:'Monthly Avg Balance'!S8)*Rate!G8/12)*'Monthly Avg Balance'!S8/SUM('Monthly Avg Balance'!Q8:'Monthly Avg Balance'!S8))</f>
        <v>539.94868128736164</v>
      </c>
      <c r="T8" s="35">
        <f>IF(SUM('Monthly Avg Balance'!T8:'Monthly Avg Balance'!V8)=0,"",'Monthly Avg Balance'!T8*Rate!H8/12+('Net Interest Income'!H8-SUM('Monthly Avg Balance'!T8:'Monthly Avg Balance'!V8)*Rate!H8/12)*'Monthly Avg Balance'!T8/SUM('Monthly Avg Balance'!T8:'Monthly Avg Balance'!V8))</f>
        <v>538.90364199370561</v>
      </c>
      <c r="U8" s="35">
        <f>IF(SUM('Monthly Avg Balance'!T8:'Monthly Avg Balance'!V8)=0,"",'Monthly Avg Balance'!U8*Rate!H8/12+('Net Interest Income'!H8-SUM('Monthly Avg Balance'!T8:'Monthly Avg Balance'!V8)*Rate!H8/12)*'Monthly Avg Balance'!U8/SUM('Monthly Avg Balance'!T8:'Monthly Avg Balance'!V8))</f>
        <v>529.0332879007824</v>
      </c>
      <c r="V8" s="35">
        <f>IF(SUM('Monthly Avg Balance'!T8:'Monthly Avg Balance'!V8)=0,"",'Monthly Avg Balance'!V8*Rate!H8/12+('Net Interest Income'!H8-SUM('Monthly Avg Balance'!T8:'Monthly Avg Balance'!V8)*Rate!H8/12)*'Monthly Avg Balance'!V8/SUM('Monthly Avg Balance'!T8:'Monthly Avg Balance'!V8))</f>
        <v>533.06307010551154</v>
      </c>
      <c r="W8" s="35">
        <f>IF(SUM('Monthly Avg Balance'!W8:'Monthly Avg Balance'!Y8)=0,"",'Monthly Avg Balance'!W8*Rate!I8/12+('Net Interest Income'!I8-SUM('Monthly Avg Balance'!W8:'Monthly Avg Balance'!Y8)*Rate!I8/12)*'Monthly Avg Balance'!W8/SUM('Monthly Avg Balance'!W8:'Monthly Avg Balance'!Y8))</f>
        <v>492.42391127961707</v>
      </c>
      <c r="X8" s="35">
        <f>IF(SUM('Monthly Avg Balance'!W8:'Monthly Avg Balance'!Y8)=0,"",'Monthly Avg Balance'!X8*Rate!I8/12+('Net Interest Income'!I8-SUM('Monthly Avg Balance'!W8:'Monthly Avg Balance'!Y8)*Rate!I8/12)*'Monthly Avg Balance'!X8/SUM('Monthly Avg Balance'!W8:'Monthly Avg Balance'!Y8))</f>
        <v>485.74652108655175</v>
      </c>
      <c r="Y8" s="35">
        <f>IF(SUM('Monthly Avg Balance'!W8:'Monthly Avg Balance'!Y8)=0,"",'Monthly Avg Balance'!Y8*Rate!I8/12+('Net Interest Income'!I8-SUM('Monthly Avg Balance'!W8:'Monthly Avg Balance'!Y8)*Rate!I8/12)*'Monthly Avg Balance'!Y8/SUM('Monthly Avg Balance'!W8:'Monthly Avg Balance'!Y8))</f>
        <v>493.82956763383118</v>
      </c>
      <c r="Z8" s="35">
        <f>IF(SUM('Monthly Avg Balance'!Z8:'Monthly Avg Balance'!AB8)=0,"",'Monthly Avg Balance'!Z8*Rate!J8/12+('Net Interest Income'!J8-SUM('Monthly Avg Balance'!Z8:'Monthly Avg Balance'!AB8)*Rate!J8/12)*'Monthly Avg Balance'!Z8/SUM('Monthly Avg Balance'!Z8:'Monthly Avg Balance'!AB8))</f>
        <v>463.8538289447215</v>
      </c>
      <c r="AA8" s="35">
        <f>IF(SUM('Monthly Avg Balance'!Z8:'Monthly Avg Balance'!AB8)=0,"",'Monthly Avg Balance'!AA8*Rate!J8/12+('Net Interest Income'!J8-SUM('Monthly Avg Balance'!Z8:'Monthly Avg Balance'!AB8)*Rate!J8/12)*'Monthly Avg Balance'!AA8/SUM('Monthly Avg Balance'!Z8:'Monthly Avg Balance'!AB8))</f>
        <v>458.01643633412709</v>
      </c>
      <c r="AB8" s="35">
        <f>IF(SUM('Monthly Avg Balance'!Z8:'Monthly Avg Balance'!AB8)=0,"",'Monthly Avg Balance'!AB8*Rate!J8/12+('Net Interest Income'!J8-SUM('Monthly Avg Balance'!Z8:'Monthly Avg Balance'!AB8)*Rate!J8/12)*'Monthly Avg Balance'!AB8/SUM('Monthly Avg Balance'!Z8:'Monthly Avg Balance'!AB8))</f>
        <v>460.12973472115129</v>
      </c>
      <c r="AC8" s="35">
        <f>IF(SUM('Monthly Avg Balance'!AC8:'Monthly Avg Balance'!AE8)=0,"",'Monthly Avg Balance'!AC8*Rate!K8/12+('Net Interest Income'!K8-SUM('Monthly Avg Balance'!AC8:'Monthly Avg Balance'!AE8)*Rate!K8/12)*'Monthly Avg Balance'!AC8/SUM('Monthly Avg Balance'!AC8:'Monthly Avg Balance'!AE8))</f>
        <v>458.90989538554174</v>
      </c>
      <c r="AD8" s="35">
        <f>IF(SUM('Monthly Avg Balance'!AC8:'Monthly Avg Balance'!AE8)=0,"",'Monthly Avg Balance'!AD8*Rate!K8/12+('Net Interest Income'!K8-SUM('Monthly Avg Balance'!AC8:'Monthly Avg Balance'!AE8)*Rate!K8/12)*'Monthly Avg Balance'!AD8/SUM('Monthly Avg Balance'!AC8:'Monthly Avg Balance'!AE8))</f>
        <v>448.82761995056768</v>
      </c>
      <c r="AE8" s="35">
        <f>IF(SUM('Monthly Avg Balance'!AC8:'Monthly Avg Balance'!AE8)=0,"",'Monthly Avg Balance'!AE8*Rate!K8/12+('Net Interest Income'!K8-SUM('Monthly Avg Balance'!AC8:'Monthly Avg Balance'!AE8)*Rate!K8/12)*'Monthly Avg Balance'!AE8/SUM('Monthly Avg Balance'!AC8:'Monthly Avg Balance'!AE8))</f>
        <v>513.26248466389063</v>
      </c>
      <c r="AF8" s="70">
        <f>'Monthly Avg Balance'!AF8*'Monthly Rate'!AF8/12</f>
        <v>562.0113576299135</v>
      </c>
      <c r="AG8" s="70">
        <f>'Monthly Avg Balance'!AG8*'Monthly Rate'!AG8/12</f>
        <v>559.96083589426121</v>
      </c>
      <c r="AH8" s="70">
        <f>'Monthly Avg Balance'!AH8*'Monthly Rate'!AH8/12</f>
        <v>557.90958302472666</v>
      </c>
      <c r="AI8" s="70">
        <f>'Monthly Avg Balance'!AI8*'Monthly Rate'!AI8/12</f>
        <v>555.85759902130985</v>
      </c>
      <c r="AJ8" s="70">
        <f>'Monthly Avg Balance'!AJ8*'Monthly Rate'!AJ8/12</f>
        <v>553.80488388401091</v>
      </c>
      <c r="AK8" s="70">
        <f>'Monthly Avg Balance'!AK8*'Monthly Rate'!AK8/12</f>
        <v>551.7514376128297</v>
      </c>
      <c r="AL8" s="70">
        <f>'Monthly Avg Balance'!AL8*'Monthly Rate'!AL8/12</f>
        <v>549.69726020776625</v>
      </c>
      <c r="AM8" s="70">
        <f>'Monthly Avg Balance'!AM8*'Monthly Rate'!AM8/12</f>
        <v>547.64235166882042</v>
      </c>
      <c r="AN8" s="70">
        <f>'Monthly Avg Balance'!AN8*'Monthly Rate'!AN8/12</f>
        <v>545.58671199599246</v>
      </c>
      <c r="AO8" s="70">
        <f>'Monthly Avg Balance'!AO8*'Monthly Rate'!AO8/12</f>
        <v>543.53034118928235</v>
      </c>
      <c r="AP8" s="70">
        <f>'Monthly Avg Balance'!AP8*'Monthly Rate'!AP8/12</f>
        <v>541.47323924868999</v>
      </c>
      <c r="AQ8" s="70">
        <f>'Monthly Avg Balance'!AQ8*'Monthly Rate'!AQ8/12</f>
        <v>539.41540617421515</v>
      </c>
    </row>
    <row r="9" spans="1:43" x14ac:dyDescent="0.2">
      <c r="A9" s="22" t="s">
        <v>83</v>
      </c>
      <c r="B9" s="37">
        <f>IF(SUM('Monthly Avg Balance'!B9:'Monthly Avg Balance'!D9)=0,"",'Monthly Avg Balance'!B9*Rate!B9/12+('Net Interest Income'!B9-SUM('Monthly Avg Balance'!B9:'Monthly Avg Balance'!D9)*Rate!B9/12)*'Monthly Avg Balance'!B9/SUM('Monthly Avg Balance'!B9:'Monthly Avg Balance'!D9))</f>
        <v>2907.6666666666665</v>
      </c>
      <c r="C9" s="37">
        <f>IF(SUM('Monthly Avg Balance'!B9:'Monthly Avg Balance'!D9)=0,"",'Monthly Avg Balance'!C9*Rate!B9/12+('Net Interest Income'!B9-SUM('Monthly Avg Balance'!B9:'Monthly Avg Balance'!D9)*Rate!B9/12)*'Monthly Avg Balance'!C9/SUM('Monthly Avg Balance'!B9:'Monthly Avg Balance'!D9))</f>
        <v>2907.6666666666665</v>
      </c>
      <c r="D9" s="37">
        <f>IF(SUM('Monthly Avg Balance'!B9:'Monthly Avg Balance'!D9)=0,"",'Monthly Avg Balance'!D9*Rate!B9/12+('Net Interest Income'!B9-SUM('Monthly Avg Balance'!B9:'Monthly Avg Balance'!D9)*Rate!B9/12)*'Monthly Avg Balance'!D9/SUM('Monthly Avg Balance'!B9:'Monthly Avg Balance'!D9))</f>
        <v>2907.6666666666665</v>
      </c>
      <c r="E9" s="37">
        <f>IF(SUM('Monthly Avg Balance'!E9:'Monthly Avg Balance'!G9)=0,"",'Monthly Avg Balance'!E9*Rate!C9/12+('Net Interest Income'!C9-SUM('Monthly Avg Balance'!E9:'Monthly Avg Balance'!G9)*Rate!C9/12)*'Monthly Avg Balance'!E9/SUM('Monthly Avg Balance'!E9:'Monthly Avg Balance'!G9))</f>
        <v>3004.6022685162807</v>
      </c>
      <c r="F9" s="37">
        <f>IF(SUM('Monthly Avg Balance'!E9:'Monthly Avg Balance'!G9)=0,"",'Monthly Avg Balance'!F9*Rate!C9/12+('Net Interest Income'!C9-SUM('Monthly Avg Balance'!E9:'Monthly Avg Balance'!G9)*Rate!C9/12)*'Monthly Avg Balance'!F9/SUM('Monthly Avg Balance'!E9:'Monthly Avg Balance'!G9))</f>
        <v>3019</v>
      </c>
      <c r="G9" s="37">
        <f>IF(SUM('Monthly Avg Balance'!E9:'Monthly Avg Balance'!G9)=0,"",'Monthly Avg Balance'!G9*Rate!C9/12+('Net Interest Income'!C9-SUM('Monthly Avg Balance'!E9:'Monthly Avg Balance'!G9)*Rate!C9/12)*'Monthly Avg Balance'!G9/SUM('Monthly Avg Balance'!E9:'Monthly Avg Balance'!G9))</f>
        <v>3033.3977314837189</v>
      </c>
      <c r="H9" s="37">
        <f>IF(SUM('Monthly Avg Balance'!H9:'Monthly Avg Balance'!J9)=0,"",'Monthly Avg Balance'!H9*Rate!D9/12+('Net Interest Income'!D9-SUM('Monthly Avg Balance'!H9:'Monthly Avg Balance'!J9)*Rate!D9/12)*'Monthly Avg Balance'!H9/SUM('Monthly Avg Balance'!H9:'Monthly Avg Balance'!J9))</f>
        <v>3225.7723416948206</v>
      </c>
      <c r="I9" s="37">
        <f>IF(SUM('Monthly Avg Balance'!H9:'Monthly Avg Balance'!J9)=0,"",'Monthly Avg Balance'!I9*Rate!D9/12+('Net Interest Income'!D9-SUM('Monthly Avg Balance'!H9:'Monthly Avg Balance'!J9)*Rate!D9/12)*'Monthly Avg Balance'!I9/SUM('Monthly Avg Balance'!H9:'Monthly Avg Balance'!J9))</f>
        <v>3232.0000000000009</v>
      </c>
      <c r="J9" s="37">
        <f>IF(SUM('Monthly Avg Balance'!H9:'Monthly Avg Balance'!J9)=0,"",'Monthly Avg Balance'!J9*Rate!D9/12+('Net Interest Income'!D9-SUM('Monthly Avg Balance'!H9:'Monthly Avg Balance'!J9)*Rate!D9/12)*'Monthly Avg Balance'!J9/SUM('Monthly Avg Balance'!H9:'Monthly Avg Balance'!J9))</f>
        <v>3238.2276583051803</v>
      </c>
      <c r="K9" s="37">
        <f>IF(SUM('Monthly Avg Balance'!K9:'Monthly Avg Balance'!M9)=0,"",'Monthly Avg Balance'!K9*Rate!E9/12+('Net Interest Income'!E9-SUM('Monthly Avg Balance'!K9:'Monthly Avg Balance'!M9)*Rate!E9/12)*'Monthly Avg Balance'!K9/SUM('Monthly Avg Balance'!K9:'Monthly Avg Balance'!M9))</f>
        <v>3292.4777324481324</v>
      </c>
      <c r="L9" s="37">
        <f>IF(SUM('Monthly Avg Balance'!K9:'Monthly Avg Balance'!M9)=0,"",'Monthly Avg Balance'!L9*Rate!E9/12+('Net Interest Income'!E9-SUM('Monthly Avg Balance'!K9:'Monthly Avg Balance'!M9)*Rate!E9/12)*'Monthly Avg Balance'!L9/SUM('Monthly Avg Balance'!K9:'Monthly Avg Balance'!M9))</f>
        <v>3306.4611841727628</v>
      </c>
      <c r="M9" s="37">
        <f>IF(SUM('Monthly Avg Balance'!K9:'Monthly Avg Balance'!M9)=0,"",'Monthly Avg Balance'!M9*Rate!E9/12+('Net Interest Income'!E9-SUM('Monthly Avg Balance'!K9:'Monthly Avg Balance'!M9)*Rate!E9/12)*'Monthly Avg Balance'!M9/SUM('Monthly Avg Balance'!K9:'Monthly Avg Balance'!M9))</f>
        <v>3335.0610833791043</v>
      </c>
      <c r="N9" s="37">
        <f>IF(SUM('Monthly Avg Balance'!N9:'Monthly Avg Balance'!P9)=0,"",'Monthly Avg Balance'!N9*Rate!F9/12+('Net Interest Income'!F9-SUM('Monthly Avg Balance'!N9:'Monthly Avg Balance'!P9)*Rate!F9/12)*'Monthly Avg Balance'!N9/SUM('Monthly Avg Balance'!N9:'Monthly Avg Balance'!P9))</f>
        <v>3333.1637229438152</v>
      </c>
      <c r="O9" s="37">
        <f>IF(SUM('Monthly Avg Balance'!N9:'Monthly Avg Balance'!P9)=0,"",'Monthly Avg Balance'!O9*Rate!F9/12+('Net Interest Income'!F9-SUM('Monthly Avg Balance'!N9:'Monthly Avg Balance'!P9)*Rate!F9/12)*'Monthly Avg Balance'!O9/SUM('Monthly Avg Balance'!N9:'Monthly Avg Balance'!P9))</f>
        <v>3290.9112817238592</v>
      </c>
      <c r="P9" s="37">
        <f>IF(SUM('Monthly Avg Balance'!N9:'Monthly Avg Balance'!P9)=0,"",'Monthly Avg Balance'!P9*Rate!F9/12+('Net Interest Income'!F9-SUM('Monthly Avg Balance'!N9:'Monthly Avg Balance'!P9)*Rate!F9/12)*'Monthly Avg Balance'!P9/SUM('Monthly Avg Balance'!N9:'Monthly Avg Balance'!P9))</f>
        <v>3295.9249953323256</v>
      </c>
      <c r="Q9" s="37">
        <f>IF(SUM('Monthly Avg Balance'!Q9:'Monthly Avg Balance'!S9)=0,"",'Monthly Avg Balance'!Q9*Rate!G9/12+('Net Interest Income'!G9-SUM('Monthly Avg Balance'!Q9:'Monthly Avg Balance'!S9)*Rate!G9/12)*'Monthly Avg Balance'!Q9/SUM('Monthly Avg Balance'!Q9:'Monthly Avg Balance'!S9))</f>
        <v>3323.3113608177287</v>
      </c>
      <c r="R9" s="37">
        <f>IF(SUM('Monthly Avg Balance'!Q9:'Monthly Avg Balance'!S9)=0,"",'Monthly Avg Balance'!R9*Rate!G9/12+('Net Interest Income'!G9-SUM('Monthly Avg Balance'!Q9:'Monthly Avg Balance'!S9)*Rate!G9/12)*'Monthly Avg Balance'!R9/SUM('Monthly Avg Balance'!Q9:'Monthly Avg Balance'!S9))</f>
        <v>3325.0391053662383</v>
      </c>
      <c r="S9" s="37">
        <f>IF(SUM('Monthly Avg Balance'!Q9:'Monthly Avg Balance'!S9)=0,"",'Monthly Avg Balance'!S9*Rate!G9/12+('Net Interest Income'!G9-SUM('Monthly Avg Balance'!Q9:'Monthly Avg Balance'!S9)*Rate!G9/12)*'Monthly Avg Balance'!S9/SUM('Monthly Avg Balance'!Q9:'Monthly Avg Balance'!S9))</f>
        <v>3344.6495338160316</v>
      </c>
      <c r="T9" s="37">
        <f>IF(SUM('Monthly Avg Balance'!T9:'Monthly Avg Balance'!V9)=0,"",'Monthly Avg Balance'!T9*Rate!H9/12+('Net Interest Income'!H9-SUM('Monthly Avg Balance'!T9:'Monthly Avg Balance'!V9)*Rate!H9/12)*'Monthly Avg Balance'!T9/SUM('Monthly Avg Balance'!T9:'Monthly Avg Balance'!V9))</f>
        <v>3509.9368737326408</v>
      </c>
      <c r="U9" s="37">
        <f>IF(SUM('Monthly Avg Balance'!T9:'Monthly Avg Balance'!V9)=0,"",'Monthly Avg Balance'!U9*Rate!H9/12+('Net Interest Income'!H9-SUM('Monthly Avg Balance'!T9:'Monthly Avg Balance'!V9)*Rate!H9/12)*'Monthly Avg Balance'!U9/SUM('Monthly Avg Balance'!T9:'Monthly Avg Balance'!V9))</f>
        <v>3511.9915057414073</v>
      </c>
      <c r="V9" s="37">
        <f>IF(SUM('Monthly Avg Balance'!T9:'Monthly Avg Balance'!V9)=0,"",'Monthly Avg Balance'!V9*Rate!H9/12+('Net Interest Income'!H9-SUM('Monthly Avg Balance'!T9:'Monthly Avg Balance'!V9)*Rate!H9/12)*'Monthly Avg Balance'!V9/SUM('Monthly Avg Balance'!T9:'Monthly Avg Balance'!V9))</f>
        <v>3525.0716205259519</v>
      </c>
      <c r="W9" s="37">
        <f>IF(SUM('Monthly Avg Balance'!W9:'Monthly Avg Balance'!Y9)=0,"",'Monthly Avg Balance'!W9*Rate!I9/12+('Net Interest Income'!I9-SUM('Monthly Avg Balance'!W9:'Monthly Avg Balance'!Y9)*Rate!I9/12)*'Monthly Avg Balance'!W9/SUM('Monthly Avg Balance'!W9:'Monthly Avg Balance'!Y9))</f>
        <v>3457.1473457659399</v>
      </c>
      <c r="X9" s="37">
        <f>IF(SUM('Monthly Avg Balance'!W9:'Monthly Avg Balance'!Y9)=0,"",'Monthly Avg Balance'!X9*Rate!I9/12+('Net Interest Income'!I9-SUM('Monthly Avg Balance'!W9:'Monthly Avg Balance'!Y9)*Rate!I9/12)*'Monthly Avg Balance'!X9/SUM('Monthly Avg Balance'!W9:'Monthly Avg Balance'!Y9))</f>
        <v>3465.4148861760568</v>
      </c>
      <c r="Y9" s="37">
        <f>IF(SUM('Monthly Avg Balance'!W9:'Monthly Avg Balance'!Y9)=0,"",'Monthly Avg Balance'!Y9*Rate!I9/12+('Net Interest Income'!I9-SUM('Monthly Avg Balance'!W9:'Monthly Avg Balance'!Y9)*Rate!I9/12)*'Monthly Avg Balance'!Y9/SUM('Monthly Avg Balance'!W9:'Monthly Avg Balance'!Y9))</f>
        <v>3511.4377680580042</v>
      </c>
      <c r="Z9" s="37">
        <f>IF(SUM('Monthly Avg Balance'!Z9:'Monthly Avg Balance'!AB9)=0,"",'Monthly Avg Balance'!Z9*Rate!J9/12+('Net Interest Income'!J9-SUM('Monthly Avg Balance'!Z9:'Monthly Avg Balance'!AB9)*Rate!J9/12)*'Monthly Avg Balance'!Z9/SUM('Monthly Avg Balance'!Z9:'Monthly Avg Balance'!AB9))</f>
        <v>3410.5365836562996</v>
      </c>
      <c r="AA9" s="37">
        <f>IF(SUM('Monthly Avg Balance'!Z9:'Monthly Avg Balance'!AB9)=0,"",'Monthly Avg Balance'!AA9*Rate!J9/12+('Net Interest Income'!J9-SUM('Monthly Avg Balance'!Z9:'Monthly Avg Balance'!AB9)*Rate!J9/12)*'Monthly Avg Balance'!AA9/SUM('Monthly Avg Balance'!Z9:'Monthly Avg Balance'!AB9))</f>
        <v>3365.2243418929852</v>
      </c>
      <c r="AB9" s="37">
        <f>IF(SUM('Monthly Avg Balance'!Z9:'Monthly Avg Balance'!AB9)=0,"",'Monthly Avg Balance'!AB9*Rate!J9/12+('Net Interest Income'!J9-SUM('Monthly Avg Balance'!Z9:'Monthly Avg Balance'!AB9)*Rate!J9/12)*'Monthly Avg Balance'!AB9/SUM('Monthly Avg Balance'!Z9:'Monthly Avg Balance'!AB9))</f>
        <v>3381.239074450717</v>
      </c>
      <c r="AC9" s="37">
        <f>IF(SUM('Monthly Avg Balance'!AC9:'Monthly Avg Balance'!AE9)=0,"",'Monthly Avg Balance'!AC9*Rate!K9/12+('Net Interest Income'!K9-SUM('Monthly Avg Balance'!AC9:'Monthly Avg Balance'!AE9)*Rate!K9/12)*'Monthly Avg Balance'!AC9/SUM('Monthly Avg Balance'!AC9:'Monthly Avg Balance'!AE9))</f>
        <v>3736.4641662410622</v>
      </c>
      <c r="AD9" s="37">
        <f>IF(SUM('Monthly Avg Balance'!AC9:'Monthly Avg Balance'!AE9)=0,"",'Monthly Avg Balance'!AD9*Rate!K9/12+('Net Interest Income'!K9-SUM('Monthly Avg Balance'!AC9:'Monthly Avg Balance'!AE9)*Rate!K9/12)*'Monthly Avg Balance'!AD9/SUM('Monthly Avg Balance'!AC9:'Monthly Avg Balance'!AE9))</f>
        <v>4128.3413386857337</v>
      </c>
      <c r="AE9" s="37">
        <f>IF(SUM('Monthly Avg Balance'!AC9:'Monthly Avg Balance'!AE9)=0,"",'Monthly Avg Balance'!AE9*Rate!K9/12+('Net Interest Income'!K9-SUM('Monthly Avg Balance'!AC9:'Monthly Avg Balance'!AE9)*Rate!K9/12)*'Monthly Avg Balance'!AE9/SUM('Monthly Avg Balance'!AC9:'Monthly Avg Balance'!AE9))</f>
        <v>4584.1944950732059</v>
      </c>
      <c r="AF9" s="71">
        <f t="shared" ref="AF9:AQ9" si="0">SUM(AF6:AF8)</f>
        <v>4883.7949781831567</v>
      </c>
      <c r="AG9" s="71">
        <f t="shared" si="0"/>
        <v>4864.3463523202399</v>
      </c>
      <c r="AH9" s="71">
        <f t="shared" si="0"/>
        <v>4862.6429250018327</v>
      </c>
      <c r="AI9" s="71">
        <f t="shared" si="0"/>
        <v>4860.9388123445824</v>
      </c>
      <c r="AJ9" s="71">
        <f t="shared" si="0"/>
        <v>4841.4760379840955</v>
      </c>
      <c r="AK9" s="71">
        <f t="shared" si="0"/>
        <v>4839.7675315288998</v>
      </c>
      <c r="AL9" s="71">
        <f t="shared" si="0"/>
        <v>4838.0583397348601</v>
      </c>
      <c r="AM9" s="71">
        <f t="shared" si="0"/>
        <v>4818.5814168768011</v>
      </c>
      <c r="AN9" s="71">
        <f t="shared" si="0"/>
        <v>4816.867831284816</v>
      </c>
      <c r="AO9" s="71">
        <f t="shared" si="0"/>
        <v>4815.1535603539869</v>
      </c>
      <c r="AP9" s="71">
        <f t="shared" si="0"/>
        <v>4795.6624889983568</v>
      </c>
      <c r="AQ9" s="71">
        <f t="shared" si="0"/>
        <v>4793.9438242695815</v>
      </c>
    </row>
    <row r="10" spans="1:43" x14ac:dyDescent="0.2">
      <c r="A10" s="19" t="s">
        <v>84</v>
      </c>
      <c r="B10" s="35">
        <f>IF(SUM('Monthly Avg Balance'!B10:'Monthly Avg Balance'!D10)=0,"",'Monthly Avg Balance'!B10*Rate!B10/12+('Net Interest Income'!B10-SUM('Monthly Avg Balance'!B10:'Monthly Avg Balance'!D10)*Rate!B10/12)*'Monthly Avg Balance'!B10/SUM('Monthly Avg Balance'!B10:'Monthly Avg Balance'!D10))</f>
        <v>205</v>
      </c>
      <c r="C10" s="35">
        <f>IF(SUM('Monthly Avg Balance'!B10:'Monthly Avg Balance'!D10)=0,"",'Monthly Avg Balance'!C10*Rate!B10/12+('Net Interest Income'!B10-SUM('Monthly Avg Balance'!B10:'Monthly Avg Balance'!D10)*Rate!B10/12)*'Monthly Avg Balance'!C10/SUM('Monthly Avg Balance'!B10:'Monthly Avg Balance'!D10))</f>
        <v>205</v>
      </c>
      <c r="D10" s="35">
        <f>IF(SUM('Monthly Avg Balance'!B10:'Monthly Avg Balance'!D10)=0,"",'Monthly Avg Balance'!D10*Rate!B10/12+('Net Interest Income'!B10-SUM('Monthly Avg Balance'!B10:'Monthly Avg Balance'!D10)*Rate!B10/12)*'Monthly Avg Balance'!D10/SUM('Monthly Avg Balance'!B10:'Monthly Avg Balance'!D10))</f>
        <v>205</v>
      </c>
      <c r="E10" s="35">
        <f>IF(SUM('Monthly Avg Balance'!E10:'Monthly Avg Balance'!G10)=0,"",'Monthly Avg Balance'!E10*Rate!C10/12+('Net Interest Income'!C10-SUM('Monthly Avg Balance'!E10:'Monthly Avg Balance'!G10)*Rate!C10/12)*'Monthly Avg Balance'!E10/SUM('Monthly Avg Balance'!E10:'Monthly Avg Balance'!G10))</f>
        <v>212.94635197902087</v>
      </c>
      <c r="F10" s="35">
        <f>IF(SUM('Monthly Avg Balance'!E10:'Monthly Avg Balance'!G10)=0,"",'Monthly Avg Balance'!F10*Rate!C10/12+('Net Interest Income'!C10-SUM('Monthly Avg Balance'!E10:'Monthly Avg Balance'!G10)*Rate!C10/12)*'Monthly Avg Balance'!F10/SUM('Monthly Avg Balance'!E10:'Monthly Avg Balance'!G10))</f>
        <v>213</v>
      </c>
      <c r="G10" s="35">
        <f>IF(SUM('Monthly Avg Balance'!E10:'Monthly Avg Balance'!G10)=0,"",'Monthly Avg Balance'!G10*Rate!C10/12+('Net Interest Income'!C10-SUM('Monthly Avg Balance'!E10:'Monthly Avg Balance'!G10)*Rate!C10/12)*'Monthly Avg Balance'!G10/SUM('Monthly Avg Balance'!E10:'Monthly Avg Balance'!G10))</f>
        <v>213.05364802097918</v>
      </c>
      <c r="H10" s="35">
        <f>IF(SUM('Monthly Avg Balance'!H10:'Monthly Avg Balance'!J10)=0,"",'Monthly Avg Balance'!H10*Rate!D10/12+('Net Interest Income'!D10-SUM('Monthly Avg Balance'!H10:'Monthly Avg Balance'!J10)*Rate!D10/12)*'Monthly Avg Balance'!H10/SUM('Monthly Avg Balance'!H10:'Monthly Avg Balance'!J10))</f>
        <v>212.46251541540977</v>
      </c>
      <c r="I10" s="35">
        <f>IF(SUM('Monthly Avg Balance'!H10:'Monthly Avg Balance'!J10)=0,"",'Monthly Avg Balance'!I10*Rate!D10/12+('Net Interest Income'!D10-SUM('Monthly Avg Balance'!H10:'Monthly Avg Balance'!J10)*Rate!D10/12)*'Monthly Avg Balance'!I10/SUM('Monthly Avg Balance'!H10:'Monthly Avg Balance'!J10))</f>
        <v>209.00000000000003</v>
      </c>
      <c r="J10" s="35">
        <f>IF(SUM('Monthly Avg Balance'!H10:'Monthly Avg Balance'!J10)=0,"",'Monthly Avg Balance'!J10*Rate!D10/12+('Net Interest Income'!D10-SUM('Monthly Avg Balance'!H10:'Monthly Avg Balance'!J10)*Rate!D10/12)*'Monthly Avg Balance'!J10/SUM('Monthly Avg Balance'!H10:'Monthly Avg Balance'!J10))</f>
        <v>205.53748458459032</v>
      </c>
      <c r="K10" s="35">
        <f>IF(SUM('Monthly Avg Balance'!K10:'Monthly Avg Balance'!M10)=0,"",'Monthly Avg Balance'!K10*Rate!E10/12+('Net Interest Income'!E10-SUM('Monthly Avg Balance'!K10:'Monthly Avg Balance'!M10)*Rate!E10/12)*'Monthly Avg Balance'!K10/SUM('Monthly Avg Balance'!K10:'Monthly Avg Balance'!M10))</f>
        <v>223.2388268900462</v>
      </c>
      <c r="L10" s="35">
        <f>IF(SUM('Monthly Avg Balance'!K10:'Monthly Avg Balance'!M10)=0,"",'Monthly Avg Balance'!L10*Rate!E10/12+('Net Interest Income'!E10-SUM('Monthly Avg Balance'!K10:'Monthly Avg Balance'!M10)*Rate!E10/12)*'Monthly Avg Balance'!L10/SUM('Monthly Avg Balance'!K10:'Monthly Avg Balance'!M10))</f>
        <v>233.24702543330304</v>
      </c>
      <c r="M10" s="35">
        <f>IF(SUM('Monthly Avg Balance'!K10:'Monthly Avg Balance'!M10)=0,"",'Monthly Avg Balance'!M10*Rate!E10/12+('Net Interest Income'!E10-SUM('Monthly Avg Balance'!K10:'Monthly Avg Balance'!M10)*Rate!E10/12)*'Monthly Avg Balance'!M10/SUM('Monthly Avg Balance'!K10:'Monthly Avg Balance'!M10))</f>
        <v>212.51414767665082</v>
      </c>
      <c r="N10" s="35">
        <f>IF(SUM('Monthly Avg Balance'!N10:'Monthly Avg Balance'!P10)=0,"",'Monthly Avg Balance'!N10*Rate!F10/12+('Net Interest Income'!F10-SUM('Monthly Avg Balance'!N10:'Monthly Avg Balance'!P10)*Rate!F10/12)*'Monthly Avg Balance'!N10/SUM('Monthly Avg Balance'!N10:'Monthly Avg Balance'!P10))</f>
        <v>221.43402046330013</v>
      </c>
      <c r="O10" s="35">
        <f>IF(SUM('Monthly Avg Balance'!N10:'Monthly Avg Balance'!P10)=0,"",'Monthly Avg Balance'!O10*Rate!F10/12+('Net Interest Income'!F10-SUM('Monthly Avg Balance'!N10:'Monthly Avg Balance'!P10)*Rate!F10/12)*'Monthly Avg Balance'!O10/SUM('Monthly Avg Balance'!N10:'Monthly Avg Balance'!P10))</f>
        <v>245.32695919133857</v>
      </c>
      <c r="P10" s="35">
        <f>IF(SUM('Monthly Avg Balance'!N10:'Monthly Avg Balance'!P10)=0,"",'Monthly Avg Balance'!P10*Rate!F10/12+('Net Interest Income'!F10-SUM('Monthly Avg Balance'!N10:'Monthly Avg Balance'!P10)*Rate!F10/12)*'Monthly Avg Balance'!P10/SUM('Monthly Avg Balance'!N10:'Monthly Avg Balance'!P10))</f>
        <v>220.2390203453613</v>
      </c>
      <c r="Q10" s="35">
        <f>IF(SUM('Monthly Avg Balance'!Q10:'Monthly Avg Balance'!S10)=0,"",'Monthly Avg Balance'!Q10*Rate!G10/12+('Net Interest Income'!G10-SUM('Monthly Avg Balance'!Q10:'Monthly Avg Balance'!S10)*Rate!G10/12)*'Monthly Avg Balance'!Q10/SUM('Monthly Avg Balance'!Q10:'Monthly Avg Balance'!S10))</f>
        <v>223.69761444229528</v>
      </c>
      <c r="R10" s="35">
        <f>IF(SUM('Monthly Avg Balance'!Q10:'Monthly Avg Balance'!S10)=0,"",'Monthly Avg Balance'!R10*Rate!G10/12+('Net Interest Income'!G10-SUM('Monthly Avg Balance'!Q10:'Monthly Avg Balance'!S10)*Rate!G10/12)*'Monthly Avg Balance'!R10/SUM('Monthly Avg Balance'!Q10:'Monthly Avg Balance'!S10))</f>
        <v>251.18060032953647</v>
      </c>
      <c r="S10" s="35">
        <f>IF(SUM('Monthly Avg Balance'!Q10:'Monthly Avg Balance'!S10)=0,"",'Monthly Avg Balance'!S10*Rate!G10/12+('Net Interest Income'!G10-SUM('Monthly Avg Balance'!Q10:'Monthly Avg Balance'!S10)*Rate!G10/12)*'Monthly Avg Balance'!S10/SUM('Monthly Avg Balance'!Q10:'Monthly Avg Balance'!S10))</f>
        <v>225.12178522816819</v>
      </c>
      <c r="T10" s="35">
        <f>IF(SUM('Monthly Avg Balance'!T10:'Monthly Avg Balance'!V10)=0,"",'Monthly Avg Balance'!T10*Rate!H10/12+('Net Interest Income'!H10-SUM('Monthly Avg Balance'!T10:'Monthly Avg Balance'!V10)*Rate!H10/12)*'Monthly Avg Balance'!T10/SUM('Monthly Avg Balance'!T10:'Monthly Avg Balance'!V10))</f>
        <v>232.58678074876457</v>
      </c>
      <c r="U10" s="35">
        <f>IF(SUM('Monthly Avg Balance'!T10:'Monthly Avg Balance'!V10)=0,"",'Monthly Avg Balance'!U10*Rate!H10/12+('Net Interest Income'!H10-SUM('Monthly Avg Balance'!T10:'Monthly Avg Balance'!V10)*Rate!H10/12)*'Monthly Avg Balance'!U10/SUM('Monthly Avg Balance'!T10:'Monthly Avg Balance'!V10))</f>
        <v>260.44085547348698</v>
      </c>
      <c r="V10" s="35">
        <f>IF(SUM('Monthly Avg Balance'!T10:'Monthly Avg Balance'!V10)=0,"",'Monthly Avg Balance'!V10*Rate!H10/12+('Net Interest Income'!H10-SUM('Monthly Avg Balance'!T10:'Monthly Avg Balance'!V10)*Rate!H10/12)*'Monthly Avg Balance'!V10/SUM('Monthly Avg Balance'!T10:'Monthly Avg Balance'!V10))</f>
        <v>239.97236377774857</v>
      </c>
      <c r="W10" s="35">
        <f>IF(SUM('Monthly Avg Balance'!W10:'Monthly Avg Balance'!Y10)=0,"",'Monthly Avg Balance'!W10*Rate!I10/12+('Net Interest Income'!I10-SUM('Monthly Avg Balance'!W10:'Monthly Avg Balance'!Y10)*Rate!I10/12)*'Monthly Avg Balance'!W10/SUM('Monthly Avg Balance'!W10:'Monthly Avg Balance'!Y10))</f>
        <v>243.52006676382652</v>
      </c>
      <c r="X10" s="35">
        <f>IF(SUM('Monthly Avg Balance'!W10:'Monthly Avg Balance'!Y10)=0,"",'Monthly Avg Balance'!X10*Rate!I10/12+('Net Interest Income'!I10-SUM('Monthly Avg Balance'!W10:'Monthly Avg Balance'!Y10)*Rate!I10/12)*'Monthly Avg Balance'!X10/SUM('Monthly Avg Balance'!W10:'Monthly Avg Balance'!Y10))</f>
        <v>266.81531823915662</v>
      </c>
      <c r="Y10" s="35">
        <f>IF(SUM('Monthly Avg Balance'!W10:'Monthly Avg Balance'!Y10)=0,"",'Monthly Avg Balance'!Y10*Rate!I10/12+('Net Interest Income'!I10-SUM('Monthly Avg Balance'!W10:'Monthly Avg Balance'!Y10)*Rate!I10/12)*'Monthly Avg Balance'!Y10/SUM('Monthly Avg Balance'!W10:'Monthly Avg Balance'!Y10))</f>
        <v>242.66461499701694</v>
      </c>
      <c r="Z10" s="35">
        <f>IF(SUM('Monthly Avg Balance'!Z10:'Monthly Avg Balance'!AB10)=0,"",'Monthly Avg Balance'!Z10*Rate!J10/12+('Net Interest Income'!J10-SUM('Monthly Avg Balance'!Z10:'Monthly Avg Balance'!AB10)*Rate!J10/12)*'Monthly Avg Balance'!Z10/SUM('Monthly Avg Balance'!Z10:'Monthly Avg Balance'!AB10))</f>
        <v>247.43529471897105</v>
      </c>
      <c r="AA10" s="35">
        <f>IF(SUM('Monthly Avg Balance'!Z10:'Monthly Avg Balance'!AB10)=0,"",'Monthly Avg Balance'!AA10*Rate!J10/12+('Net Interest Income'!J10-SUM('Monthly Avg Balance'!Z10:'Monthly Avg Balance'!AB10)*Rate!J10/12)*'Monthly Avg Balance'!AA10/SUM('Monthly Avg Balance'!Z10:'Monthly Avg Balance'!AB10))</f>
        <v>272.71613198884114</v>
      </c>
      <c r="AB10" s="35">
        <f>IF(SUM('Monthly Avg Balance'!Z10:'Monthly Avg Balance'!AB10)=0,"",'Monthly Avg Balance'!AB10*Rate!J10/12+('Net Interest Income'!J10-SUM('Monthly Avg Balance'!Z10:'Monthly Avg Balance'!AB10)*Rate!J10/12)*'Monthly Avg Balance'!AB10/SUM('Monthly Avg Balance'!Z10:'Monthly Avg Balance'!AB10))</f>
        <v>249.84857329218767</v>
      </c>
      <c r="AC10" s="35">
        <f>IF(SUM('Monthly Avg Balance'!AC10:'Monthly Avg Balance'!AE10)=0,"",'Monthly Avg Balance'!AC10*Rate!K10/12+('Net Interest Income'!K10-SUM('Monthly Avg Balance'!AC10:'Monthly Avg Balance'!AE10)*Rate!K10/12)*'Monthly Avg Balance'!AC10/SUM('Monthly Avg Balance'!AC10:'Monthly Avg Balance'!AE10))</f>
        <v>252.13381438522106</v>
      </c>
      <c r="AD10" s="35">
        <f>IF(SUM('Monthly Avg Balance'!AC10:'Monthly Avg Balance'!AE10)=0,"",'Monthly Avg Balance'!AD10*Rate!K10/12+('Net Interest Income'!K10-SUM('Monthly Avg Balance'!AC10:'Monthly Avg Balance'!AE10)*Rate!K10/12)*'Monthly Avg Balance'!AD10/SUM('Monthly Avg Balance'!AC10:'Monthly Avg Balance'!AE10))</f>
        <v>274.55895388677584</v>
      </c>
      <c r="AE10" s="35">
        <f>IF(SUM('Monthly Avg Balance'!AC10:'Monthly Avg Balance'!AE10)=0,"",'Monthly Avg Balance'!AE10*Rate!K10/12+('Net Interest Income'!K10-SUM('Monthly Avg Balance'!AC10:'Monthly Avg Balance'!AE10)*Rate!K10/12)*'Monthly Avg Balance'!AE10/SUM('Monthly Avg Balance'!AC10:'Monthly Avg Balance'!AE10))</f>
        <v>257.3072317280031</v>
      </c>
      <c r="AF10" s="70">
        <f>'Monthly Avg Balance'!AF10*'Monthly Rate'!AF10/12</f>
        <v>235.25009412242377</v>
      </c>
      <c r="AG10" s="70">
        <f>'Monthly Avg Balance'!AG10*'Monthly Rate'!AG10/12</f>
        <v>231.73803301131264</v>
      </c>
      <c r="AH10" s="70">
        <f>'Monthly Avg Balance'!AH10*'Monthly Rate'!AH10/12</f>
        <v>228.22597190020153</v>
      </c>
      <c r="AI10" s="70">
        <f>'Monthly Avg Balance'!AI10*'Monthly Rate'!AI10/12</f>
        <v>224.71391078909042</v>
      </c>
      <c r="AJ10" s="70">
        <f>'Monthly Avg Balance'!AJ10*'Monthly Rate'!AJ10/12</f>
        <v>221.20184967797931</v>
      </c>
      <c r="AK10" s="70">
        <f>'Monthly Avg Balance'!AK10*'Monthly Rate'!AK10/12</f>
        <v>217.68978856686817</v>
      </c>
      <c r="AL10" s="70">
        <f>'Monthly Avg Balance'!AL10*'Monthly Rate'!AL10/12</f>
        <v>214.17772745575712</v>
      </c>
      <c r="AM10" s="70">
        <f>'Monthly Avg Balance'!AM10*'Monthly Rate'!AM10/12</f>
        <v>210.66566634464598</v>
      </c>
      <c r="AN10" s="70">
        <f>'Monthly Avg Balance'!AN10*'Monthly Rate'!AN10/12</f>
        <v>207.15360523353488</v>
      </c>
      <c r="AO10" s="70">
        <f>'Monthly Avg Balance'!AO10*'Monthly Rate'!AO10/12</f>
        <v>203.64154412242377</v>
      </c>
      <c r="AP10" s="70">
        <f>'Monthly Avg Balance'!AP10*'Monthly Rate'!AP10/12</f>
        <v>200.12948301131266</v>
      </c>
      <c r="AQ10" s="70">
        <f>'Monthly Avg Balance'!AQ10*'Monthly Rate'!AQ10/12</f>
        <v>196.61742190020152</v>
      </c>
    </row>
    <row r="11" spans="1:43" x14ac:dyDescent="0.2">
      <c r="A11" s="19" t="s">
        <v>85</v>
      </c>
      <c r="B11" s="35">
        <f>IF(SUM('Monthly Avg Balance'!B11:'Monthly Avg Balance'!D11)=0,"",'Monthly Avg Balance'!B11*Rate!B11/12+('Net Interest Income'!B11-SUM('Monthly Avg Balance'!B11:'Monthly Avg Balance'!D11)*Rate!B11/12)*'Monthly Avg Balance'!B11/SUM('Monthly Avg Balance'!B11:'Monthly Avg Balance'!D11))</f>
        <v>121.26511338754725</v>
      </c>
      <c r="C11" s="35">
        <f>IF(SUM('Monthly Avg Balance'!B11:'Monthly Avg Balance'!D11)=0,"",'Monthly Avg Balance'!C11*Rate!B11/12+('Net Interest Income'!B11-SUM('Monthly Avg Balance'!B11:'Monthly Avg Balance'!D11)*Rate!B11/12)*'Monthly Avg Balance'!C11/SUM('Monthly Avg Balance'!B11:'Monthly Avg Balance'!D11))</f>
        <v>133.61981687945399</v>
      </c>
      <c r="D11" s="35">
        <f>IF(SUM('Monthly Avg Balance'!B11:'Monthly Avg Balance'!D11)=0,"",'Monthly Avg Balance'!D11*Rate!B11/12+('Net Interest Income'!B11-SUM('Monthly Avg Balance'!B11:'Monthly Avg Balance'!D11)*Rate!B11/12)*'Monthly Avg Balance'!D11/SUM('Monthly Avg Balance'!B11:'Monthly Avg Balance'!D11))</f>
        <v>161.11506973299871</v>
      </c>
      <c r="E11" s="35">
        <f>IF(SUM('Monthly Avg Balance'!E11:'Monthly Avg Balance'!G11)=0,"",'Monthly Avg Balance'!E11*Rate!C11/12+('Net Interest Income'!C11-SUM('Monthly Avg Balance'!E11:'Monthly Avg Balance'!G11)*Rate!C11/12)*'Monthly Avg Balance'!E11/SUM('Monthly Avg Balance'!E11:'Monthly Avg Balance'!G11))</f>
        <v>171.70025452416328</v>
      </c>
      <c r="F11" s="35">
        <f>IF(SUM('Monthly Avg Balance'!E11:'Monthly Avg Balance'!G11)=0,"",'Monthly Avg Balance'!F11*Rate!C11/12+('Net Interest Income'!C11-SUM('Monthly Avg Balance'!E11:'Monthly Avg Balance'!G11)*Rate!C11/12)*'Monthly Avg Balance'!F11/SUM('Monthly Avg Balance'!E11:'Monthly Avg Balance'!G11))</f>
        <v>140.53585539535536</v>
      </c>
      <c r="G11" s="35">
        <f>IF(SUM('Monthly Avg Balance'!E11:'Monthly Avg Balance'!G11)=0,"",'Monthly Avg Balance'!G11*Rate!C11/12+('Net Interest Income'!C11-SUM('Monthly Avg Balance'!E11:'Monthly Avg Balance'!G11)*Rate!C11/12)*'Monthly Avg Balance'!G11/SUM('Monthly Avg Balance'!E11:'Monthly Avg Balance'!G11))</f>
        <v>157.76389008048139</v>
      </c>
      <c r="H11" s="35">
        <f>IF(SUM('Monthly Avg Balance'!H11:'Monthly Avg Balance'!J11)=0,"",'Monthly Avg Balance'!H11*Rate!D11/12+('Net Interest Income'!D11-SUM('Monthly Avg Balance'!H11:'Monthly Avg Balance'!J11)*Rate!D11/12)*'Monthly Avg Balance'!H11/SUM('Monthly Avg Balance'!H11:'Monthly Avg Balance'!J11))</f>
        <v>180.68935594808403</v>
      </c>
      <c r="I11" s="35">
        <f>IF(SUM('Monthly Avg Balance'!H11:'Monthly Avg Balance'!J11)=0,"",'Monthly Avg Balance'!I11*Rate!D11/12+('Net Interest Income'!D11-SUM('Monthly Avg Balance'!H11:'Monthly Avg Balance'!J11)*Rate!D11/12)*'Monthly Avg Balance'!I11/SUM('Monthly Avg Balance'!H11:'Monthly Avg Balance'!J11))</f>
        <v>179.08774395502601</v>
      </c>
      <c r="J11" s="35">
        <f>IF(SUM('Monthly Avg Balance'!H11:'Monthly Avg Balance'!J11)=0,"",'Monthly Avg Balance'!J11*Rate!D11/12+('Net Interest Income'!D11-SUM('Monthly Avg Balance'!H11:'Monthly Avg Balance'!J11)*Rate!D11/12)*'Monthly Avg Balance'!J11/SUM('Monthly Avg Balance'!H11:'Monthly Avg Balance'!J11))</f>
        <v>190.22290009688987</v>
      </c>
      <c r="K11" s="35">
        <f>IF(SUM('Monthly Avg Balance'!K11:'Monthly Avg Balance'!M11)=0,"",'Monthly Avg Balance'!K11*Rate!E11/12+('Net Interest Income'!E11-SUM('Monthly Avg Balance'!K11:'Monthly Avg Balance'!M11)*Rate!E11/12)*'Monthly Avg Balance'!K11/SUM('Monthly Avg Balance'!K11:'Monthly Avg Balance'!M11))</f>
        <v>187.26333553331881</v>
      </c>
      <c r="L11" s="35">
        <f>IF(SUM('Monthly Avg Balance'!K11:'Monthly Avg Balance'!M11)=0,"",'Monthly Avg Balance'!L11*Rate!E11/12+('Net Interest Income'!E11-SUM('Monthly Avg Balance'!K11:'Monthly Avg Balance'!M11)*Rate!E11/12)*'Monthly Avg Balance'!L11/SUM('Monthly Avg Balance'!K11:'Monthly Avg Balance'!M11))</f>
        <v>172.06218716820868</v>
      </c>
      <c r="M11" s="35">
        <f>IF(SUM('Monthly Avg Balance'!K11:'Monthly Avg Balance'!M11)=0,"",'Monthly Avg Balance'!M11*Rate!E11/12+('Net Interest Income'!E11-SUM('Monthly Avg Balance'!K11:'Monthly Avg Balance'!M11)*Rate!E11/12)*'Monthly Avg Balance'!M11/SUM('Monthly Avg Balance'!K11:'Monthly Avg Balance'!M11))</f>
        <v>182.67447729847248</v>
      </c>
      <c r="N11" s="35">
        <f>IF(SUM('Monthly Avg Balance'!N11:'Monthly Avg Balance'!P11)=0,"",'Monthly Avg Balance'!N11*Rate!F11/12+('Net Interest Income'!F11-SUM('Monthly Avg Balance'!N11:'Monthly Avg Balance'!P11)*Rate!F11/12)*'Monthly Avg Balance'!N11/SUM('Monthly Avg Balance'!N11:'Monthly Avg Balance'!P11))</f>
        <v>184.34895577032853</v>
      </c>
      <c r="O11" s="35">
        <f>IF(SUM('Monthly Avg Balance'!N11:'Monthly Avg Balance'!P11)=0,"",'Monthly Avg Balance'!O11*Rate!F11/12+('Net Interest Income'!F11-SUM('Monthly Avg Balance'!N11:'Monthly Avg Balance'!P11)*Rate!F11/12)*'Monthly Avg Balance'!O11/SUM('Monthly Avg Balance'!N11:'Monthly Avg Balance'!P11))</f>
        <v>178.12345727614513</v>
      </c>
      <c r="P11" s="35">
        <f>IF(SUM('Monthly Avg Balance'!N11:'Monthly Avg Balance'!P11)=0,"",'Monthly Avg Balance'!P11*Rate!F11/12+('Net Interest Income'!F11-SUM('Monthly Avg Balance'!N11:'Monthly Avg Balance'!P11)*Rate!F11/12)*'Monthly Avg Balance'!P11/SUM('Monthly Avg Balance'!N11:'Monthly Avg Balance'!P11))</f>
        <v>207.52758695352634</v>
      </c>
      <c r="Q11" s="35">
        <f>IF(SUM('Monthly Avg Balance'!Q11:'Monthly Avg Balance'!S11)=0,"",'Monthly Avg Balance'!Q11*Rate!G11/12+('Net Interest Income'!G11-SUM('Monthly Avg Balance'!Q11:'Monthly Avg Balance'!S11)*Rate!G11/12)*'Monthly Avg Balance'!Q11/SUM('Monthly Avg Balance'!Q11:'Monthly Avg Balance'!S11))</f>
        <v>207.10324952922215</v>
      </c>
      <c r="R11" s="35">
        <f>IF(SUM('Monthly Avg Balance'!Q11:'Monthly Avg Balance'!S11)=0,"",'Monthly Avg Balance'!R11*Rate!G11/12+('Net Interest Income'!G11-SUM('Monthly Avg Balance'!Q11:'Monthly Avg Balance'!S11)*Rate!G11/12)*'Monthly Avg Balance'!R11/SUM('Monthly Avg Balance'!Q11:'Monthly Avg Balance'!S11))</f>
        <v>183.62761503122397</v>
      </c>
      <c r="S11" s="35">
        <f>IF(SUM('Monthly Avg Balance'!Q11:'Monthly Avg Balance'!S11)=0,"",'Monthly Avg Balance'!S11*Rate!G11/12+('Net Interest Income'!G11-SUM('Monthly Avg Balance'!Q11:'Monthly Avg Balance'!S11)*Rate!G11/12)*'Monthly Avg Balance'!S11/SUM('Monthly Avg Balance'!Q11:'Monthly Avg Balance'!S11))</f>
        <v>196.26913543955391</v>
      </c>
      <c r="T11" s="35">
        <f>IF(SUM('Monthly Avg Balance'!T11:'Monthly Avg Balance'!V11)=0,"",'Monthly Avg Balance'!T11*Rate!H11/12+('Net Interest Income'!H11-SUM('Monthly Avg Balance'!T11:'Monthly Avg Balance'!V11)*Rate!H11/12)*'Monthly Avg Balance'!T11/SUM('Monthly Avg Balance'!T11:'Monthly Avg Balance'!V11))</f>
        <v>195.91500538997616</v>
      </c>
      <c r="U11" s="35">
        <f>IF(SUM('Monthly Avg Balance'!T11:'Monthly Avg Balance'!V11)=0,"",'Monthly Avg Balance'!U11*Rate!H11/12+('Net Interest Income'!H11-SUM('Monthly Avg Balance'!T11:'Monthly Avg Balance'!V11)*Rate!H11/12)*'Monthly Avg Balance'!U11/SUM('Monthly Avg Balance'!T11:'Monthly Avg Balance'!V11))</f>
        <v>182.62210953038883</v>
      </c>
      <c r="V11" s="35">
        <f>IF(SUM('Monthly Avg Balance'!T11:'Monthly Avg Balance'!V11)=0,"",'Monthly Avg Balance'!V11*Rate!H11/12+('Net Interest Income'!H11-SUM('Monthly Avg Balance'!T11:'Monthly Avg Balance'!V11)*Rate!H11/12)*'Monthly Avg Balance'!V11/SUM('Monthly Avg Balance'!T11:'Monthly Avg Balance'!V11))</f>
        <v>201.46288507963502</v>
      </c>
      <c r="W11" s="35">
        <f>IF(SUM('Monthly Avg Balance'!W11:'Monthly Avg Balance'!Y11)=0,"",'Monthly Avg Balance'!W11*Rate!I11/12+('Net Interest Income'!I11-SUM('Monthly Avg Balance'!W11:'Monthly Avg Balance'!Y11)*Rate!I11/12)*'Monthly Avg Balance'!W11/SUM('Monthly Avg Balance'!W11:'Monthly Avg Balance'!Y11))</f>
        <v>185.08686482137807</v>
      </c>
      <c r="X11" s="35">
        <f>IF(SUM('Monthly Avg Balance'!W11:'Monthly Avg Balance'!Y11)=0,"",'Monthly Avg Balance'!X11*Rate!I11/12+('Net Interest Income'!I11-SUM('Monthly Avg Balance'!W11:'Monthly Avg Balance'!Y11)*Rate!I11/12)*'Monthly Avg Balance'!X11/SUM('Monthly Avg Balance'!W11:'Monthly Avg Balance'!Y11))</f>
        <v>175.31451805788086</v>
      </c>
      <c r="Y11" s="35">
        <f>IF(SUM('Monthly Avg Balance'!W11:'Monthly Avg Balance'!Y11)=0,"",'Monthly Avg Balance'!Y11*Rate!I11/12+('Net Interest Income'!I11-SUM('Monthly Avg Balance'!W11:'Monthly Avg Balance'!Y11)*Rate!I11/12)*'Monthly Avg Balance'!Y11/SUM('Monthly Avg Balance'!W11:'Monthly Avg Balance'!Y11))</f>
        <v>169.59861712074098</v>
      </c>
      <c r="Z11" s="35">
        <f>IF(SUM('Monthly Avg Balance'!Z11:'Monthly Avg Balance'!AB11)=0,"",'Monthly Avg Balance'!Z11*Rate!J11/12+('Net Interest Income'!J11-SUM('Monthly Avg Balance'!Z11:'Monthly Avg Balance'!AB11)*Rate!J11/12)*'Monthly Avg Balance'!Z11/SUM('Monthly Avg Balance'!Z11:'Monthly Avg Balance'!AB11))</f>
        <v>156.4399873230706</v>
      </c>
      <c r="AA11" s="35">
        <f>IF(SUM('Monthly Avg Balance'!Z11:'Monthly Avg Balance'!AB11)=0,"",'Monthly Avg Balance'!AA11*Rate!J11/12+('Net Interest Income'!J11-SUM('Monthly Avg Balance'!Z11:'Monthly Avg Balance'!AB11)*Rate!J11/12)*'Monthly Avg Balance'!AA11/SUM('Monthly Avg Balance'!Z11:'Monthly Avg Balance'!AB11))</f>
        <v>166.00538303435354</v>
      </c>
      <c r="AB11" s="35">
        <f>IF(SUM('Monthly Avg Balance'!Z11:'Monthly Avg Balance'!AB11)=0,"",'Monthly Avg Balance'!AB11*Rate!J11/12+('Net Interest Income'!J11-SUM('Monthly Avg Balance'!Z11:'Monthly Avg Balance'!AB11)*Rate!J11/12)*'Monthly Avg Balance'!AB11/SUM('Monthly Avg Balance'!Z11:'Monthly Avg Balance'!AB11))</f>
        <v>168.55462964257586</v>
      </c>
      <c r="AC11" s="35">
        <f>IF(SUM('Monthly Avg Balance'!AC11:'Monthly Avg Balance'!AE11)=0,"",'Monthly Avg Balance'!AC11*Rate!K11/12+('Net Interest Income'!K11-SUM('Monthly Avg Balance'!AC11:'Monthly Avg Balance'!AE11)*Rate!K11/12)*'Monthly Avg Balance'!AC11/SUM('Monthly Avg Balance'!AC11:'Monthly Avg Balance'!AE11))</f>
        <v>184.90701146119432</v>
      </c>
      <c r="AD11" s="35">
        <f>IF(SUM('Monthly Avg Balance'!AC11:'Monthly Avg Balance'!AE11)=0,"",'Monthly Avg Balance'!AD11*Rate!K11/12+('Net Interest Income'!K11-SUM('Monthly Avg Balance'!AC11:'Monthly Avg Balance'!AE11)*Rate!K11/12)*'Monthly Avg Balance'!AD11/SUM('Monthly Avg Balance'!AC11:'Monthly Avg Balance'!AE11))</f>
        <v>193.56056080732992</v>
      </c>
      <c r="AE11" s="35">
        <f>IF(SUM('Monthly Avg Balance'!AC11:'Monthly Avg Balance'!AE11)=0,"",'Monthly Avg Balance'!AE11*Rate!K11/12+('Net Interest Income'!K11-SUM('Monthly Avg Balance'!AC11:'Monthly Avg Balance'!AE11)*Rate!K11/12)*'Monthly Avg Balance'!AE11/SUM('Monthly Avg Balance'!AC11:'Monthly Avg Balance'!AE11))</f>
        <v>216.53242773147576</v>
      </c>
      <c r="AF11" s="70">
        <f>'Monthly Avg Balance'!AF11*'Monthly Rate'!AF11/12</f>
        <v>230.33468505185974</v>
      </c>
      <c r="AG11" s="70">
        <f>'Monthly Avg Balance'!AG11*'Monthly Rate'!AG11/12</f>
        <v>229.09072113310359</v>
      </c>
      <c r="AH11" s="70">
        <f>'Monthly Avg Balance'!AH11*'Monthly Rate'!AH11/12</f>
        <v>227.84632008585018</v>
      </c>
      <c r="AI11" s="70">
        <f>'Monthly Avg Balance'!AI11*'Monthly Rate'!AI11/12</f>
        <v>226.60148191009944</v>
      </c>
      <c r="AJ11" s="70">
        <f>'Monthly Avg Balance'!AJ11*'Monthly Rate'!AJ11/12</f>
        <v>225.35620660585138</v>
      </c>
      <c r="AK11" s="70">
        <f>'Monthly Avg Balance'!AK11*'Monthly Rate'!AK11/12</f>
        <v>224.11049417310596</v>
      </c>
      <c r="AL11" s="70">
        <f>'Monthly Avg Balance'!AL11*'Monthly Rate'!AL11/12</f>
        <v>222.86434461186323</v>
      </c>
      <c r="AM11" s="70">
        <f>'Monthly Avg Balance'!AM11*'Monthly Rate'!AM11/12</f>
        <v>221.61775792212322</v>
      </c>
      <c r="AN11" s="70">
        <f>'Monthly Avg Balance'!AN11*'Monthly Rate'!AN11/12</f>
        <v>220.37073410388578</v>
      </c>
      <c r="AO11" s="70">
        <f>'Monthly Avg Balance'!AO11*'Monthly Rate'!AO11/12</f>
        <v>219.12327315715109</v>
      </c>
      <c r="AP11" s="70">
        <f>'Monthly Avg Balance'!AP11*'Monthly Rate'!AP11/12</f>
        <v>217.87537508191903</v>
      </c>
      <c r="AQ11" s="70">
        <f>'Monthly Avg Balance'!AQ11*'Monthly Rate'!AQ11/12</f>
        <v>216.62703987818966</v>
      </c>
    </row>
    <row r="12" spans="1:43" x14ac:dyDescent="0.2">
      <c r="A12" s="22" t="s">
        <v>86</v>
      </c>
      <c r="B12" s="37">
        <f t="shared" ref="B12:AQ12" si="1">SUM(B9:B11)</f>
        <v>3233.931780054214</v>
      </c>
      <c r="C12" s="37">
        <f t="shared" si="1"/>
        <v>3246.2864835461205</v>
      </c>
      <c r="D12" s="37">
        <f t="shared" si="1"/>
        <v>3273.7817363996651</v>
      </c>
      <c r="E12" s="37">
        <f t="shared" si="1"/>
        <v>3389.2488750194652</v>
      </c>
      <c r="F12" s="37">
        <f t="shared" si="1"/>
        <v>3372.5358553953552</v>
      </c>
      <c r="G12" s="37">
        <f t="shared" si="1"/>
        <v>3404.2152695851796</v>
      </c>
      <c r="H12" s="37">
        <f t="shared" si="1"/>
        <v>3618.9242130583143</v>
      </c>
      <c r="I12" s="37">
        <f t="shared" si="1"/>
        <v>3620.0877439550268</v>
      </c>
      <c r="J12" s="37">
        <f t="shared" si="1"/>
        <v>3633.9880429866607</v>
      </c>
      <c r="K12" s="37">
        <f t="shared" si="1"/>
        <v>3702.9798948714974</v>
      </c>
      <c r="L12" s="37">
        <f t="shared" si="1"/>
        <v>3711.7703967742746</v>
      </c>
      <c r="M12" s="37">
        <f t="shared" si="1"/>
        <v>3730.2497083542276</v>
      </c>
      <c r="N12" s="37">
        <f t="shared" si="1"/>
        <v>3738.9466991774434</v>
      </c>
      <c r="O12" s="37">
        <f t="shared" si="1"/>
        <v>3714.3616981913428</v>
      </c>
      <c r="P12" s="37">
        <f t="shared" si="1"/>
        <v>3723.6916026312133</v>
      </c>
      <c r="Q12" s="37">
        <f t="shared" si="1"/>
        <v>3754.1122247892458</v>
      </c>
      <c r="R12" s="37">
        <f t="shared" si="1"/>
        <v>3759.847320726999</v>
      </c>
      <c r="S12" s="37">
        <f t="shared" si="1"/>
        <v>3766.0404544837538</v>
      </c>
      <c r="T12" s="37">
        <f t="shared" si="1"/>
        <v>3938.4386598713813</v>
      </c>
      <c r="U12" s="37">
        <f t="shared" si="1"/>
        <v>3955.0544707452832</v>
      </c>
      <c r="V12" s="37">
        <f t="shared" si="1"/>
        <v>3966.506869383335</v>
      </c>
      <c r="W12" s="37">
        <f t="shared" si="1"/>
        <v>3885.7542773511445</v>
      </c>
      <c r="X12" s="37">
        <f t="shared" si="1"/>
        <v>3907.5447224730942</v>
      </c>
      <c r="Y12" s="37">
        <f t="shared" si="1"/>
        <v>3923.7010001757621</v>
      </c>
      <c r="Z12" s="37">
        <f t="shared" si="1"/>
        <v>3814.411865698341</v>
      </c>
      <c r="AA12" s="37">
        <f t="shared" si="1"/>
        <v>3803.9458569161798</v>
      </c>
      <c r="AB12" s="37">
        <f t="shared" si="1"/>
        <v>3799.6422773854806</v>
      </c>
      <c r="AC12" s="37">
        <f t="shared" si="1"/>
        <v>4173.5049920874771</v>
      </c>
      <c r="AD12" s="37">
        <f t="shared" si="1"/>
        <v>4596.46085337984</v>
      </c>
      <c r="AE12" s="37">
        <f t="shared" si="1"/>
        <v>5058.0341545326846</v>
      </c>
      <c r="AF12" s="71">
        <f t="shared" si="1"/>
        <v>5349.3797573574402</v>
      </c>
      <c r="AG12" s="71">
        <f t="shared" si="1"/>
        <v>5325.175106464656</v>
      </c>
      <c r="AH12" s="71">
        <f t="shared" si="1"/>
        <v>5318.7152169878846</v>
      </c>
      <c r="AI12" s="71">
        <f t="shared" si="1"/>
        <v>5312.2542050437723</v>
      </c>
      <c r="AJ12" s="71">
        <f t="shared" si="1"/>
        <v>5288.0340942679259</v>
      </c>
      <c r="AK12" s="71">
        <f t="shared" si="1"/>
        <v>5281.5678142688739</v>
      </c>
      <c r="AL12" s="71">
        <f t="shared" si="1"/>
        <v>5275.1004118024803</v>
      </c>
      <c r="AM12" s="71">
        <f t="shared" si="1"/>
        <v>5250.8648411435697</v>
      </c>
      <c r="AN12" s="71">
        <f t="shared" si="1"/>
        <v>5244.3921706222372</v>
      </c>
      <c r="AO12" s="71">
        <f t="shared" si="1"/>
        <v>5237.9183776335612</v>
      </c>
      <c r="AP12" s="71">
        <f t="shared" si="1"/>
        <v>5213.6673470915885</v>
      </c>
      <c r="AQ12" s="71">
        <f t="shared" si="1"/>
        <v>5207.1882860479727</v>
      </c>
    </row>
    <row r="13" spans="1:43" x14ac:dyDescent="0.2">
      <c r="A13" s="19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x14ac:dyDescent="0.2">
      <c r="A14" s="27" t="s">
        <v>20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</row>
    <row r="15" spans="1:43" x14ac:dyDescent="0.2">
      <c r="A15" s="19" t="s">
        <v>87</v>
      </c>
      <c r="B15" s="35">
        <f>IF(SUM('Monthly Avg Balance'!B15:'Monthly Avg Balance'!D15)=0,"",'Monthly Avg Balance'!B15*Rate!B15/12+('Net Interest Income'!B15-SUM('Monthly Avg Balance'!B15:'Monthly Avg Balance'!D15)*Rate!B15/12)*'Monthly Avg Balance'!B15/SUM('Monthly Avg Balance'!B15:'Monthly Avg Balance'!D15))</f>
        <v>618.66666666666663</v>
      </c>
      <c r="C15" s="35">
        <f>IF(SUM('Monthly Avg Balance'!B15:'Monthly Avg Balance'!D15)=0,"",'Monthly Avg Balance'!C15*Rate!B15/12+('Net Interest Income'!B15-SUM('Monthly Avg Balance'!B15:'Monthly Avg Balance'!D15)*Rate!B15/12)*'Monthly Avg Balance'!C15/SUM('Monthly Avg Balance'!B15:'Monthly Avg Balance'!D15))</f>
        <v>618.66666666666663</v>
      </c>
      <c r="D15" s="35">
        <f>IF(SUM('Monthly Avg Balance'!B15:'Monthly Avg Balance'!D15)=0,"",'Monthly Avg Balance'!D15*Rate!B15/12+('Net Interest Income'!B15-SUM('Monthly Avg Balance'!B15:'Monthly Avg Balance'!D15)*Rate!B15/12)*'Monthly Avg Balance'!D15/SUM('Monthly Avg Balance'!B15:'Monthly Avg Balance'!D15))</f>
        <v>618.66666666666663</v>
      </c>
      <c r="E15" s="35">
        <f>IF(SUM('Monthly Avg Balance'!E15:'Monthly Avg Balance'!G15)=0,"",'Monthly Avg Balance'!E15*Rate!C15/12+('Net Interest Income'!C15-SUM('Monthly Avg Balance'!E15:'Monthly Avg Balance'!G15)*Rate!C15/12)*'Monthly Avg Balance'!E15/SUM('Monthly Avg Balance'!E15:'Monthly Avg Balance'!G15))</f>
        <v>751.86090668471638</v>
      </c>
      <c r="F15" s="35">
        <f>IF(SUM('Monthly Avg Balance'!E15:'Monthly Avg Balance'!G15)=0,"",'Monthly Avg Balance'!F15*Rate!C15/12+('Net Interest Income'!C15-SUM('Monthly Avg Balance'!E15:'Monthly Avg Balance'!G15)*Rate!C15/12)*'Monthly Avg Balance'!F15/SUM('Monthly Avg Balance'!E15:'Monthly Avg Balance'!G15))</f>
        <v>759</v>
      </c>
      <c r="G15" s="35">
        <f>IF(SUM('Monthly Avg Balance'!E15:'Monthly Avg Balance'!G15)=0,"",'Monthly Avg Balance'!G15*Rate!C15/12+('Net Interest Income'!C15-SUM('Monthly Avg Balance'!E15:'Monthly Avg Balance'!G15)*Rate!C15/12)*'Monthly Avg Balance'!G15/SUM('Monthly Avg Balance'!E15:'Monthly Avg Balance'!G15))</f>
        <v>766.13909331528339</v>
      </c>
      <c r="H15" s="35">
        <f>IF(SUM('Monthly Avg Balance'!H15:'Monthly Avg Balance'!J15)=0,"",'Monthly Avg Balance'!H15*Rate!D15/12+('Net Interest Income'!D15-SUM('Monthly Avg Balance'!H15:'Monthly Avg Balance'!J15)*Rate!D15/12)*'Monthly Avg Balance'!H15/SUM('Monthly Avg Balance'!H15:'Monthly Avg Balance'!J15))</f>
        <v>873.25985413572732</v>
      </c>
      <c r="I15" s="35">
        <f>IF(SUM('Monthly Avg Balance'!H15:'Monthly Avg Balance'!J15)=0,"",'Monthly Avg Balance'!I15*Rate!D15/12+('Net Interest Income'!D15-SUM('Monthly Avg Balance'!H15:'Monthly Avg Balance'!J15)*Rate!D15/12)*'Monthly Avg Balance'!I15/SUM('Monthly Avg Balance'!H15:'Monthly Avg Balance'!J15))</f>
        <v>870.33333333333337</v>
      </c>
      <c r="J15" s="35">
        <f>IF(SUM('Monthly Avg Balance'!H15:'Monthly Avg Balance'!J15)=0,"",'Monthly Avg Balance'!J15*Rate!D15/12+('Net Interest Income'!D15-SUM('Monthly Avg Balance'!H15:'Monthly Avg Balance'!J15)*Rate!D15/12)*'Monthly Avg Balance'!J15/SUM('Monthly Avg Balance'!H15:'Monthly Avg Balance'!J15))</f>
        <v>867.40681253093931</v>
      </c>
      <c r="K15" s="35">
        <f>IF(SUM('Monthly Avg Balance'!K15:'Monthly Avg Balance'!M15)=0,"",'Monthly Avg Balance'!K15*Rate!E15/12+('Net Interest Income'!E15-SUM('Monthly Avg Balance'!K15:'Monthly Avg Balance'!M15)*Rate!E15/12)*'Monthly Avg Balance'!K15/SUM('Monthly Avg Balance'!K15:'Monthly Avg Balance'!M15))</f>
        <v>909.8184439359992</v>
      </c>
      <c r="L15" s="35">
        <f>IF(SUM('Monthly Avg Balance'!K15:'Monthly Avg Balance'!M15)=0,"",'Monthly Avg Balance'!L15*Rate!E15/12+('Net Interest Income'!E15-SUM('Monthly Avg Balance'!K15:'Monthly Avg Balance'!M15)*Rate!E15/12)*'Monthly Avg Balance'!L15/SUM('Monthly Avg Balance'!K15:'Monthly Avg Balance'!M15))</f>
        <v>913.8990577969787</v>
      </c>
      <c r="M15" s="35">
        <f>IF(SUM('Monthly Avg Balance'!K15:'Monthly Avg Balance'!M15)=0,"",'Monthly Avg Balance'!M15*Rate!E15/12+('Net Interest Income'!E15-SUM('Monthly Avg Balance'!K15:'Monthly Avg Balance'!M15)*Rate!E15/12)*'Monthly Avg Balance'!M15/SUM('Monthly Avg Balance'!K15:'Monthly Avg Balance'!M15))</f>
        <v>921.28249826702222</v>
      </c>
      <c r="N15" s="35">
        <f>IF(SUM('Monthly Avg Balance'!N15:'Monthly Avg Balance'!P15)=0,"",'Monthly Avg Balance'!N15*Rate!F15/12+('Net Interest Income'!F15-SUM('Monthly Avg Balance'!N15:'Monthly Avg Balance'!P15)*Rate!F15/12)*'Monthly Avg Balance'!N15/SUM('Monthly Avg Balance'!N15:'Monthly Avg Balance'!P15))</f>
        <v>937.78381837450502</v>
      </c>
      <c r="O15" s="35">
        <f>IF(SUM('Monthly Avg Balance'!N15:'Monthly Avg Balance'!P15)=0,"",'Monthly Avg Balance'!O15*Rate!F15/12+('Net Interest Income'!F15-SUM('Monthly Avg Balance'!N15:'Monthly Avg Balance'!P15)*Rate!F15/12)*'Monthly Avg Balance'!O15/SUM('Monthly Avg Balance'!N15:'Monthly Avg Balance'!P15))</f>
        <v>930.59722805102683</v>
      </c>
      <c r="P15" s="35">
        <f>IF(SUM('Monthly Avg Balance'!N15:'Monthly Avg Balance'!P15)=0,"",'Monthly Avg Balance'!P15*Rate!F15/12+('Net Interest Income'!F15-SUM('Monthly Avg Balance'!N15:'Monthly Avg Balance'!P15)*Rate!F15/12)*'Monthly Avg Balance'!P15/SUM('Monthly Avg Balance'!N15:'Monthly Avg Balance'!P15))</f>
        <v>943.61895357446792</v>
      </c>
      <c r="Q15" s="35">
        <f>IF(SUM('Monthly Avg Balance'!Q15:'Monthly Avg Balance'!S15)=0,"",'Monthly Avg Balance'!Q15*Rate!G15/12+('Net Interest Income'!G15-SUM('Monthly Avg Balance'!Q15:'Monthly Avg Balance'!S15)*Rate!G15/12)*'Monthly Avg Balance'!Q15/SUM('Monthly Avg Balance'!Q15:'Monthly Avg Balance'!S15))</f>
        <v>958.2265069516194</v>
      </c>
      <c r="R15" s="35">
        <f>IF(SUM('Monthly Avg Balance'!Q15:'Monthly Avg Balance'!S15)=0,"",'Monthly Avg Balance'!R15*Rate!G15/12+('Net Interest Income'!G15-SUM('Monthly Avg Balance'!Q15:'Monthly Avg Balance'!S15)*Rate!G15/12)*'Monthly Avg Balance'!R15/SUM('Monthly Avg Balance'!Q15:'Monthly Avg Balance'!S15))</f>
        <v>955.39591351464321</v>
      </c>
      <c r="S15" s="35">
        <f>IF(SUM('Monthly Avg Balance'!Q15:'Monthly Avg Balance'!S15)=0,"",'Monthly Avg Balance'!S15*Rate!G15/12+('Net Interest Income'!G15-SUM('Monthly Avg Balance'!Q15:'Monthly Avg Balance'!S15)*Rate!G15/12)*'Monthly Avg Balance'!S15/SUM('Monthly Avg Balance'!Q15:'Monthly Avg Balance'!S15))</f>
        <v>960.37757953373716</v>
      </c>
      <c r="T15" s="35">
        <f>IF(SUM('Monthly Avg Balance'!T15:'Monthly Avg Balance'!V15)=0,"",'Monthly Avg Balance'!T15*Rate!H15/12+('Net Interest Income'!H15-SUM('Monthly Avg Balance'!T15:'Monthly Avg Balance'!V15)*Rate!H15/12)*'Monthly Avg Balance'!T15/SUM('Monthly Avg Balance'!T15:'Monthly Avg Balance'!V15))</f>
        <v>980.17224153141387</v>
      </c>
      <c r="U15" s="35">
        <f>IF(SUM('Monthly Avg Balance'!T15:'Monthly Avg Balance'!V15)=0,"",'Monthly Avg Balance'!U15*Rate!H15/12+('Net Interest Income'!H15-SUM('Monthly Avg Balance'!T15:'Monthly Avg Balance'!V15)*Rate!H15/12)*'Monthly Avg Balance'!U15/SUM('Monthly Avg Balance'!T15:'Monthly Avg Balance'!V15))</f>
        <v>978.9686234495075</v>
      </c>
      <c r="V15" s="35">
        <f>IF(SUM('Monthly Avg Balance'!T15:'Monthly Avg Balance'!V15)=0,"",'Monthly Avg Balance'!V15*Rate!H15/12+('Net Interest Income'!H15-SUM('Monthly Avg Balance'!T15:'Monthly Avg Balance'!V15)*Rate!H15/12)*'Monthly Avg Balance'!V15/SUM('Monthly Avg Balance'!T15:'Monthly Avg Balance'!V15))</f>
        <v>985.85913501907885</v>
      </c>
      <c r="W15" s="35">
        <f>IF(SUM('Monthly Avg Balance'!W15:'Monthly Avg Balance'!Y15)=0,"",'Monthly Avg Balance'!W15*Rate!I15/12+('Net Interest Income'!I15-SUM('Monthly Avg Balance'!W15:'Monthly Avg Balance'!Y15)*Rate!I15/12)*'Monthly Avg Balance'!W15/SUM('Monthly Avg Balance'!W15:'Monthly Avg Balance'!Y15))</f>
        <v>945.3353911926971</v>
      </c>
      <c r="X15" s="35">
        <f>IF(SUM('Monthly Avg Balance'!W15:'Monthly Avg Balance'!Y15)=0,"",'Monthly Avg Balance'!X15*Rate!I15/12+('Net Interest Income'!I15-SUM('Monthly Avg Balance'!W15:'Monthly Avg Balance'!Y15)*Rate!I15/12)*'Monthly Avg Balance'!X15/SUM('Monthly Avg Balance'!W15:'Monthly Avg Balance'!Y15))</f>
        <v>953.42638812501195</v>
      </c>
      <c r="Y15" s="35">
        <f>IF(SUM('Monthly Avg Balance'!W15:'Monthly Avg Balance'!Y15)=0,"",'Monthly Avg Balance'!Y15*Rate!I15/12+('Net Interest Income'!I15-SUM('Monthly Avg Balance'!W15:'Monthly Avg Balance'!Y15)*Rate!I15/12)*'Monthly Avg Balance'!Y15/SUM('Monthly Avg Balance'!W15:'Monthly Avg Balance'!Y15))</f>
        <v>963.23822068229083</v>
      </c>
      <c r="Z15" s="35">
        <f>IF(SUM('Monthly Avg Balance'!Z15:'Monthly Avg Balance'!AB15)=0,"",'Monthly Avg Balance'!Z15*Rate!J15/12+('Net Interest Income'!J15-SUM('Monthly Avg Balance'!Z15:'Monthly Avg Balance'!AB15)*Rate!J15/12)*'Monthly Avg Balance'!Z15/SUM('Monthly Avg Balance'!Z15:'Monthly Avg Balance'!AB15))</f>
        <v>901.92147231023955</v>
      </c>
      <c r="AA15" s="35">
        <f>IF(SUM('Monthly Avg Balance'!Z15:'Monthly Avg Balance'!AB15)=0,"",'Monthly Avg Balance'!AA15*Rate!J15/12+('Net Interest Income'!J15-SUM('Monthly Avg Balance'!Z15:'Monthly Avg Balance'!AB15)*Rate!J15/12)*'Monthly Avg Balance'!AA15/SUM('Monthly Avg Balance'!Z15:'Monthly Avg Balance'!AB15))</f>
        <v>903.32957809488676</v>
      </c>
      <c r="AB15" s="35">
        <f>IF(SUM('Monthly Avg Balance'!Z15:'Monthly Avg Balance'!AB15)=0,"",'Monthly Avg Balance'!AB15*Rate!J15/12+('Net Interest Income'!J15-SUM('Monthly Avg Balance'!Z15:'Monthly Avg Balance'!AB15)*Rate!J15/12)*'Monthly Avg Balance'!AB15/SUM('Monthly Avg Balance'!Z15:'Monthly Avg Balance'!AB15))</f>
        <v>909.74894959487358</v>
      </c>
      <c r="AC15" s="35">
        <f>IF(SUM('Monthly Avg Balance'!AC15:'Monthly Avg Balance'!AE15)=0,"",'Monthly Avg Balance'!AC15*Rate!K15/12+('Net Interest Income'!K15-SUM('Monthly Avg Balance'!AC15:'Monthly Avg Balance'!AE15)*Rate!K15/12)*'Monthly Avg Balance'!AC15/SUM('Monthly Avg Balance'!AC15:'Monthly Avg Balance'!AE15))</f>
        <v>953.95128581896518</v>
      </c>
      <c r="AD15" s="35">
        <f>IF(SUM('Monthly Avg Balance'!AC15:'Monthly Avg Balance'!AE15)=0,"",'Monthly Avg Balance'!AD15*Rate!K15/12+('Net Interest Income'!K15-SUM('Monthly Avg Balance'!AC15:'Monthly Avg Balance'!AE15)*Rate!K15/12)*'Monthly Avg Balance'!AD15/SUM('Monthly Avg Balance'!AC15:'Monthly Avg Balance'!AE15))</f>
        <v>1033.7876184681922</v>
      </c>
      <c r="AE15" s="35">
        <f>IF(SUM('Monthly Avg Balance'!AC15:'Monthly Avg Balance'!AE15)=0,"",'Monthly Avg Balance'!AE15*Rate!K15/12+('Net Interest Income'!K15-SUM('Monthly Avg Balance'!AC15:'Monthly Avg Balance'!AE15)*Rate!K15/12)*'Monthly Avg Balance'!AE15/SUM('Monthly Avg Balance'!AC15:'Monthly Avg Balance'!AE15))</f>
        <v>1132.2610957128429</v>
      </c>
      <c r="AF15" s="70">
        <f>'Monthly Avg Balance'!AF15*'Monthly Rate'!AF15/12</f>
        <v>1179.4090980542464</v>
      </c>
      <c r="AG15" s="70">
        <f>'Monthly Avg Balance'!AG15*'Monthly Rate'!AG15/12</f>
        <v>1172.759785244016</v>
      </c>
      <c r="AH15" s="70">
        <f>'Monthly Avg Balance'!AH15*'Monthly Rate'!AH15/12</f>
        <v>1166.1081388730399</v>
      </c>
      <c r="AI15" s="70">
        <f>'Monthly Avg Balance'!AI15*'Monthly Rate'!AI15/12</f>
        <v>1159.4541589413182</v>
      </c>
      <c r="AJ15" s="70">
        <f>'Monthly Avg Balance'!AJ15*'Monthly Rate'!AJ15/12</f>
        <v>1152.7978454488505</v>
      </c>
      <c r="AK15" s="70">
        <f>'Monthly Avg Balance'!AK15*'Monthly Rate'!AK15/12</f>
        <v>1146.1391983956369</v>
      </c>
      <c r="AL15" s="70">
        <f>'Monthly Avg Balance'!AL15*'Monthly Rate'!AL15/12</f>
        <v>1139.4782177816778</v>
      </c>
      <c r="AM15" s="70">
        <f>'Monthly Avg Balance'!AM15*'Monthly Rate'!AM15/12</f>
        <v>1132.8149036069728</v>
      </c>
      <c r="AN15" s="70">
        <f>'Monthly Avg Balance'!AN15*'Monthly Rate'!AN15/12</f>
        <v>1126.1492558715215</v>
      </c>
      <c r="AO15" s="70">
        <f>'Monthly Avg Balance'!AO15*'Monthly Rate'!AO15/12</f>
        <v>1119.481274575325</v>
      </c>
      <c r="AP15" s="70">
        <f>'Monthly Avg Balance'!AP15*'Monthly Rate'!AP15/12</f>
        <v>1112.8109597183825</v>
      </c>
      <c r="AQ15" s="70">
        <f>'Monthly Avg Balance'!AQ15*'Monthly Rate'!AQ15/12</f>
        <v>1106.1383113006943</v>
      </c>
    </row>
    <row r="16" spans="1:43" x14ac:dyDescent="0.2">
      <c r="A16" s="19" t="s">
        <v>88</v>
      </c>
      <c r="B16" s="35">
        <f>IF(SUM('Monthly Avg Balance'!B16:'Monthly Avg Balance'!D16)=0,"",'Monthly Avg Balance'!B16*Rate!B16/12+('Net Interest Income'!B16-SUM('Monthly Avg Balance'!B16:'Monthly Avg Balance'!D16)*Rate!B16/12)*'Monthly Avg Balance'!B16/SUM('Monthly Avg Balance'!B16:'Monthly Avg Balance'!D16))</f>
        <v>70.333333333333329</v>
      </c>
      <c r="C16" s="35">
        <f>IF(SUM('Monthly Avg Balance'!B16:'Monthly Avg Balance'!D16)=0,"",'Monthly Avg Balance'!C16*Rate!B16/12+('Net Interest Income'!B16-SUM('Monthly Avg Balance'!B16:'Monthly Avg Balance'!D16)*Rate!B16/12)*'Monthly Avg Balance'!C16/SUM('Monthly Avg Balance'!B16:'Monthly Avg Balance'!D16))</f>
        <v>70.333333333333329</v>
      </c>
      <c r="D16" s="35">
        <f>IF(SUM('Monthly Avg Balance'!B16:'Monthly Avg Balance'!D16)=0,"",'Monthly Avg Balance'!D16*Rate!B16/12+('Net Interest Income'!B16-SUM('Monthly Avg Balance'!B16:'Monthly Avg Balance'!D16)*Rate!B16/12)*'Monthly Avg Balance'!D16/SUM('Monthly Avg Balance'!B16:'Monthly Avg Balance'!D16))</f>
        <v>70.333333333333329</v>
      </c>
      <c r="E16" s="35">
        <f>IF(SUM('Monthly Avg Balance'!E16:'Monthly Avg Balance'!G16)=0,"",'Monthly Avg Balance'!E16*Rate!C16/12+('Net Interest Income'!C16-SUM('Monthly Avg Balance'!E16:'Monthly Avg Balance'!G16)*Rate!C16/12)*'Monthly Avg Balance'!E16/SUM('Monthly Avg Balance'!E16:'Monthly Avg Balance'!G16))</f>
        <v>77.132081606112337</v>
      </c>
      <c r="F16" s="35">
        <f>IF(SUM('Monthly Avg Balance'!E16:'Monthly Avg Balance'!G16)=0,"",'Monthly Avg Balance'!F16*Rate!C16/12+('Net Interest Income'!C16-SUM('Monthly Avg Balance'!E16:'Monthly Avg Balance'!G16)*Rate!C16/12)*'Monthly Avg Balance'!F16/SUM('Monthly Avg Balance'!E16:'Monthly Avg Balance'!G16))</f>
        <v>78.666666666666671</v>
      </c>
      <c r="G16" s="35">
        <f>IF(SUM('Monthly Avg Balance'!E16:'Monthly Avg Balance'!G16)=0,"",'Monthly Avg Balance'!G16*Rate!C16/12+('Net Interest Income'!C16-SUM('Monthly Avg Balance'!E16:'Monthly Avg Balance'!G16)*Rate!C16/12)*'Monthly Avg Balance'!G16/SUM('Monthly Avg Balance'!E16:'Monthly Avg Balance'!G16))</f>
        <v>80.201251727220992</v>
      </c>
      <c r="H16" s="35">
        <f>IF(SUM('Monthly Avg Balance'!H16:'Monthly Avg Balance'!J16)=0,"",'Monthly Avg Balance'!H16*Rate!D16/12+('Net Interest Income'!D16-SUM('Monthly Avg Balance'!H16:'Monthly Avg Balance'!J16)*Rate!D16/12)*'Monthly Avg Balance'!H16/SUM('Monthly Avg Balance'!H16:'Monthly Avg Balance'!J16))</f>
        <v>85.012805258088278</v>
      </c>
      <c r="I16" s="35">
        <f>IF(SUM('Monthly Avg Balance'!H16:'Monthly Avg Balance'!J16)=0,"",'Monthly Avg Balance'!I16*Rate!D16/12+('Net Interest Income'!D16-SUM('Monthly Avg Balance'!H16:'Monthly Avg Balance'!J16)*Rate!D16/12)*'Monthly Avg Balance'!I16/SUM('Monthly Avg Balance'!H16:'Monthly Avg Balance'!J16))</f>
        <v>83</v>
      </c>
      <c r="J16" s="35">
        <f>IF(SUM('Monthly Avg Balance'!H16:'Monthly Avg Balance'!J16)=0,"",'Monthly Avg Balance'!J16*Rate!D16/12+('Net Interest Income'!D16-SUM('Monthly Avg Balance'!H16:'Monthly Avg Balance'!J16)*Rate!D16/12)*'Monthly Avg Balance'!J16/SUM('Monthly Avg Balance'!H16:'Monthly Avg Balance'!J16))</f>
        <v>80.987194741911722</v>
      </c>
      <c r="K16" s="35">
        <f>IF(SUM('Monthly Avg Balance'!K16:'Monthly Avg Balance'!M16)=0,"",'Monthly Avg Balance'!K16*Rate!E16/12+('Net Interest Income'!E16-SUM('Monthly Avg Balance'!K16:'Monthly Avg Balance'!M16)*Rate!E16/12)*'Monthly Avg Balance'!K16/SUM('Monthly Avg Balance'!K16:'Monthly Avg Balance'!M16))</f>
        <v>85.595586896115734</v>
      </c>
      <c r="L16" s="35">
        <f>IF(SUM('Monthly Avg Balance'!K16:'Monthly Avg Balance'!M16)=0,"",'Monthly Avg Balance'!L16*Rate!E16/12+('Net Interest Income'!E16-SUM('Monthly Avg Balance'!K16:'Monthly Avg Balance'!M16)*Rate!E16/12)*'Monthly Avg Balance'!L16/SUM('Monthly Avg Balance'!K16:'Monthly Avg Balance'!M16))</f>
        <v>90.042631269803465</v>
      </c>
      <c r="M16" s="35">
        <f>IF(SUM('Monthly Avg Balance'!K16:'Monthly Avg Balance'!M16)=0,"",'Monthly Avg Balance'!M16*Rate!E16/12+('Net Interest Income'!E16-SUM('Monthly Avg Balance'!K16:'Monthly Avg Balance'!M16)*Rate!E16/12)*'Monthly Avg Balance'!M16/SUM('Monthly Avg Balance'!K16:'Monthly Avg Balance'!M16))</f>
        <v>87.361781834080787</v>
      </c>
      <c r="N16" s="35">
        <f>IF(SUM('Monthly Avg Balance'!N16:'Monthly Avg Balance'!P16)=0,"",'Monthly Avg Balance'!N16*Rate!F16/12+('Net Interest Income'!F16-SUM('Monthly Avg Balance'!N16:'Monthly Avg Balance'!P16)*Rate!F16/12)*'Monthly Avg Balance'!N16/SUM('Monthly Avg Balance'!N16:'Monthly Avg Balance'!P16))</f>
        <v>86.400637568262553</v>
      </c>
      <c r="O16" s="35">
        <f>IF(SUM('Monthly Avg Balance'!N16:'Monthly Avg Balance'!P16)=0,"",'Monthly Avg Balance'!O16*Rate!F16/12+('Net Interest Income'!F16-SUM('Monthly Avg Balance'!N16:'Monthly Avg Balance'!P16)*Rate!F16/12)*'Monthly Avg Balance'!O16/SUM('Monthly Avg Balance'!N16:'Monthly Avg Balance'!P16))</f>
        <v>87.595145930811981</v>
      </c>
      <c r="P16" s="35">
        <f>IF(SUM('Monthly Avg Balance'!N16:'Monthly Avg Balance'!P16)=0,"",'Monthly Avg Balance'!P16*Rate!F16/12+('Net Interest Income'!F16-SUM('Monthly Avg Balance'!N16:'Monthly Avg Balance'!P16)*Rate!F16/12)*'Monthly Avg Balance'!P16/SUM('Monthly Avg Balance'!N16:'Monthly Avg Balance'!P16))</f>
        <v>87.004216500925466</v>
      </c>
      <c r="Q16" s="35">
        <f>IF(SUM('Monthly Avg Balance'!Q16:'Monthly Avg Balance'!S16)=0,"",'Monthly Avg Balance'!Q16*Rate!G16/12+('Net Interest Income'!G16-SUM('Monthly Avg Balance'!Q16:'Monthly Avg Balance'!S16)*Rate!G16/12)*'Monthly Avg Balance'!Q16/SUM('Monthly Avg Balance'!Q16:'Monthly Avg Balance'!S16))</f>
        <v>87.073613466299335</v>
      </c>
      <c r="R16" s="35">
        <f>IF(SUM('Monthly Avg Balance'!Q16:'Monthly Avg Balance'!S16)=0,"",'Monthly Avg Balance'!R16*Rate!G16/12+('Net Interest Income'!G16-SUM('Monthly Avg Balance'!Q16:'Monthly Avg Balance'!S16)*Rate!G16/12)*'Monthly Avg Balance'!R16/SUM('Monthly Avg Balance'!Q16:'Monthly Avg Balance'!S16))</f>
        <v>86.221439456569684</v>
      </c>
      <c r="S16" s="35">
        <f>IF(SUM('Monthly Avg Balance'!Q16:'Monthly Avg Balance'!S16)=0,"",'Monthly Avg Balance'!S16*Rate!G16/12+('Net Interest Income'!G16-SUM('Monthly Avg Balance'!Q16:'Monthly Avg Balance'!S16)*Rate!G16/12)*'Monthly Avg Balance'!S16/SUM('Monthly Avg Balance'!Q16:'Monthly Avg Balance'!S16))</f>
        <v>84.704947077131024</v>
      </c>
      <c r="T16" s="35">
        <f>IF(SUM('Monthly Avg Balance'!T16:'Monthly Avg Balance'!V16)=0,"",'Monthly Avg Balance'!T16*Rate!H16/12+('Net Interest Income'!H16-SUM('Monthly Avg Balance'!T16:'Monthly Avg Balance'!V16)*Rate!H16/12)*'Monthly Avg Balance'!T16/SUM('Monthly Avg Balance'!T16:'Monthly Avg Balance'!V16))</f>
        <v>80.719751512622466</v>
      </c>
      <c r="U16" s="35">
        <f>IF(SUM('Monthly Avg Balance'!T16:'Monthly Avg Balance'!V16)=0,"",'Monthly Avg Balance'!U16*Rate!H16/12+('Net Interest Income'!H16-SUM('Monthly Avg Balance'!T16:'Monthly Avg Balance'!V16)*Rate!H16/12)*'Monthly Avg Balance'!U16/SUM('Monthly Avg Balance'!T16:'Monthly Avg Balance'!V16))</f>
        <v>75.493749613056636</v>
      </c>
      <c r="V16" s="35">
        <f>IF(SUM('Monthly Avg Balance'!T16:'Monthly Avg Balance'!V16)=0,"",'Monthly Avg Balance'!V16*Rate!H16/12+('Net Interest Income'!H16-SUM('Monthly Avg Balance'!T16:'Monthly Avg Balance'!V16)*Rate!H16/12)*'Monthly Avg Balance'!V16/SUM('Monthly Avg Balance'!T16:'Monthly Avg Balance'!V16))</f>
        <v>77.786498874320856</v>
      </c>
      <c r="W16" s="35">
        <f>IF(SUM('Monthly Avg Balance'!W16:'Monthly Avg Balance'!Y16)=0,"",'Monthly Avg Balance'!W16*Rate!I16/12+('Net Interest Income'!I16-SUM('Monthly Avg Balance'!W16:'Monthly Avg Balance'!Y16)*Rate!I16/12)*'Monthly Avg Balance'!W16/SUM('Monthly Avg Balance'!W16:'Monthly Avg Balance'!Y16))</f>
        <v>71.372727109614431</v>
      </c>
      <c r="X16" s="35">
        <f>IF(SUM('Monthly Avg Balance'!W16:'Monthly Avg Balance'!Y16)=0,"",'Monthly Avg Balance'!X16*Rate!I16/12+('Net Interest Income'!I16-SUM('Monthly Avg Balance'!W16:'Monthly Avg Balance'!Y16)*Rate!I16/12)*'Monthly Avg Balance'!X16/SUM('Monthly Avg Balance'!W16:'Monthly Avg Balance'!Y16))</f>
        <v>66.853309150370677</v>
      </c>
      <c r="Y16" s="35">
        <f>IF(SUM('Monthly Avg Balance'!W16:'Monthly Avg Balance'!Y16)=0,"",'Monthly Avg Balance'!Y16*Rate!I16/12+('Net Interest Income'!I16-SUM('Monthly Avg Balance'!W16:'Monthly Avg Balance'!Y16)*Rate!I16/12)*'Monthly Avg Balance'!Y16/SUM('Monthly Avg Balance'!W16:'Monthly Avg Balance'!Y16))</f>
        <v>66.773963740014835</v>
      </c>
      <c r="Z16" s="35">
        <f>IF(SUM('Monthly Avg Balance'!Z16:'Monthly Avg Balance'!AB16)=0,"",'Monthly Avg Balance'!Z16*Rate!J16/12+('Net Interest Income'!J16-SUM('Monthly Avg Balance'!Z16:'Monthly Avg Balance'!AB16)*Rate!J16/12)*'Monthly Avg Balance'!Z16/SUM('Monthly Avg Balance'!Z16:'Monthly Avg Balance'!AB16))</f>
        <v>61.27568748544838</v>
      </c>
      <c r="AA16" s="35">
        <f>IF(SUM('Monthly Avg Balance'!Z16:'Monthly Avg Balance'!AB16)=0,"",'Monthly Avg Balance'!AA16*Rate!J16/12+('Net Interest Income'!J16-SUM('Monthly Avg Balance'!Z16:'Monthly Avg Balance'!AB16)*Rate!J16/12)*'Monthly Avg Balance'!AA16/SUM('Monthly Avg Balance'!Z16:'Monthly Avg Balance'!AB16))</f>
        <v>58.621583735034221</v>
      </c>
      <c r="AB16" s="35">
        <f>IF(SUM('Monthly Avg Balance'!Z16:'Monthly Avg Balance'!AB16)=0,"",'Monthly Avg Balance'!AB16*Rate!J16/12+('Net Interest Income'!J16-SUM('Monthly Avg Balance'!Z16:'Monthly Avg Balance'!AB16)*Rate!J16/12)*'Monthly Avg Balance'!AB16/SUM('Monthly Avg Balance'!Z16:'Monthly Avg Balance'!AB16))</f>
        <v>56.102728779517378</v>
      </c>
      <c r="AC16" s="35">
        <f>IF(SUM('Monthly Avg Balance'!AC16:'Monthly Avg Balance'!AE16)=0,"",'Monthly Avg Balance'!AC16*Rate!K16/12+('Net Interest Income'!K16-SUM('Monthly Avg Balance'!AC16:'Monthly Avg Balance'!AE16)*Rate!K16/12)*'Monthly Avg Balance'!AC16/SUM('Monthly Avg Balance'!AC16:'Monthly Avg Balance'!AE16))</f>
        <v>53.015294837759974</v>
      </c>
      <c r="AD16" s="35">
        <f>IF(SUM('Monthly Avg Balance'!AC16:'Monthly Avg Balance'!AE16)=0,"",'Monthly Avg Balance'!AD16*Rate!K16/12+('Net Interest Income'!K16-SUM('Monthly Avg Balance'!AC16:'Monthly Avg Balance'!AE16)*Rate!K16/12)*'Monthly Avg Balance'!AD16/SUM('Monthly Avg Balance'!AC16:'Monthly Avg Balance'!AE16))</f>
        <v>52.525601919025142</v>
      </c>
      <c r="AE16" s="35">
        <f>IF(SUM('Monthly Avg Balance'!AC16:'Monthly Avg Balance'!AE16)=0,"",'Monthly Avg Balance'!AE16*Rate!K16/12+('Net Interest Income'!K16-SUM('Monthly Avg Balance'!AC16:'Monthly Avg Balance'!AE16)*Rate!K16/12)*'Monthly Avg Balance'!AE16/SUM('Monthly Avg Balance'!AC16:'Monthly Avg Balance'!AE16))</f>
        <v>58.459103243214905</v>
      </c>
      <c r="AF16" s="70">
        <f>'Monthly Avg Balance'!AF16*'Monthly Rate'!AF16/12</f>
        <v>62.28146268400738</v>
      </c>
      <c r="AG16" s="70">
        <f>'Monthly Avg Balance'!AG16*'Monthly Rate'!AG16/12</f>
        <v>61.380407772973228</v>
      </c>
      <c r="AH16" s="70">
        <f>'Monthly Avg Balance'!AH16*'Monthly Rate'!AH16/12</f>
        <v>60.48680637448232</v>
      </c>
      <c r="AI16" s="70">
        <f>'Monthly Avg Balance'!AI16*'Monthly Rate'!AI16/12</f>
        <v>59.600606479782009</v>
      </c>
      <c r="AJ16" s="70">
        <f>'Monthly Avg Balance'!AJ16*'Monthly Rate'!AJ16/12</f>
        <v>58.721756413869322</v>
      </c>
      <c r="AK16" s="70">
        <f>'Monthly Avg Balance'!AK16*'Monthly Rate'!AK16/12</f>
        <v>57.850204833453766</v>
      </c>
      <c r="AL16" s="70">
        <f>'Monthly Avg Balance'!AL16*'Monthly Rate'!AL16/12</f>
        <v>56.985900724932037</v>
      </c>
      <c r="AM16" s="70">
        <f>'Monthly Avg Balance'!AM16*'Monthly Rate'!AM16/12</f>
        <v>56.128793402374676</v>
      </c>
      <c r="AN16" s="70">
        <f>'Monthly Avg Balance'!AN16*'Monthly Rate'!AN16/12</f>
        <v>55.278832505524775</v>
      </c>
      <c r="AO16" s="70">
        <f>'Monthly Avg Balance'!AO16*'Monthly Rate'!AO16/12</f>
        <v>54.435967997808298</v>
      </c>
      <c r="AP16" s="70">
        <f>'Monthly Avg Balance'!AP16*'Monthly Rate'!AP16/12</f>
        <v>53.600150164356364</v>
      </c>
      <c r="AQ16" s="70">
        <f>'Monthly Avg Balance'!AQ16*'Monthly Rate'!AQ16/12</f>
        <v>52.771329610038997</v>
      </c>
    </row>
    <row r="17" spans="1:43" x14ac:dyDescent="0.2">
      <c r="A17" s="19" t="s">
        <v>89</v>
      </c>
      <c r="B17" s="35">
        <f>IF(SUM('Monthly Avg Balance'!B17:'Monthly Avg Balance'!D17)=0,"",'Monthly Avg Balance'!B17*Rate!B17/12+('Net Interest Income'!B17-SUM('Monthly Avg Balance'!B17:'Monthly Avg Balance'!D17)*Rate!B17/12)*'Monthly Avg Balance'!B17/SUM('Monthly Avg Balance'!B17:'Monthly Avg Balance'!D17))</f>
        <v>163</v>
      </c>
      <c r="C17" s="35">
        <f>IF(SUM('Monthly Avg Balance'!B17:'Monthly Avg Balance'!D17)=0,"",'Monthly Avg Balance'!C17*Rate!B17/12+('Net Interest Income'!B17-SUM('Monthly Avg Balance'!B17:'Monthly Avg Balance'!D17)*Rate!B17/12)*'Monthly Avg Balance'!C17/SUM('Monthly Avg Balance'!B17:'Monthly Avg Balance'!D17))</f>
        <v>163</v>
      </c>
      <c r="D17" s="35">
        <f>IF(SUM('Monthly Avg Balance'!B17:'Monthly Avg Balance'!D17)=0,"",'Monthly Avg Balance'!D17*Rate!B17/12+('Net Interest Income'!B17-SUM('Monthly Avg Balance'!B17:'Monthly Avg Balance'!D17)*Rate!B17/12)*'Monthly Avg Balance'!D17/SUM('Monthly Avg Balance'!B17:'Monthly Avg Balance'!D17))</f>
        <v>163</v>
      </c>
      <c r="E17" s="35">
        <f>IF(SUM('Monthly Avg Balance'!E17:'Monthly Avg Balance'!G17)=0,"",'Monthly Avg Balance'!E17*Rate!C17/12+('Net Interest Income'!C17-SUM('Monthly Avg Balance'!E17:'Monthly Avg Balance'!G17)*Rate!C17/12)*'Monthly Avg Balance'!E17/SUM('Monthly Avg Balance'!E17:'Monthly Avg Balance'!G17))</f>
        <v>175.9027441618868</v>
      </c>
      <c r="F17" s="35">
        <f>IF(SUM('Monthly Avg Balance'!E17:'Monthly Avg Balance'!G17)=0,"",'Monthly Avg Balance'!F17*Rate!C17/12+('Net Interest Income'!C17-SUM('Monthly Avg Balance'!E17:'Monthly Avg Balance'!G17)*Rate!C17/12)*'Monthly Avg Balance'!F17/SUM('Monthly Avg Balance'!E17:'Monthly Avg Balance'!G17))</f>
        <v>176</v>
      </c>
      <c r="G17" s="35">
        <f>IF(SUM('Monthly Avg Balance'!E17:'Monthly Avg Balance'!G17)=0,"",'Monthly Avg Balance'!G17*Rate!C17/12+('Net Interest Income'!C17-SUM('Monthly Avg Balance'!E17:'Monthly Avg Balance'!G17)*Rate!C17/12)*'Monthly Avg Balance'!G17/SUM('Monthly Avg Balance'!E17:'Monthly Avg Balance'!G17))</f>
        <v>176.09725583811323</v>
      </c>
      <c r="H17" s="35">
        <f>IF(SUM('Monthly Avg Balance'!H17:'Monthly Avg Balance'!J17)=0,"",'Monthly Avg Balance'!H17*Rate!D17/12+('Net Interest Income'!D17-SUM('Monthly Avg Balance'!H17:'Monthly Avg Balance'!J17)*Rate!D17/12)*'Monthly Avg Balance'!H17/SUM('Monthly Avg Balance'!H17:'Monthly Avg Balance'!J17))</f>
        <v>187.54670811919715</v>
      </c>
      <c r="I17" s="35">
        <f>IF(SUM('Monthly Avg Balance'!H17:'Monthly Avg Balance'!J17)=0,"",'Monthly Avg Balance'!I17*Rate!D17/12+('Net Interest Income'!D17-SUM('Monthly Avg Balance'!H17:'Monthly Avg Balance'!J17)*Rate!D17/12)*'Monthly Avg Balance'!I17/SUM('Monthly Avg Balance'!H17:'Monthly Avg Balance'!J17))</f>
        <v>193</v>
      </c>
      <c r="J17" s="35">
        <f>IF(SUM('Monthly Avg Balance'!H17:'Monthly Avg Balance'!J17)=0,"",'Monthly Avg Balance'!J17*Rate!D17/12+('Net Interest Income'!D17-SUM('Monthly Avg Balance'!H17:'Monthly Avg Balance'!J17)*Rate!D17/12)*'Monthly Avg Balance'!J17/SUM('Monthly Avg Balance'!H17:'Monthly Avg Balance'!J17))</f>
        <v>198.45329188080279</v>
      </c>
      <c r="K17" s="35">
        <f>IF(SUM('Monthly Avg Balance'!K17:'Monthly Avg Balance'!M17)=0,"",'Monthly Avg Balance'!K17*Rate!E17/12+('Net Interest Income'!E17-SUM('Monthly Avg Balance'!K17:'Monthly Avg Balance'!M17)*Rate!E17/12)*'Monthly Avg Balance'!K17/SUM('Monthly Avg Balance'!K17:'Monthly Avg Balance'!M17))</f>
        <v>204.32887518442556</v>
      </c>
      <c r="L17" s="35">
        <f>IF(SUM('Monthly Avg Balance'!K17:'Monthly Avg Balance'!M17)=0,"",'Monthly Avg Balance'!L17*Rate!E17/12+('Net Interest Income'!E17-SUM('Monthly Avg Balance'!K17:'Monthly Avg Balance'!M17)*Rate!E17/12)*'Monthly Avg Balance'!L17/SUM('Monthly Avg Balance'!K17:'Monthly Avg Balance'!M17))</f>
        <v>203.88392384122102</v>
      </c>
      <c r="M17" s="35">
        <f>IF(SUM('Monthly Avg Balance'!K17:'Monthly Avg Balance'!M17)=0,"",'Monthly Avg Balance'!M17*Rate!E17/12+('Net Interest Income'!E17-SUM('Monthly Avg Balance'!K17:'Monthly Avg Balance'!M17)*Rate!E17/12)*'Monthly Avg Balance'!M17/SUM('Monthly Avg Balance'!K17:'Monthly Avg Balance'!M17))</f>
        <v>199.78720097435331</v>
      </c>
      <c r="N17" s="35">
        <f>IF(SUM('Monthly Avg Balance'!N17:'Monthly Avg Balance'!P17)=0,"",'Monthly Avg Balance'!N17*Rate!F17/12+('Net Interest Income'!F17-SUM('Monthly Avg Balance'!N17:'Monthly Avg Balance'!P17)*Rate!F17/12)*'Monthly Avg Balance'!N17/SUM('Monthly Avg Balance'!N17:'Monthly Avg Balance'!P17))</f>
        <v>200.75682481350339</v>
      </c>
      <c r="O17" s="35">
        <f>IF(SUM('Monthly Avg Balance'!N17:'Monthly Avg Balance'!P17)=0,"",'Monthly Avg Balance'!O17*Rate!F17/12+('Net Interest Income'!F17-SUM('Monthly Avg Balance'!N17:'Monthly Avg Balance'!P17)*Rate!F17/12)*'Monthly Avg Balance'!O17/SUM('Monthly Avg Balance'!N17:'Monthly Avg Balance'!P17))</f>
        <v>203.28297928364114</v>
      </c>
      <c r="P17" s="35">
        <f>IF(SUM('Monthly Avg Balance'!N17:'Monthly Avg Balance'!P17)=0,"",'Monthly Avg Balance'!P17*Rate!F17/12+('Net Interest Income'!F17-SUM('Monthly Avg Balance'!N17:'Monthly Avg Balance'!P17)*Rate!F17/12)*'Monthly Avg Balance'!P17/SUM('Monthly Avg Balance'!N17:'Monthly Avg Balance'!P17))</f>
        <v>201.96019590285553</v>
      </c>
      <c r="Q17" s="35">
        <f>IF(SUM('Monthly Avg Balance'!Q17:'Monthly Avg Balance'!S17)=0,"",'Monthly Avg Balance'!Q17*Rate!G17/12+('Net Interest Income'!G17-SUM('Monthly Avg Balance'!Q17:'Monthly Avg Balance'!S17)*Rate!G17/12)*'Monthly Avg Balance'!Q17/SUM('Monthly Avg Balance'!Q17:'Monthly Avg Balance'!S17))</f>
        <v>201.21382547973491</v>
      </c>
      <c r="R17" s="35">
        <f>IF(SUM('Monthly Avg Balance'!Q17:'Monthly Avg Balance'!S17)=0,"",'Monthly Avg Balance'!R17*Rate!G17/12+('Net Interest Income'!G17-SUM('Monthly Avg Balance'!Q17:'Monthly Avg Balance'!S17)*Rate!G17/12)*'Monthly Avg Balance'!R17/SUM('Monthly Avg Balance'!Q17:'Monthly Avg Balance'!S17))</f>
        <v>196.34392990292852</v>
      </c>
      <c r="S17" s="35">
        <f>IF(SUM('Monthly Avg Balance'!Q17:'Monthly Avg Balance'!S17)=0,"",'Monthly Avg Balance'!S17*Rate!G17/12+('Net Interest Income'!G17-SUM('Monthly Avg Balance'!Q17:'Monthly Avg Balance'!S17)*Rate!G17/12)*'Monthly Avg Balance'!S17/SUM('Monthly Avg Balance'!Q17:'Monthly Avg Balance'!S17))</f>
        <v>193.44224461733651</v>
      </c>
      <c r="T17" s="35">
        <f>IF(SUM('Monthly Avg Balance'!T17:'Monthly Avg Balance'!V17)=0,"",'Monthly Avg Balance'!T17*Rate!H17/12+('Net Interest Income'!H17-SUM('Monthly Avg Balance'!T17:'Monthly Avg Balance'!V17)*Rate!H17/12)*'Monthly Avg Balance'!T17/SUM('Monthly Avg Balance'!T17:'Monthly Avg Balance'!V17))</f>
        <v>192.40071565525622</v>
      </c>
      <c r="U17" s="35">
        <f>IF(SUM('Monthly Avg Balance'!T17:'Monthly Avg Balance'!V17)=0,"",'Monthly Avg Balance'!U17*Rate!H17/12+('Net Interest Income'!H17-SUM('Monthly Avg Balance'!T17:'Monthly Avg Balance'!V17)*Rate!H17/12)*'Monthly Avg Balance'!U17/SUM('Monthly Avg Balance'!T17:'Monthly Avg Balance'!V17))</f>
        <v>201.11730756143982</v>
      </c>
      <c r="V17" s="35">
        <f>IF(SUM('Monthly Avg Balance'!T17:'Monthly Avg Balance'!V17)=0,"",'Monthly Avg Balance'!V17*Rate!H17/12+('Net Interest Income'!H17-SUM('Monthly Avg Balance'!T17:'Monthly Avg Balance'!V17)*Rate!H17/12)*'Monthly Avg Balance'!V17/SUM('Monthly Avg Balance'!T17:'Monthly Avg Balance'!V17))</f>
        <v>202.48197678330388</v>
      </c>
      <c r="W17" s="35">
        <f>IF(SUM('Monthly Avg Balance'!W17:'Monthly Avg Balance'!Y17)=0,"",'Monthly Avg Balance'!W17*Rate!I17/12+('Net Interest Income'!I17-SUM('Monthly Avg Balance'!W17:'Monthly Avg Balance'!Y17)*Rate!I17/12)*'Monthly Avg Balance'!W17/SUM('Monthly Avg Balance'!W17:'Monthly Avg Balance'!Y17))</f>
        <v>185.78130866119679</v>
      </c>
      <c r="X17" s="35">
        <f>IF(SUM('Monthly Avg Balance'!W17:'Monthly Avg Balance'!Y17)=0,"",'Monthly Avg Balance'!X17*Rate!I17/12+('Net Interest Income'!I17-SUM('Monthly Avg Balance'!W17:'Monthly Avg Balance'!Y17)*Rate!I17/12)*'Monthly Avg Balance'!X17/SUM('Monthly Avg Balance'!W17:'Monthly Avg Balance'!Y17))</f>
        <v>177.57882413267882</v>
      </c>
      <c r="Y17" s="35">
        <f>IF(SUM('Monthly Avg Balance'!W17:'Monthly Avg Balance'!Y17)=0,"",'Monthly Avg Balance'!Y17*Rate!I17/12+('Net Interest Income'!I17-SUM('Monthly Avg Balance'!W17:'Monthly Avg Balance'!Y17)*Rate!I17/12)*'Monthly Avg Balance'!Y17/SUM('Monthly Avg Balance'!W17:'Monthly Avg Balance'!Y17))</f>
        <v>176.63986720612442</v>
      </c>
      <c r="Z17" s="35">
        <f>IF(SUM('Monthly Avg Balance'!Z17:'Monthly Avg Balance'!AB17)=0,"",'Monthly Avg Balance'!Z17*Rate!J17/12+('Net Interest Income'!J17-SUM('Monthly Avg Balance'!Z17:'Monthly Avg Balance'!AB17)*Rate!J17/12)*'Monthly Avg Balance'!Z17/SUM('Monthly Avg Balance'!Z17:'Monthly Avg Balance'!AB17))</f>
        <v>170.14570823116739</v>
      </c>
      <c r="AA17" s="35">
        <f>IF(SUM('Monthly Avg Balance'!Z17:'Monthly Avg Balance'!AB17)=0,"",'Monthly Avg Balance'!AA17*Rate!J17/12+('Net Interest Income'!J17-SUM('Monthly Avg Balance'!Z17:'Monthly Avg Balance'!AB17)*Rate!J17/12)*'Monthly Avg Balance'!AA17/SUM('Monthly Avg Balance'!Z17:'Monthly Avg Balance'!AB17))</f>
        <v>171.93264631156705</v>
      </c>
      <c r="AB17" s="35">
        <f>IF(SUM('Monthly Avg Balance'!Z17:'Monthly Avg Balance'!AB17)=0,"",'Monthly Avg Balance'!AB17*Rate!J17/12+('Net Interest Income'!J17-SUM('Monthly Avg Balance'!Z17:'Monthly Avg Balance'!AB17)*Rate!J17/12)*'Monthly Avg Balance'!AB17/SUM('Monthly Avg Balance'!Z17:'Monthly Avg Balance'!AB17))</f>
        <v>162.92164545726558</v>
      </c>
      <c r="AC17" s="35">
        <f>IF(SUM('Monthly Avg Balance'!AC17:'Monthly Avg Balance'!AE17)=0,"",'Monthly Avg Balance'!AC17*Rate!K17/12+('Net Interest Income'!K17-SUM('Monthly Avg Balance'!AC17:'Monthly Avg Balance'!AE17)*Rate!K17/12)*'Monthly Avg Balance'!AC17/SUM('Monthly Avg Balance'!AC17:'Monthly Avg Balance'!AE17))</f>
        <v>162.22400217280509</v>
      </c>
      <c r="AD17" s="35">
        <f>IF(SUM('Monthly Avg Balance'!AC17:'Monthly Avg Balance'!AE17)=0,"",'Monthly Avg Balance'!AD17*Rate!K17/12+('Net Interest Income'!K17-SUM('Monthly Avg Balance'!AC17:'Monthly Avg Balance'!AE17)*Rate!K17/12)*'Monthly Avg Balance'!AD17/SUM('Monthly Avg Balance'!AC17:'Monthly Avg Balance'!AE17))</f>
        <v>178.7110332847659</v>
      </c>
      <c r="AE17" s="35">
        <f>IF(SUM('Monthly Avg Balance'!AC17:'Monthly Avg Balance'!AE17)=0,"",'Monthly Avg Balance'!AE17*Rate!K17/12+('Net Interest Income'!K17-SUM('Monthly Avg Balance'!AC17:'Monthly Avg Balance'!AE17)*Rate!K17/12)*'Monthly Avg Balance'!AE17/SUM('Monthly Avg Balance'!AC17:'Monthly Avg Balance'!AE17))</f>
        <v>194.06496454242898</v>
      </c>
      <c r="AF17" s="70">
        <f>'Monthly Avg Balance'!AF17*'Monthly Rate'!AF17/12</f>
        <v>200.48232053381784</v>
      </c>
      <c r="AG17" s="70">
        <f>'Monthly Avg Balance'!AG17*'Monthly Rate'!AG17/12</f>
        <v>199.50598585994942</v>
      </c>
      <c r="AH17" s="70">
        <f>'Monthly Avg Balance'!AH17*'Monthly Rate'!AH17/12</f>
        <v>198.52965118608105</v>
      </c>
      <c r="AI17" s="70">
        <f>'Monthly Avg Balance'!AI17*'Monthly Rate'!AI17/12</f>
        <v>197.55331651221266</v>
      </c>
      <c r="AJ17" s="70">
        <f>'Monthly Avg Balance'!AJ17*'Monthly Rate'!AJ17/12</f>
        <v>196.5769818383443</v>
      </c>
      <c r="AK17" s="70">
        <f>'Monthly Avg Balance'!AK17*'Monthly Rate'!AK17/12</f>
        <v>195.60064716447593</v>
      </c>
      <c r="AL17" s="70">
        <f>'Monthly Avg Balance'!AL17*'Monthly Rate'!AL17/12</f>
        <v>194.62431249060751</v>
      </c>
      <c r="AM17" s="70">
        <f>'Monthly Avg Balance'!AM17*'Monthly Rate'!AM17/12</f>
        <v>193.64797781673914</v>
      </c>
      <c r="AN17" s="70">
        <f>'Monthly Avg Balance'!AN17*'Monthly Rate'!AN17/12</f>
        <v>192.67164314287075</v>
      </c>
      <c r="AO17" s="70">
        <f>'Monthly Avg Balance'!AO17*'Monthly Rate'!AO17/12</f>
        <v>191.69530846900238</v>
      </c>
      <c r="AP17" s="70">
        <f>'Monthly Avg Balance'!AP17*'Monthly Rate'!AP17/12</f>
        <v>190.71897379513402</v>
      </c>
      <c r="AQ17" s="70">
        <f>'Monthly Avg Balance'!AQ17*'Monthly Rate'!AQ17/12</f>
        <v>189.74263912126563</v>
      </c>
    </row>
    <row r="18" spans="1:43" x14ac:dyDescent="0.2">
      <c r="A18" s="19" t="s">
        <v>90</v>
      </c>
      <c r="B18" s="35">
        <f>IF(SUM('Monthly Avg Balance'!B18:'Monthly Avg Balance'!D18)=0,"",'Monthly Avg Balance'!B18*Rate!B18/12+('Net Interest Income'!B18-SUM('Monthly Avg Balance'!B18:'Monthly Avg Balance'!D18)*Rate!B18/12)*'Monthly Avg Balance'!B18/SUM('Monthly Avg Balance'!B18:'Monthly Avg Balance'!D18))</f>
        <v>4.0000000000000009</v>
      </c>
      <c r="C18" s="35">
        <f>IF(SUM('Monthly Avg Balance'!B18:'Monthly Avg Balance'!D18)=0,"",'Monthly Avg Balance'!C18*Rate!B18/12+('Net Interest Income'!B18-SUM('Monthly Avg Balance'!B18:'Monthly Avg Balance'!D18)*Rate!B18/12)*'Monthly Avg Balance'!C18/SUM('Monthly Avg Balance'!B18:'Monthly Avg Balance'!D18))</f>
        <v>4.0000000000000009</v>
      </c>
      <c r="D18" s="35">
        <f>IF(SUM('Monthly Avg Balance'!B18:'Monthly Avg Balance'!D18)=0,"",'Monthly Avg Balance'!D18*Rate!B18/12+('Net Interest Income'!B18-SUM('Monthly Avg Balance'!B18:'Monthly Avg Balance'!D18)*Rate!B18/12)*'Monthly Avg Balance'!D18/SUM('Monthly Avg Balance'!B18:'Monthly Avg Balance'!D18))</f>
        <v>4.0000000000000009</v>
      </c>
      <c r="E18" s="35">
        <f>IF(SUM('Monthly Avg Balance'!E18:'Monthly Avg Balance'!G18)=0,"",'Monthly Avg Balance'!E18*Rate!C18/12+('Net Interest Income'!C18-SUM('Monthly Avg Balance'!E18:'Monthly Avg Balance'!G18)*Rate!C18/12)*'Monthly Avg Balance'!E18/SUM('Monthly Avg Balance'!E18:'Monthly Avg Balance'!G18))</f>
        <v>3.9073997519636205</v>
      </c>
      <c r="F18" s="35">
        <f>IF(SUM('Monthly Avg Balance'!E18:'Monthly Avg Balance'!G18)=0,"",'Monthly Avg Balance'!F18*Rate!C18/12+('Net Interest Income'!C18-SUM('Monthly Avg Balance'!E18:'Monthly Avg Balance'!G18)*Rate!C18/12)*'Monthly Avg Balance'!F18/SUM('Monthly Avg Balance'!E18:'Monthly Avg Balance'!G18))</f>
        <v>3.9999999999999996</v>
      </c>
      <c r="G18" s="35">
        <f>IF(SUM('Monthly Avg Balance'!E18:'Monthly Avg Balance'!G18)=0,"",'Monthly Avg Balance'!G18*Rate!C18/12+('Net Interest Income'!C18-SUM('Monthly Avg Balance'!E18:'Monthly Avg Balance'!G18)*Rate!C18/12)*'Monthly Avg Balance'!G18/SUM('Monthly Avg Balance'!E18:'Monthly Avg Balance'!G18))</f>
        <v>4.092600248036379</v>
      </c>
      <c r="H18" s="35">
        <f>IF(SUM('Monthly Avg Balance'!H18:'Monthly Avg Balance'!J18)=0,"",'Monthly Avg Balance'!H18*Rate!D18/12+('Net Interest Income'!D18-SUM('Monthly Avg Balance'!H18:'Monthly Avg Balance'!J18)*Rate!D18/12)*'Monthly Avg Balance'!H18/SUM('Monthly Avg Balance'!H18:'Monthly Avg Balance'!J18))</f>
        <v>3.6963202587949859</v>
      </c>
      <c r="I18" s="35">
        <f>IF(SUM('Monthly Avg Balance'!H18:'Monthly Avg Balance'!J18)=0,"",'Monthly Avg Balance'!I18*Rate!D18/12+('Net Interest Income'!D18-SUM('Monthly Avg Balance'!H18:'Monthly Avg Balance'!J18)*Rate!D18/12)*'Monthly Avg Balance'!I18/SUM('Monthly Avg Balance'!H18:'Monthly Avg Balance'!J18))</f>
        <v>3.6666666666666674</v>
      </c>
      <c r="J18" s="35">
        <f>IF(SUM('Monthly Avg Balance'!H18:'Monthly Avg Balance'!J18)=0,"",'Monthly Avg Balance'!J18*Rate!D18/12+('Net Interest Income'!D18-SUM('Monthly Avg Balance'!H18:'Monthly Avg Balance'!J18)*Rate!D18/12)*'Monthly Avg Balance'!J18/SUM('Monthly Avg Balance'!H18:'Monthly Avg Balance'!J18))</f>
        <v>3.6370130745383475</v>
      </c>
      <c r="K18" s="35">
        <f>IF(SUM('Monthly Avg Balance'!K18:'Monthly Avg Balance'!M18)=0,"",'Monthly Avg Balance'!K18*Rate!E18/12+('Net Interest Income'!E18-SUM('Monthly Avg Balance'!K18:'Monthly Avg Balance'!M18)*Rate!E18/12)*'Monthly Avg Balance'!K18/SUM('Monthly Avg Balance'!K18:'Monthly Avg Balance'!M18))</f>
        <v>3.7715736040609134</v>
      </c>
      <c r="L18" s="35">
        <f>IF(SUM('Monthly Avg Balance'!K18:'Monthly Avg Balance'!M18)=0,"",'Monthly Avg Balance'!L18*Rate!E18/12+('Net Interest Income'!E18-SUM('Monthly Avg Balance'!K18:'Monthly Avg Balance'!M18)*Rate!E18/12)*'Monthly Avg Balance'!L18/SUM('Monthly Avg Balance'!K18:'Monthly Avg Balance'!M18))</f>
        <v>4.0456852791878175</v>
      </c>
      <c r="M18" s="35">
        <f>IF(SUM('Monthly Avg Balance'!K18:'Monthly Avg Balance'!M18)=0,"",'Monthly Avg Balance'!M18*Rate!E18/12+('Net Interest Income'!E18-SUM('Monthly Avg Balance'!K18:'Monthly Avg Balance'!M18)*Rate!E18/12)*'Monthly Avg Balance'!M18/SUM('Monthly Avg Balance'!K18:'Monthly Avg Balance'!M18))</f>
        <v>2.1827411167512691</v>
      </c>
      <c r="N18" s="35">
        <f>IF(SUM('Monthly Avg Balance'!N18:'Monthly Avg Balance'!P18)=0,"",'Monthly Avg Balance'!N18*Rate!F18/12+('Net Interest Income'!F18-SUM('Monthly Avg Balance'!N18:'Monthly Avg Balance'!P18)*Rate!F18/12)*'Monthly Avg Balance'!N18/SUM('Monthly Avg Balance'!N18:'Monthly Avg Balance'!P18))</f>
        <v>2.6521568407471814</v>
      </c>
      <c r="O18" s="35">
        <f>IF(SUM('Monthly Avg Balance'!N18:'Monthly Avg Balance'!P18)=0,"",'Monthly Avg Balance'!O18*Rate!F18/12+('Net Interest Income'!F18-SUM('Monthly Avg Balance'!N18:'Monthly Avg Balance'!P18)*Rate!F18/12)*'Monthly Avg Balance'!O18/SUM('Monthly Avg Balance'!N18:'Monthly Avg Balance'!P18))</f>
        <v>4.6754922308857347</v>
      </c>
      <c r="P18" s="35">
        <f>IF(SUM('Monthly Avg Balance'!N18:'Monthly Avg Balance'!P18)=0,"",'Monthly Avg Balance'!P18*Rate!F18/12+('Net Interest Income'!F18-SUM('Monthly Avg Balance'!N18:'Monthly Avg Balance'!P18)*Rate!F18/12)*'Monthly Avg Balance'!P18/SUM('Monthly Avg Balance'!N18:'Monthly Avg Balance'!P18))</f>
        <v>2.6723509283670839</v>
      </c>
      <c r="Q18" s="35">
        <f>IF(SUM('Monthly Avg Balance'!Q18:'Monthly Avg Balance'!S18)=0,"",'Monthly Avg Balance'!Q18*Rate!G18/12+('Net Interest Income'!G18-SUM('Monthly Avg Balance'!Q18:'Monthly Avg Balance'!S18)*Rate!G18/12)*'Monthly Avg Balance'!Q18/SUM('Monthly Avg Balance'!Q18:'Monthly Avg Balance'!S18))</f>
        <v>2.8879611789053019</v>
      </c>
      <c r="R18" s="35">
        <f>IF(SUM('Monthly Avg Balance'!Q18:'Monthly Avg Balance'!S18)=0,"",'Monthly Avg Balance'!R18*Rate!G18/12+('Net Interest Income'!G18-SUM('Monthly Avg Balance'!Q18:'Monthly Avg Balance'!S18)*Rate!G18/12)*'Monthly Avg Balance'!R18/SUM('Monthly Avg Balance'!Q18:'Monthly Avg Balance'!S18))</f>
        <v>5.1078998073217727</v>
      </c>
      <c r="S18" s="35">
        <f>IF(SUM('Monthly Avg Balance'!Q18:'Monthly Avg Balance'!S18)=0,"",'Monthly Avg Balance'!S18*Rate!G18/12+('Net Interest Income'!G18-SUM('Monthly Avg Balance'!Q18:'Monthly Avg Balance'!S18)*Rate!G18/12)*'Monthly Avg Balance'!S18/SUM('Monthly Avg Balance'!Q18:'Monthly Avg Balance'!S18))</f>
        <v>3.0041390137729254</v>
      </c>
      <c r="T18" s="35">
        <f>IF(SUM('Monthly Avg Balance'!T18:'Monthly Avg Balance'!V18)=0,"",'Monthly Avg Balance'!T18*Rate!H18/12+('Net Interest Income'!H18-SUM('Monthly Avg Balance'!T18:'Monthly Avg Balance'!V18)*Rate!H18/12)*'Monthly Avg Balance'!T18/SUM('Monthly Avg Balance'!T18:'Monthly Avg Balance'!V18))</f>
        <v>2.4780121157729411</v>
      </c>
      <c r="U18" s="35">
        <f>IF(SUM('Monthly Avg Balance'!T18:'Monthly Avg Balance'!V18)=0,"",'Monthly Avg Balance'!U18*Rate!H18/12+('Net Interest Income'!H18-SUM('Monthly Avg Balance'!T18:'Monthly Avg Balance'!V18)*Rate!H18/12)*'Monthly Avg Balance'!U18/SUM('Monthly Avg Balance'!T18:'Monthly Avg Balance'!V18))</f>
        <v>4.1759030738164684</v>
      </c>
      <c r="V18" s="35">
        <f>IF(SUM('Monthly Avg Balance'!T18:'Monthly Avg Balance'!V18)=0,"",'Monthly Avg Balance'!V18*Rate!H18/12+('Net Interest Income'!H18-SUM('Monthly Avg Balance'!T18:'Monthly Avg Balance'!V18)*Rate!H18/12)*'Monthly Avg Balance'!V18/SUM('Monthly Avg Balance'!T18:'Monthly Avg Balance'!V18))</f>
        <v>2.3460848104105896</v>
      </c>
      <c r="W18" s="35">
        <f>IF(SUM('Monthly Avg Balance'!W18:'Monthly Avg Balance'!Y18)=0,"",'Monthly Avg Balance'!W18*Rate!I18/12+('Net Interest Income'!I18-SUM('Monthly Avg Balance'!W18:'Monthly Avg Balance'!Y18)*Rate!I18/12)*'Monthly Avg Balance'!W18/SUM('Monthly Avg Balance'!W18:'Monthly Avg Balance'!Y18))</f>
        <v>3.165473914231085</v>
      </c>
      <c r="X18" s="35">
        <f>IF(SUM('Monthly Avg Balance'!W18:'Monthly Avg Balance'!Y18)=0,"",'Monthly Avg Balance'!X18*Rate!I18/12+('Net Interest Income'!I18-SUM('Monthly Avg Balance'!W18:'Monthly Avg Balance'!Y18)*Rate!I18/12)*'Monthly Avg Balance'!X18/SUM('Monthly Avg Balance'!W18:'Monthly Avg Balance'!Y18))</f>
        <v>5.6279704998634257</v>
      </c>
      <c r="Y18" s="35">
        <f>IF(SUM('Monthly Avg Balance'!W18:'Monthly Avg Balance'!Y18)=0,"",'Monthly Avg Balance'!Y18*Rate!I18/12+('Net Interest Income'!I18-SUM('Monthly Avg Balance'!W18:'Monthly Avg Balance'!Y18)*Rate!I18/12)*'Monthly Avg Balance'!Y18/SUM('Monthly Avg Balance'!W18:'Monthly Avg Balance'!Y18))</f>
        <v>3.2065555859054906</v>
      </c>
      <c r="Z18" s="35">
        <f>IF(SUM('Monthly Avg Balance'!Z18:'Monthly Avg Balance'!AB18)=0,"",'Monthly Avg Balance'!Z18*Rate!J18/12+('Net Interest Income'!J18-SUM('Monthly Avg Balance'!Z18:'Monthly Avg Balance'!AB18)*Rate!J18/12)*'Monthly Avg Balance'!Z18/SUM('Monthly Avg Balance'!Z18:'Monthly Avg Balance'!AB18))</f>
        <v>2.4021494193101054</v>
      </c>
      <c r="AA18" s="35">
        <f>IF(SUM('Monthly Avg Balance'!Z18:'Monthly Avg Balance'!AB18)=0,"",'Monthly Avg Balance'!AA18*Rate!J18/12+('Net Interest Income'!J18-SUM('Monthly Avg Balance'!Z18:'Monthly Avg Balance'!AB18)*Rate!J18/12)*'Monthly Avg Balance'!AA18/SUM('Monthly Avg Balance'!Z18:'Monthly Avg Balance'!AB18))</f>
        <v>4.1908476339053555</v>
      </c>
      <c r="AB18" s="35">
        <f>IF(SUM('Monthly Avg Balance'!Z18:'Monthly Avg Balance'!AB18)=0,"",'Monthly Avg Balance'!AB18*Rate!J18/12+('Net Interest Income'!J18-SUM('Monthly Avg Balance'!Z18:'Monthly Avg Balance'!AB18)*Rate!J18/12)*'Monthly Avg Balance'!AB18/SUM('Monthly Avg Balance'!Z18:'Monthly Avg Balance'!AB18))</f>
        <v>2.4070029467845377</v>
      </c>
      <c r="AC18" s="35">
        <f>IF(SUM('Monthly Avg Balance'!AC18:'Monthly Avg Balance'!AE18)=0,"",'Monthly Avg Balance'!AC18*Rate!K18/12+('Net Interest Income'!K18-SUM('Monthly Avg Balance'!AC18:'Monthly Avg Balance'!AE18)*Rate!K18/12)*'Monthly Avg Balance'!AC18/SUM('Monthly Avg Balance'!AC18:'Monthly Avg Balance'!AE18))</f>
        <v>3.5037641551211482</v>
      </c>
      <c r="AD18" s="35">
        <f>IF(SUM('Monthly Avg Balance'!AC18:'Monthly Avg Balance'!AE18)=0,"",'Monthly Avg Balance'!AD18*Rate!K18/12+('Net Interest Income'!K18-SUM('Monthly Avg Balance'!AC18:'Monthly Avg Balance'!AE18)*Rate!K18/12)*'Monthly Avg Balance'!AD18/SUM('Monthly Avg Balance'!AC18:'Monthly Avg Balance'!AE18))</f>
        <v>6.3689504649838664</v>
      </c>
      <c r="AE18" s="35">
        <f>IF(SUM('Monthly Avg Balance'!AC18:'Monthly Avg Balance'!AE18)=0,"",'Monthly Avg Balance'!AE18*Rate!K18/12+('Net Interest Income'!K18-SUM('Monthly Avg Balance'!AC18:'Monthly Avg Balance'!AE18)*Rate!K18/12)*'Monthly Avg Balance'!AE18/SUM('Monthly Avg Balance'!AC18:'Monthly Avg Balance'!AE18))</f>
        <v>4.1272853798949827</v>
      </c>
      <c r="AF18" s="70">
        <f>'Monthly Avg Balance'!AF18*'Monthly Rate'!AF18/12</f>
        <v>1.70261498861264</v>
      </c>
      <c r="AG18" s="70">
        <f>'Monthly Avg Balance'!AG18*'Monthly Rate'!AG18/12</f>
        <v>1.6754899886126393</v>
      </c>
      <c r="AH18" s="70">
        <f>'Monthly Avg Balance'!AH18*'Monthly Rate'!AH18/12</f>
        <v>1.648364988612639</v>
      </c>
      <c r="AI18" s="70">
        <f>'Monthly Avg Balance'!AI18*'Monthly Rate'!AI18/12</f>
        <v>1.6212399886126383</v>
      </c>
      <c r="AJ18" s="70">
        <f>'Monthly Avg Balance'!AJ18*'Monthly Rate'!AJ18/12</f>
        <v>1.5941149886126382</v>
      </c>
      <c r="AK18" s="70">
        <f>'Monthly Avg Balance'!AK18*'Monthly Rate'!AK18/12</f>
        <v>1.5669899886126375</v>
      </c>
      <c r="AL18" s="70">
        <f>'Monthly Avg Balance'!AL18*'Monthly Rate'!AL18/12</f>
        <v>1.5398649886126374</v>
      </c>
      <c r="AM18" s="70">
        <f>'Monthly Avg Balance'!AM18*'Monthly Rate'!AM18/12</f>
        <v>1.5127399886126376</v>
      </c>
      <c r="AN18" s="70">
        <f>'Monthly Avg Balance'!AN18*'Monthly Rate'!AN18/12</f>
        <v>1.4856149886126369</v>
      </c>
      <c r="AO18" s="70">
        <f>'Monthly Avg Balance'!AO18*'Monthly Rate'!AO18/12</f>
        <v>1.4584899886126366</v>
      </c>
      <c r="AP18" s="70">
        <f>'Monthly Avg Balance'!AP18*'Monthly Rate'!AP18/12</f>
        <v>1.4313649886126358</v>
      </c>
      <c r="AQ18" s="70">
        <f>'Monthly Avg Balance'!AQ18*'Monthly Rate'!AQ18/12</f>
        <v>1.4042399886126358</v>
      </c>
    </row>
    <row r="19" spans="1:43" x14ac:dyDescent="0.2">
      <c r="A19" s="22" t="s">
        <v>91</v>
      </c>
      <c r="B19" s="37">
        <f t="shared" ref="B19:AQ19" si="2">SUM(B15:B18)</f>
        <v>856</v>
      </c>
      <c r="C19" s="37">
        <f t="shared" si="2"/>
        <v>856</v>
      </c>
      <c r="D19" s="37">
        <f t="shared" si="2"/>
        <v>856</v>
      </c>
      <c r="E19" s="37">
        <f t="shared" si="2"/>
        <v>1008.8031322046791</v>
      </c>
      <c r="F19" s="37">
        <f t="shared" si="2"/>
        <v>1017.6666666666666</v>
      </c>
      <c r="G19" s="37">
        <f t="shared" si="2"/>
        <v>1026.530201128654</v>
      </c>
      <c r="H19" s="37">
        <f t="shared" si="2"/>
        <v>1149.5156877718077</v>
      </c>
      <c r="I19" s="37">
        <f t="shared" si="2"/>
        <v>1150.0000000000002</v>
      </c>
      <c r="J19" s="37">
        <f t="shared" si="2"/>
        <v>1150.484312228192</v>
      </c>
      <c r="K19" s="37">
        <f t="shared" si="2"/>
        <v>1203.5144796206014</v>
      </c>
      <c r="L19" s="37">
        <f t="shared" si="2"/>
        <v>1211.8712981871911</v>
      </c>
      <c r="M19" s="37">
        <f t="shared" si="2"/>
        <v>1210.6142221922075</v>
      </c>
      <c r="N19" s="37">
        <f t="shared" si="2"/>
        <v>1227.593437597018</v>
      </c>
      <c r="O19" s="37">
        <f t="shared" si="2"/>
        <v>1226.1508454963657</v>
      </c>
      <c r="P19" s="37">
        <f t="shared" si="2"/>
        <v>1235.2557169066158</v>
      </c>
      <c r="Q19" s="37">
        <f t="shared" si="2"/>
        <v>1249.4019070765589</v>
      </c>
      <c r="R19" s="37">
        <f t="shared" si="2"/>
        <v>1243.0691826814632</v>
      </c>
      <c r="S19" s="37">
        <f t="shared" si="2"/>
        <v>1241.5289102419774</v>
      </c>
      <c r="T19" s="37">
        <f t="shared" si="2"/>
        <v>1255.7707208150655</v>
      </c>
      <c r="U19" s="37">
        <f t="shared" si="2"/>
        <v>1259.7555836978206</v>
      </c>
      <c r="V19" s="37">
        <f t="shared" si="2"/>
        <v>1268.4736954871141</v>
      </c>
      <c r="W19" s="37">
        <f t="shared" si="2"/>
        <v>1205.6549008777395</v>
      </c>
      <c r="X19" s="37">
        <f t="shared" si="2"/>
        <v>1203.486491907925</v>
      </c>
      <c r="Y19" s="37">
        <f t="shared" si="2"/>
        <v>1209.8586072143355</v>
      </c>
      <c r="Z19" s="37">
        <f t="shared" si="2"/>
        <v>1135.7450174461653</v>
      </c>
      <c r="AA19" s="37">
        <f t="shared" si="2"/>
        <v>1138.0746557753932</v>
      </c>
      <c r="AB19" s="37">
        <f t="shared" si="2"/>
        <v>1131.1803267784412</v>
      </c>
      <c r="AC19" s="37">
        <f t="shared" si="2"/>
        <v>1172.6943469846515</v>
      </c>
      <c r="AD19" s="37">
        <f t="shared" si="2"/>
        <v>1271.3932041369671</v>
      </c>
      <c r="AE19" s="37">
        <f t="shared" si="2"/>
        <v>1388.9124488783818</v>
      </c>
      <c r="AF19" s="71">
        <f t="shared" si="2"/>
        <v>1443.8754962606843</v>
      </c>
      <c r="AG19" s="71">
        <f t="shared" si="2"/>
        <v>1435.3216688655514</v>
      </c>
      <c r="AH19" s="71">
        <f t="shared" si="2"/>
        <v>1426.772961422216</v>
      </c>
      <c r="AI19" s="71">
        <f t="shared" si="2"/>
        <v>1418.2293219219255</v>
      </c>
      <c r="AJ19" s="71">
        <f t="shared" si="2"/>
        <v>1409.6906986896765</v>
      </c>
      <c r="AK19" s="71">
        <f t="shared" si="2"/>
        <v>1401.1570403821793</v>
      </c>
      <c r="AL19" s="71">
        <f t="shared" si="2"/>
        <v>1392.6282959858299</v>
      </c>
      <c r="AM19" s="71">
        <f t="shared" si="2"/>
        <v>1384.1044148146991</v>
      </c>
      <c r="AN19" s="71">
        <f t="shared" si="2"/>
        <v>1375.5853465085299</v>
      </c>
      <c r="AO19" s="71">
        <f t="shared" si="2"/>
        <v>1367.0710410307483</v>
      </c>
      <c r="AP19" s="71">
        <f t="shared" si="2"/>
        <v>1358.5614486664854</v>
      </c>
      <c r="AQ19" s="71">
        <f t="shared" si="2"/>
        <v>1350.0565200206117</v>
      </c>
    </row>
    <row r="20" spans="1:43" x14ac:dyDescent="0.2">
      <c r="A20" s="19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x14ac:dyDescent="0.2">
      <c r="A21" s="22" t="s">
        <v>31</v>
      </c>
      <c r="B21" s="37">
        <f t="shared" ref="B21:AQ21" si="3">B12-B19</f>
        <v>2377.931780054214</v>
      </c>
      <c r="C21" s="37">
        <f t="shared" si="3"/>
        <v>2390.2864835461205</v>
      </c>
      <c r="D21" s="37">
        <f t="shared" si="3"/>
        <v>2417.7817363996651</v>
      </c>
      <c r="E21" s="37">
        <f t="shared" si="3"/>
        <v>2380.4457428147862</v>
      </c>
      <c r="F21" s="37">
        <f t="shared" si="3"/>
        <v>2354.8691887286886</v>
      </c>
      <c r="G21" s="37">
        <f t="shared" si="3"/>
        <v>2377.6850684565256</v>
      </c>
      <c r="H21" s="37">
        <f t="shared" si="3"/>
        <v>2469.4085252865066</v>
      </c>
      <c r="I21" s="37">
        <f t="shared" si="3"/>
        <v>2470.0877439550268</v>
      </c>
      <c r="J21" s="37">
        <f t="shared" si="3"/>
        <v>2483.5037307584689</v>
      </c>
      <c r="K21" s="37">
        <f t="shared" si="3"/>
        <v>2499.4654152508961</v>
      </c>
      <c r="L21" s="37">
        <f t="shared" si="3"/>
        <v>2499.8990985870832</v>
      </c>
      <c r="M21" s="37">
        <f t="shared" si="3"/>
        <v>2519.6354861620202</v>
      </c>
      <c r="N21" s="37">
        <f t="shared" si="3"/>
        <v>2511.3532615804252</v>
      </c>
      <c r="O21" s="37">
        <f t="shared" si="3"/>
        <v>2488.2108526949769</v>
      </c>
      <c r="P21" s="37">
        <f t="shared" si="3"/>
        <v>2488.4358857245975</v>
      </c>
      <c r="Q21" s="37">
        <f t="shared" si="3"/>
        <v>2504.7103177126869</v>
      </c>
      <c r="R21" s="37">
        <f t="shared" si="3"/>
        <v>2516.7781380455358</v>
      </c>
      <c r="S21" s="37">
        <f t="shared" si="3"/>
        <v>2524.5115442417764</v>
      </c>
      <c r="T21" s="37">
        <f t="shared" si="3"/>
        <v>2682.6679390563158</v>
      </c>
      <c r="U21" s="37">
        <f t="shared" si="3"/>
        <v>2695.2988870474628</v>
      </c>
      <c r="V21" s="37">
        <f t="shared" si="3"/>
        <v>2698.0331738962209</v>
      </c>
      <c r="W21" s="37">
        <f t="shared" si="3"/>
        <v>2680.0993764734048</v>
      </c>
      <c r="X21" s="37">
        <f t="shared" si="3"/>
        <v>2704.0582305651692</v>
      </c>
      <c r="Y21" s="37">
        <f t="shared" si="3"/>
        <v>2713.8423929614264</v>
      </c>
      <c r="Z21" s="37">
        <f t="shared" si="3"/>
        <v>2678.6668482521754</v>
      </c>
      <c r="AA21" s="37">
        <f t="shared" si="3"/>
        <v>2665.8712011407865</v>
      </c>
      <c r="AB21" s="37">
        <f t="shared" si="3"/>
        <v>2668.4619506070394</v>
      </c>
      <c r="AC21" s="37">
        <f t="shared" si="3"/>
        <v>3000.8106451028257</v>
      </c>
      <c r="AD21" s="37">
        <f t="shared" si="3"/>
        <v>3325.0676492428729</v>
      </c>
      <c r="AE21" s="37">
        <f t="shared" si="3"/>
        <v>3669.1217056543028</v>
      </c>
      <c r="AF21" s="71">
        <f t="shared" si="3"/>
        <v>3905.5042610967557</v>
      </c>
      <c r="AG21" s="71">
        <f t="shared" si="3"/>
        <v>3889.8534375991048</v>
      </c>
      <c r="AH21" s="71">
        <f t="shared" si="3"/>
        <v>3891.9422555656683</v>
      </c>
      <c r="AI21" s="71">
        <f t="shared" si="3"/>
        <v>3894.0248831218469</v>
      </c>
      <c r="AJ21" s="71">
        <f t="shared" si="3"/>
        <v>3878.3433955782493</v>
      </c>
      <c r="AK21" s="71">
        <f t="shared" si="3"/>
        <v>3880.4107738866946</v>
      </c>
      <c r="AL21" s="71">
        <f t="shared" si="3"/>
        <v>3882.4721158166503</v>
      </c>
      <c r="AM21" s="71">
        <f t="shared" si="3"/>
        <v>3866.7604263288704</v>
      </c>
      <c r="AN21" s="71">
        <f t="shared" si="3"/>
        <v>3868.8068241137071</v>
      </c>
      <c r="AO21" s="71">
        <f t="shared" si="3"/>
        <v>3870.8473366028129</v>
      </c>
      <c r="AP21" s="71">
        <f t="shared" si="3"/>
        <v>3855.1058984251031</v>
      </c>
      <c r="AQ21" s="71">
        <f t="shared" si="3"/>
        <v>3857.1317660273608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22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5" x14ac:dyDescent="0.2"/>
  <cols>
    <col min="1" max="1" width="43" customWidth="1"/>
    <col min="2" max="43" width="12" customWidth="1"/>
  </cols>
  <sheetData>
    <row r="1" spans="1:43" ht="18" x14ac:dyDescent="0.2">
      <c r="A1" s="23" t="s">
        <v>105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</row>
    <row r="2" spans="1:43" ht="31" customHeight="1" x14ac:dyDescent="0.2">
      <c r="A2" s="25" t="s">
        <v>106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</row>
    <row r="4" spans="1:43" x14ac:dyDescent="0.2">
      <c r="A4" s="22" t="s">
        <v>1</v>
      </c>
      <c r="B4" s="26">
        <v>44957</v>
      </c>
      <c r="C4" s="26">
        <v>44985</v>
      </c>
      <c r="D4" s="26">
        <v>45016</v>
      </c>
      <c r="E4" s="26">
        <v>45046</v>
      </c>
      <c r="F4" s="26">
        <v>45077</v>
      </c>
      <c r="G4" s="26">
        <v>45107</v>
      </c>
      <c r="H4" s="26">
        <v>45138</v>
      </c>
      <c r="I4" s="26">
        <v>45169</v>
      </c>
      <c r="J4" s="26">
        <v>45199</v>
      </c>
      <c r="K4" s="26">
        <v>45230</v>
      </c>
      <c r="L4" s="26">
        <v>45260</v>
      </c>
      <c r="M4" s="26">
        <v>45291</v>
      </c>
      <c r="N4" s="26">
        <v>45322</v>
      </c>
      <c r="O4" s="26">
        <v>45351</v>
      </c>
      <c r="P4" s="26">
        <v>45382</v>
      </c>
      <c r="Q4" s="26">
        <v>45412</v>
      </c>
      <c r="R4" s="26">
        <v>45443</v>
      </c>
      <c r="S4" s="26">
        <v>45473</v>
      </c>
      <c r="T4" s="26">
        <v>45504</v>
      </c>
      <c r="U4" s="26">
        <v>45535</v>
      </c>
      <c r="V4" s="26">
        <v>45565</v>
      </c>
      <c r="W4" s="26">
        <v>45596</v>
      </c>
      <c r="X4" s="26">
        <v>45626</v>
      </c>
      <c r="Y4" s="26">
        <v>45657</v>
      </c>
      <c r="Z4" s="26">
        <v>45688</v>
      </c>
      <c r="AA4" s="26">
        <v>45716</v>
      </c>
      <c r="AB4" s="26">
        <v>45747</v>
      </c>
      <c r="AC4" s="26">
        <v>45777</v>
      </c>
      <c r="AD4" s="26">
        <v>45808</v>
      </c>
      <c r="AE4" s="26">
        <v>45838</v>
      </c>
      <c r="AF4" s="64">
        <v>45869</v>
      </c>
      <c r="AG4" s="64">
        <v>45900</v>
      </c>
      <c r="AH4" s="64">
        <v>45930</v>
      </c>
      <c r="AI4" s="64">
        <v>45961</v>
      </c>
      <c r="AJ4" s="64">
        <v>45991</v>
      </c>
      <c r="AK4" s="64">
        <v>46022</v>
      </c>
      <c r="AL4" s="64">
        <v>46053</v>
      </c>
      <c r="AM4" s="64">
        <v>46081</v>
      </c>
      <c r="AN4" s="64">
        <v>46112</v>
      </c>
      <c r="AO4" s="64">
        <v>46142</v>
      </c>
      <c r="AP4" s="64">
        <v>46173</v>
      </c>
      <c r="AQ4" s="64">
        <v>46203</v>
      </c>
    </row>
    <row r="5" spans="1:43" x14ac:dyDescent="0.2">
      <c r="A5" s="27" t="s">
        <v>12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</row>
    <row r="6" spans="1:43" x14ac:dyDescent="0.2">
      <c r="A6" s="19" t="s">
        <v>80</v>
      </c>
      <c r="B6" s="38">
        <f>IF('Monthly Avg Balance'!B6=0,"",'Monthly NII'!B6*12/'Monthly Avg Balance'!B6)</f>
        <v>0.17978896405260306</v>
      </c>
      <c r="C6" s="38">
        <f>IF('Monthly Avg Balance'!C6=0,"",'Monthly NII'!C6*12/'Monthly Avg Balance'!C6)</f>
        <v>0.17978896405260306</v>
      </c>
      <c r="D6" s="38">
        <f>IF('Monthly Avg Balance'!D6=0,"",'Monthly NII'!D6*12/'Monthly Avg Balance'!D6)</f>
        <v>0.17978896405260306</v>
      </c>
      <c r="E6" s="38">
        <f>IF('Monthly Avg Balance'!E6=0,"",'Monthly NII'!E6*12/'Monthly Avg Balance'!E6)</f>
        <v>0.18166356783557461</v>
      </c>
      <c r="F6" s="38">
        <f>IF('Monthly Avg Balance'!F6=0,"",'Monthly NII'!F6*12/'Monthly Avg Balance'!F6)</f>
        <v>0.18166356783557458</v>
      </c>
      <c r="G6" s="38">
        <f>IF('Monthly Avg Balance'!G6=0,"",'Monthly NII'!G6*12/'Monthly Avg Balance'!G6)</f>
        <v>0.18166356783557458</v>
      </c>
      <c r="H6" s="38">
        <f>IF('Monthly Avg Balance'!H6=0,"",'Monthly NII'!H6*12/'Monthly Avg Balance'!H6)</f>
        <v>0.19020777075104303</v>
      </c>
      <c r="I6" s="38">
        <f>IF('Monthly Avg Balance'!I6=0,"",'Monthly NII'!I6*12/'Monthly Avg Balance'!I6)</f>
        <v>0.190207770751043</v>
      </c>
      <c r="J6" s="38">
        <f>IF('Monthly Avg Balance'!J6=0,"",'Monthly NII'!J6*12/'Monthly Avg Balance'!J6)</f>
        <v>0.190207770751043</v>
      </c>
      <c r="K6" s="38">
        <f>IF('Monthly Avg Balance'!K6=0,"",'Monthly NII'!K6*12/'Monthly Avg Balance'!K6)</f>
        <v>0.18899891937237298</v>
      </c>
      <c r="L6" s="38">
        <f>IF('Monthly Avg Balance'!L6=0,"",'Monthly NII'!L6*12/'Monthly Avg Balance'!L6)</f>
        <v>0.18899891937237301</v>
      </c>
      <c r="M6" s="38">
        <f>IF('Monthly Avg Balance'!M6=0,"",'Monthly NII'!M6*12/'Monthly Avg Balance'!M6)</f>
        <v>0.18899891937237304</v>
      </c>
      <c r="N6" s="38">
        <f>IF('Monthly Avg Balance'!N6=0,"",'Monthly NII'!N6*12/'Monthly Avg Balance'!N6)</f>
        <v>0.18852465638788732</v>
      </c>
      <c r="O6" s="38">
        <f>IF('Monthly Avg Balance'!O6=0,"",'Monthly NII'!O6*12/'Monthly Avg Balance'!O6)</f>
        <v>0.18852465638788737</v>
      </c>
      <c r="P6" s="38">
        <f>IF('Monthly Avg Balance'!P6=0,"",'Monthly NII'!P6*12/'Monthly Avg Balance'!P6)</f>
        <v>0.18852465638788732</v>
      </c>
      <c r="Q6" s="38">
        <f>IF('Monthly Avg Balance'!Q6=0,"",'Monthly NII'!Q6*12/'Monthly Avg Balance'!Q6)</f>
        <v>0.18795271768406724</v>
      </c>
      <c r="R6" s="38">
        <f>IF('Monthly Avg Balance'!R6=0,"",'Monthly NII'!R6*12/'Monthly Avg Balance'!R6)</f>
        <v>0.18795271768406724</v>
      </c>
      <c r="S6" s="38">
        <f>IF('Monthly Avg Balance'!S6=0,"",'Monthly NII'!S6*12/'Monthly Avg Balance'!S6)</f>
        <v>0.18795271768406721</v>
      </c>
      <c r="T6" s="38">
        <f>IF('Monthly Avg Balance'!T6=0,"",'Monthly NII'!T6*12/'Monthly Avg Balance'!T6)</f>
        <v>0.19632418227633983</v>
      </c>
      <c r="U6" s="38">
        <f>IF('Monthly Avg Balance'!U6=0,"",'Monthly NII'!U6*12/'Monthly Avg Balance'!U6)</f>
        <v>0.19632418227633983</v>
      </c>
      <c r="V6" s="38">
        <f>IF('Monthly Avg Balance'!V6=0,"",'Monthly NII'!V6*12/'Monthly Avg Balance'!V6)</f>
        <v>0.19632418227633983</v>
      </c>
      <c r="W6" s="38">
        <f>IF('Monthly Avg Balance'!W6=0,"",'Monthly NII'!W6*12/'Monthly Avg Balance'!W6)</f>
        <v>0.19051424295377017</v>
      </c>
      <c r="X6" s="38">
        <f>IF('Monthly Avg Balance'!X6=0,"",'Monthly NII'!X6*12/'Monthly Avg Balance'!X6)</f>
        <v>0.19051424295377017</v>
      </c>
      <c r="Y6" s="38">
        <f>IF('Monthly Avg Balance'!Y6=0,"",'Monthly NII'!Y6*12/'Monthly Avg Balance'!Y6)</f>
        <v>0.19051424295377017</v>
      </c>
      <c r="Z6" s="38">
        <f>IF('Monthly Avg Balance'!Z6=0,"",'Monthly NII'!Z6*12/'Monthly Avg Balance'!Z6)</f>
        <v>0.18616353741695019</v>
      </c>
      <c r="AA6" s="38">
        <f>IF('Monthly Avg Balance'!AA6=0,"",'Monthly NII'!AA6*12/'Monthly Avg Balance'!AA6)</f>
        <v>0.18616353741695021</v>
      </c>
      <c r="AB6" s="38">
        <f>IF('Monthly Avg Balance'!AB6=0,"",'Monthly NII'!AB6*12/'Monthly Avg Balance'!AB6)</f>
        <v>0.18616353741695021</v>
      </c>
      <c r="AC6" s="38">
        <f>IF('Monthly Avg Balance'!AC6=0,"",'Monthly NII'!AC6*12/'Monthly Avg Balance'!AC6)</f>
        <v>0.17674241937148993</v>
      </c>
      <c r="AD6" s="38">
        <f>IF('Monthly Avg Balance'!AD6=0,"",'Monthly NII'!AD6*12/'Monthly Avg Balance'!AD6)</f>
        <v>0.17674241937148993</v>
      </c>
      <c r="AE6" s="38">
        <f>IF('Monthly Avg Balance'!AE6=0,"",'Monthly NII'!AE6*12/'Monthly Avg Balance'!AE6)</f>
        <v>0.17674241937148993</v>
      </c>
      <c r="AF6" s="73">
        <f>MAX(0,'Forecast Drivers'!C15/100+'Forecast Drivers'!$B$21)</f>
        <v>0.17674241937148993</v>
      </c>
      <c r="AG6" s="73">
        <f>MAX(0,'Forecast Drivers'!D15/100+'Forecast Drivers'!$B$21)</f>
        <v>0.17586741937148989</v>
      </c>
      <c r="AH6" s="73">
        <f>MAX(0,'Forecast Drivers'!E15/100+'Forecast Drivers'!$B$21)</f>
        <v>0.17586741937148989</v>
      </c>
      <c r="AI6" s="73">
        <f>MAX(0,'Forecast Drivers'!F15/100+'Forecast Drivers'!$B$21)</f>
        <v>0.17586741937148989</v>
      </c>
      <c r="AJ6" s="73">
        <f>MAX(0,'Forecast Drivers'!G15/100+'Forecast Drivers'!$B$21)</f>
        <v>0.1749924193714899</v>
      </c>
      <c r="AK6" s="73">
        <f>MAX(0,'Forecast Drivers'!H15/100+'Forecast Drivers'!$B$21)</f>
        <v>0.1749924193714899</v>
      </c>
      <c r="AL6" s="73">
        <f>MAX(0,'Forecast Drivers'!I15/100+'Forecast Drivers'!$B$21)</f>
        <v>0.1749924193714899</v>
      </c>
      <c r="AM6" s="73">
        <f>MAX(0,'Forecast Drivers'!J15/100+'Forecast Drivers'!$B$21)</f>
        <v>0.17411741937148995</v>
      </c>
      <c r="AN6" s="73">
        <f>MAX(0,'Forecast Drivers'!K15/100+'Forecast Drivers'!$B$21)</f>
        <v>0.17411741937148995</v>
      </c>
      <c r="AO6" s="73">
        <f>MAX(0,'Forecast Drivers'!L15/100+'Forecast Drivers'!$B$21)</f>
        <v>0.17411741937148995</v>
      </c>
      <c r="AP6" s="73">
        <f>MAX(0,'Forecast Drivers'!M15/100+'Forecast Drivers'!$B$21)</f>
        <v>0.17324241937148996</v>
      </c>
      <c r="AQ6" s="73">
        <f>MAX(0,'Forecast Drivers'!N15/100+'Forecast Drivers'!$B$21)</f>
        <v>0.17324241937148996</v>
      </c>
    </row>
    <row r="7" spans="1:43" x14ac:dyDescent="0.2">
      <c r="A7" s="19" t="s">
        <v>81</v>
      </c>
      <c r="B7" s="38">
        <f>IF('Monthly Avg Balance'!B7=0,"",'Monthly NII'!B7*12/'Monthly Avg Balance'!B7)</f>
        <v>7.3974683544303796E-2</v>
      </c>
      <c r="C7" s="38">
        <f>IF('Monthly Avg Balance'!C7=0,"",'Monthly NII'!C7*12/'Monthly Avg Balance'!C7)</f>
        <v>7.3974683544303796E-2</v>
      </c>
      <c r="D7" s="38">
        <f>IF('Monthly Avg Balance'!D7=0,"",'Monthly NII'!D7*12/'Monthly Avg Balance'!D7)</f>
        <v>7.3974683544303796E-2</v>
      </c>
      <c r="E7" s="38">
        <f>IF('Monthly Avg Balance'!E7=0,"",'Monthly NII'!E7*12/'Monthly Avg Balance'!E7)</f>
        <v>7.6500341059730484E-2</v>
      </c>
      <c r="F7" s="38">
        <f>IF('Monthly Avg Balance'!F7=0,"",'Monthly NII'!F7*12/'Monthly Avg Balance'!F7)</f>
        <v>7.6500341059730498E-2</v>
      </c>
      <c r="G7" s="38">
        <f>IF('Monthly Avg Balance'!G7=0,"",'Monthly NII'!G7*12/'Monthly Avg Balance'!G7)</f>
        <v>7.6500341059730498E-2</v>
      </c>
      <c r="H7" s="38">
        <f>IF('Monthly Avg Balance'!H7=0,"",'Monthly NII'!H7*12/'Monthly Avg Balance'!H7)</f>
        <v>7.9684786271612615E-2</v>
      </c>
      <c r="I7" s="38">
        <f>IF('Monthly Avg Balance'!I7=0,"",'Monthly NII'!I7*12/'Monthly Avg Balance'!I7)</f>
        <v>7.9684786271612615E-2</v>
      </c>
      <c r="J7" s="38">
        <f>IF('Monthly Avg Balance'!J7=0,"",'Monthly NII'!J7*12/'Monthly Avg Balance'!J7)</f>
        <v>7.9684786271612601E-2</v>
      </c>
      <c r="K7" s="38">
        <f>IF('Monthly Avg Balance'!K7=0,"",'Monthly NII'!K7*12/'Monthly Avg Balance'!K7)</f>
        <v>8.2171671576646357E-2</v>
      </c>
      <c r="L7" s="38">
        <f>IF('Monthly Avg Balance'!L7=0,"",'Monthly NII'!L7*12/'Monthly Avg Balance'!L7)</f>
        <v>8.2171671576646357E-2</v>
      </c>
      <c r="M7" s="38">
        <f>IF('Monthly Avg Balance'!M7=0,"",'Monthly NII'!M7*12/'Monthly Avg Balance'!M7)</f>
        <v>8.2171671576646371E-2</v>
      </c>
      <c r="N7" s="38">
        <f>IF('Monthly Avg Balance'!N7=0,"",'Monthly NII'!N7*12/'Monthly Avg Balance'!N7)</f>
        <v>8.3672236297296115E-2</v>
      </c>
      <c r="O7" s="38">
        <f>IF('Monthly Avg Balance'!O7=0,"",'Monthly NII'!O7*12/'Monthly Avg Balance'!O7)</f>
        <v>8.3672236297296115E-2</v>
      </c>
      <c r="P7" s="38">
        <f>IF('Monthly Avg Balance'!P7=0,"",'Monthly NII'!P7*12/'Monthly Avg Balance'!P7)</f>
        <v>8.3672236297296101E-2</v>
      </c>
      <c r="Q7" s="38">
        <f>IF('Monthly Avg Balance'!Q7=0,"",'Monthly NII'!Q7*12/'Monthly Avg Balance'!Q7)</f>
        <v>8.5512526319366955E-2</v>
      </c>
      <c r="R7" s="38">
        <f>IF('Monthly Avg Balance'!R7=0,"",'Monthly NII'!R7*12/'Monthly Avg Balance'!R7)</f>
        <v>8.5512526319366955E-2</v>
      </c>
      <c r="S7" s="38">
        <f>IF('Monthly Avg Balance'!S7=0,"",'Monthly NII'!S7*12/'Monthly Avg Balance'!S7)</f>
        <v>8.5512526319366955E-2</v>
      </c>
      <c r="T7" s="38">
        <f>IF('Monthly Avg Balance'!T7=0,"",'Monthly NII'!T7*12/'Monthly Avg Balance'!T7)</f>
        <v>8.8865794498759226E-2</v>
      </c>
      <c r="U7" s="38">
        <f>IF('Monthly Avg Balance'!U7=0,"",'Monthly NII'!U7*12/'Monthly Avg Balance'!U7)</f>
        <v>8.886579449875924E-2</v>
      </c>
      <c r="V7" s="38">
        <f>IF('Monthly Avg Balance'!V7=0,"",'Monthly NII'!V7*12/'Monthly Avg Balance'!V7)</f>
        <v>8.886579449875924E-2</v>
      </c>
      <c r="W7" s="38">
        <f>IF('Monthly Avg Balance'!W7=0,"",'Monthly NII'!W7*12/'Monthly Avg Balance'!W7)</f>
        <v>9.050266541693E-2</v>
      </c>
      <c r="X7" s="38">
        <f>IF('Monthly Avg Balance'!X7=0,"",'Monthly NII'!X7*12/'Monthly Avg Balance'!X7)</f>
        <v>9.0502665416929987E-2</v>
      </c>
      <c r="Y7" s="38">
        <f>IF('Monthly Avg Balance'!Y7=0,"",'Monthly NII'!Y7*12/'Monthly Avg Balance'!Y7)</f>
        <v>9.050266541693E-2</v>
      </c>
      <c r="Z7" s="38">
        <f>IF('Monthly Avg Balance'!Z7=0,"",'Monthly NII'!Z7*12/'Monthly Avg Balance'!Z7)</f>
        <v>9.0419355916732808E-2</v>
      </c>
      <c r="AA7" s="38">
        <f>IF('Monthly Avg Balance'!AA7=0,"",'Monthly NII'!AA7*12/'Monthly Avg Balance'!AA7)</f>
        <v>9.0419355916732808E-2</v>
      </c>
      <c r="AB7" s="38">
        <f>IF('Monthly Avg Balance'!AB7=0,"",'Monthly NII'!AB7*12/'Monthly Avg Balance'!AB7)</f>
        <v>9.0419355916732808E-2</v>
      </c>
      <c r="AC7" s="38">
        <f>IF('Monthly Avg Balance'!AC7=0,"",'Monthly NII'!AC7*12/'Monthly Avg Balance'!AC7)</f>
        <v>9.5206446303912243E-2</v>
      </c>
      <c r="AD7" s="38">
        <f>IF('Monthly Avg Balance'!AD7=0,"",'Monthly NII'!AD7*12/'Monthly Avg Balance'!AD7)</f>
        <v>9.5206446303912229E-2</v>
      </c>
      <c r="AE7" s="38">
        <f>IF('Monthly Avg Balance'!AE7=0,"",'Monthly NII'!AE7*12/'Monthly Avg Balance'!AE7)</f>
        <v>9.5206446303912243E-2</v>
      </c>
      <c r="AF7" s="73">
        <f>MAX(0,'Forecast Drivers'!C10/100+'Forecast Drivers'!$B$22)</f>
        <v>9.5189779637245578E-2</v>
      </c>
      <c r="AG7" s="73">
        <f>MAX(0,'Forecast Drivers'!D10/100+'Forecast Drivers'!$B$22)</f>
        <v>9.5173112970578899E-2</v>
      </c>
      <c r="AH7" s="73">
        <f>MAX(0,'Forecast Drivers'!E10/100+'Forecast Drivers'!$B$22)</f>
        <v>9.5156446303912234E-2</v>
      </c>
      <c r="AI7" s="73">
        <f>MAX(0,'Forecast Drivers'!F10/100+'Forecast Drivers'!$B$22)</f>
        <v>9.513977963724557E-2</v>
      </c>
      <c r="AJ7" s="73">
        <f>MAX(0,'Forecast Drivers'!G10/100+'Forecast Drivers'!$B$22)</f>
        <v>9.5123112970578891E-2</v>
      </c>
      <c r="AK7" s="73">
        <f>MAX(0,'Forecast Drivers'!H10/100+'Forecast Drivers'!$B$22)</f>
        <v>9.5106446303912226E-2</v>
      </c>
      <c r="AL7" s="73">
        <f>MAX(0,'Forecast Drivers'!I10/100+'Forecast Drivers'!$B$22)</f>
        <v>9.5089779637245561E-2</v>
      </c>
      <c r="AM7" s="73">
        <f>MAX(0,'Forecast Drivers'!J10/100+'Forecast Drivers'!$B$22)</f>
        <v>9.5073112970578882E-2</v>
      </c>
      <c r="AN7" s="73">
        <f>MAX(0,'Forecast Drivers'!K10/100+'Forecast Drivers'!$B$22)</f>
        <v>9.5056446303912218E-2</v>
      </c>
      <c r="AO7" s="73">
        <f>MAX(0,'Forecast Drivers'!L10/100+'Forecast Drivers'!$B$22)</f>
        <v>9.5039779637245553E-2</v>
      </c>
      <c r="AP7" s="73">
        <f>MAX(0,'Forecast Drivers'!M10/100+'Forecast Drivers'!$B$22)</f>
        <v>9.5023112970578874E-2</v>
      </c>
      <c r="AQ7" s="73">
        <f>MAX(0,'Forecast Drivers'!N10/100+'Forecast Drivers'!$B$22)</f>
        <v>9.5006446303912209E-2</v>
      </c>
    </row>
    <row r="8" spans="1:43" x14ac:dyDescent="0.2">
      <c r="A8" s="19" t="s">
        <v>82</v>
      </c>
      <c r="B8" s="38">
        <f>IF('Monthly Avg Balance'!B8=0,"",'Monthly NII'!B8*12/'Monthly Avg Balance'!B8)</f>
        <v>6.3020138491836589E-2</v>
      </c>
      <c r="C8" s="38">
        <f>IF('Monthly Avg Balance'!C8=0,"",'Monthly NII'!C8*12/'Monthly Avg Balance'!C8)</f>
        <v>6.3020138491836589E-2</v>
      </c>
      <c r="D8" s="38">
        <f>IF('Monthly Avg Balance'!D8=0,"",'Monthly NII'!D8*12/'Monthly Avg Balance'!D8)</f>
        <v>6.3020138491836589E-2</v>
      </c>
      <c r="E8" s="38">
        <f>IF('Monthly Avg Balance'!E8=0,"",'Monthly NII'!E8*12/'Monthly Avg Balance'!E8)</f>
        <v>6.7324285744721657E-2</v>
      </c>
      <c r="F8" s="38">
        <f>IF('Monthly Avg Balance'!F8=0,"",'Monthly NII'!F8*12/'Monthly Avg Balance'!F8)</f>
        <v>6.7324285744721643E-2</v>
      </c>
      <c r="G8" s="38">
        <f>IF('Monthly Avg Balance'!G8=0,"",'Monthly NII'!G8*12/'Monthly Avg Balance'!G8)</f>
        <v>6.7324285744721643E-2</v>
      </c>
      <c r="H8" s="38">
        <f>IF('Monthly Avg Balance'!H8=0,"",'Monthly NII'!H8*12/'Monthly Avg Balance'!H8)</f>
        <v>7.1194744943308699E-2</v>
      </c>
      <c r="I8" s="38">
        <f>IF('Monthly Avg Balance'!I8=0,"",'Monthly NII'!I8*12/'Monthly Avg Balance'!I8)</f>
        <v>7.1194744943308685E-2</v>
      </c>
      <c r="J8" s="38">
        <f>IF('Monthly Avg Balance'!J8=0,"",'Monthly NII'!J8*12/'Monthly Avg Balance'!J8)</f>
        <v>7.1194744943308699E-2</v>
      </c>
      <c r="K8" s="38">
        <f>IF('Monthly Avg Balance'!K8=0,"",'Monthly NII'!K8*12/'Monthly Avg Balance'!K8)</f>
        <v>7.2472623264570185E-2</v>
      </c>
      <c r="L8" s="38">
        <f>IF('Monthly Avg Balance'!L8=0,"",'Monthly NII'!L8*12/'Monthly Avg Balance'!L8)</f>
        <v>7.2472623264570157E-2</v>
      </c>
      <c r="M8" s="38">
        <f>IF('Monthly Avg Balance'!M8=0,"",'Monthly NII'!M8*12/'Monthly Avg Balance'!M8)</f>
        <v>7.2472623264570171E-2</v>
      </c>
      <c r="N8" s="38">
        <f>IF('Monthly Avg Balance'!N8=0,"",'Monthly NII'!N8*12/'Monthly Avg Balance'!N8)</f>
        <v>7.1563484511366099E-2</v>
      </c>
      <c r="O8" s="38">
        <f>IF('Monthly Avg Balance'!O8=0,"",'Monthly NII'!O8*12/'Monthly Avg Balance'!O8)</f>
        <v>7.1563484511366099E-2</v>
      </c>
      <c r="P8" s="38">
        <f>IF('Monthly Avg Balance'!P8=0,"",'Monthly NII'!P8*12/'Monthly Avg Balance'!P8)</f>
        <v>7.1563484511366099E-2</v>
      </c>
      <c r="Q8" s="38">
        <f>IF('Monthly Avg Balance'!Q8=0,"",'Monthly NII'!Q8*12/'Monthly Avg Balance'!Q8)</f>
        <v>7.2355371006022864E-2</v>
      </c>
      <c r="R8" s="38">
        <f>IF('Monthly Avg Balance'!R8=0,"",'Monthly NII'!R8*12/'Monthly Avg Balance'!R8)</f>
        <v>7.2355371006022878E-2</v>
      </c>
      <c r="S8" s="38">
        <f>IF('Monthly Avg Balance'!S8=0,"",'Monthly NII'!S8*12/'Monthly Avg Balance'!S8)</f>
        <v>7.2355371006022878E-2</v>
      </c>
      <c r="T8" s="38">
        <f>IF('Monthly Avg Balance'!T8=0,"",'Monthly NII'!T8*12/'Monthly Avg Balance'!T8)</f>
        <v>7.2780150867293211E-2</v>
      </c>
      <c r="U8" s="38">
        <f>IF('Monthly Avg Balance'!U8=0,"",'Monthly NII'!U8*12/'Monthly Avg Balance'!U8)</f>
        <v>7.2780150867293225E-2</v>
      </c>
      <c r="V8" s="38">
        <f>IF('Monthly Avg Balance'!V8=0,"",'Monthly NII'!V8*12/'Monthly Avg Balance'!V8)</f>
        <v>7.2780150867293211E-2</v>
      </c>
      <c r="W8" s="38">
        <f>IF('Monthly Avg Balance'!W8=0,"",'Monthly NII'!W8*12/'Monthly Avg Balance'!W8)</f>
        <v>6.7496131871985221E-2</v>
      </c>
      <c r="X8" s="38">
        <f>IF('Monthly Avg Balance'!X8=0,"",'Monthly NII'!X8*12/'Monthly Avg Balance'!X8)</f>
        <v>6.7496131871985249E-2</v>
      </c>
      <c r="Y8" s="38">
        <f>IF('Monthly Avg Balance'!Y8=0,"",'Monthly NII'!Y8*12/'Monthly Avg Balance'!Y8)</f>
        <v>6.7496131871985235E-2</v>
      </c>
      <c r="Z8" s="38">
        <f>IF('Monthly Avg Balance'!Z8=0,"",'Monthly NII'!Z8*12/'Monthly Avg Balance'!Z8)</f>
        <v>6.3082032929716855E-2</v>
      </c>
      <c r="AA8" s="38">
        <f>IF('Monthly Avg Balance'!AA8=0,"",'Monthly NII'!AA8*12/'Monthly Avg Balance'!AA8)</f>
        <v>6.3082032929716869E-2</v>
      </c>
      <c r="AB8" s="38">
        <f>IF('Monthly Avg Balance'!AB8=0,"",'Monthly NII'!AB8*12/'Monthly Avg Balance'!AB8)</f>
        <v>6.3082032929716869E-2</v>
      </c>
      <c r="AC8" s="38">
        <f>IF('Monthly Avg Balance'!AC8=0,"",'Monthly NII'!AC8*12/'Monthly Avg Balance'!AC8)</f>
        <v>6.5725070483009324E-2</v>
      </c>
      <c r="AD8" s="38">
        <f>IF('Monthly Avg Balance'!AD8=0,"",'Monthly NII'!AD8*12/'Monthly Avg Balance'!AD8)</f>
        <v>6.5725070483009324E-2</v>
      </c>
      <c r="AE8" s="38">
        <f>IF('Monthly Avg Balance'!AE8=0,"",'Monthly NII'!AE8*12/'Monthly Avg Balance'!AE8)</f>
        <v>6.5725070483009324E-2</v>
      </c>
      <c r="AF8" s="73">
        <f>MAX(0,'Forecast Drivers'!C8/100+'Forecast Drivers'!$B$23)</f>
        <v>6.5475070483009323E-2</v>
      </c>
      <c r="AG8" s="73">
        <f>MAX(0,'Forecast Drivers'!D8/100+'Forecast Drivers'!$B$23)</f>
        <v>6.5225070483009323E-2</v>
      </c>
      <c r="AH8" s="73">
        <f>MAX(0,'Forecast Drivers'!E8/100+'Forecast Drivers'!$B$23)</f>
        <v>6.4975070483009309E-2</v>
      </c>
      <c r="AI8" s="73">
        <f>MAX(0,'Forecast Drivers'!F8/100+'Forecast Drivers'!$B$23)</f>
        <v>6.4725070483009309E-2</v>
      </c>
      <c r="AJ8" s="73">
        <f>MAX(0,'Forecast Drivers'!G8/100+'Forecast Drivers'!$B$23)</f>
        <v>6.4475070483009309E-2</v>
      </c>
      <c r="AK8" s="73">
        <f>MAX(0,'Forecast Drivers'!H8/100+'Forecast Drivers'!$B$23)</f>
        <v>6.4225070483009308E-2</v>
      </c>
      <c r="AL8" s="73">
        <f>MAX(0,'Forecast Drivers'!I8/100+'Forecast Drivers'!$B$23)</f>
        <v>6.3975070483009308E-2</v>
      </c>
      <c r="AM8" s="73">
        <f>MAX(0,'Forecast Drivers'!J8/100+'Forecast Drivers'!$B$23)</f>
        <v>6.3725070483009294E-2</v>
      </c>
      <c r="AN8" s="73">
        <f>MAX(0,'Forecast Drivers'!K8/100+'Forecast Drivers'!$B$23)</f>
        <v>6.3475070483009294E-2</v>
      </c>
      <c r="AO8" s="73">
        <f>MAX(0,'Forecast Drivers'!L8/100+'Forecast Drivers'!$B$23)</f>
        <v>6.3225070483009294E-2</v>
      </c>
      <c r="AP8" s="73">
        <f>MAX(0,'Forecast Drivers'!M8/100+'Forecast Drivers'!$B$23)</f>
        <v>6.2975070483009293E-2</v>
      </c>
      <c r="AQ8" s="73">
        <f>MAX(0,'Forecast Drivers'!N8/100+'Forecast Drivers'!$B$23)</f>
        <v>6.2725070483009279E-2</v>
      </c>
    </row>
    <row r="9" spans="1:43" x14ac:dyDescent="0.2">
      <c r="A9" s="22" t="s">
        <v>83</v>
      </c>
      <c r="B9" s="40">
        <f>IF('Monthly Avg Balance'!B9=0,"",'Monthly NII'!B9*12/'Monthly Avg Balance'!B9)</f>
        <v>0.11324343183551595</v>
      </c>
      <c r="C9" s="40">
        <f>IF('Monthly Avg Balance'!C9=0,"",'Monthly NII'!C9*12/'Monthly Avg Balance'!C9)</f>
        <v>0.11324343183551595</v>
      </c>
      <c r="D9" s="40">
        <f>IF('Monthly Avg Balance'!D9=0,"",'Monthly NII'!D9*12/'Monthly Avg Balance'!D9)</f>
        <v>0.11324343183551595</v>
      </c>
      <c r="E9" s="40">
        <f>IF('Monthly Avg Balance'!E9=0,"",'Monthly NII'!E9*12/'Monthly Avg Balance'!E9)</f>
        <v>0.11673836338150707</v>
      </c>
      <c r="F9" s="40">
        <f>IF('Monthly Avg Balance'!F9=0,"",'Monthly NII'!F9*12/'Monthly Avg Balance'!F9)</f>
        <v>0.11673836338150709</v>
      </c>
      <c r="G9" s="40">
        <f>IF('Monthly Avg Balance'!G9=0,"",'Monthly NII'!G9*12/'Monthly Avg Balance'!G9)</f>
        <v>0.11673836338150706</v>
      </c>
      <c r="H9" s="40">
        <f>IF('Monthly Avg Balance'!H9=0,"",'Monthly NII'!H9*12/'Monthly Avg Balance'!H9)</f>
        <v>0.12372831069893864</v>
      </c>
      <c r="I9" s="40">
        <f>IF('Monthly Avg Balance'!I9=0,"",'Monthly NII'!I9*12/'Monthly Avg Balance'!I9)</f>
        <v>0.12372831069893866</v>
      </c>
      <c r="J9" s="40">
        <f>IF('Monthly Avg Balance'!J9=0,"",'Monthly NII'!J9*12/'Monthly Avg Balance'!J9)</f>
        <v>0.12372831069893864</v>
      </c>
      <c r="K9" s="40">
        <f>IF('Monthly Avg Balance'!K9=0,"",'Monthly NII'!K9*12/'Monthly Avg Balance'!K9)</f>
        <v>0.1255528774377557</v>
      </c>
      <c r="L9" s="40">
        <f>IF('Monthly Avg Balance'!L9=0,"",'Monthly NII'!L9*12/'Monthly Avg Balance'!L9)</f>
        <v>0.1255528774377557</v>
      </c>
      <c r="M9" s="40">
        <f>IF('Monthly Avg Balance'!M9=0,"",'Monthly NII'!M9*12/'Monthly Avg Balance'!M9)</f>
        <v>0.1255528774377557</v>
      </c>
      <c r="N9" s="40">
        <f>IF('Monthly Avg Balance'!N9=0,"",'Monthly NII'!N9*12/'Monthly Avg Balance'!N9)</f>
        <v>0.12604307954245855</v>
      </c>
      <c r="O9" s="40">
        <f>IF('Monthly Avg Balance'!O9=0,"",'Monthly NII'!O9*12/'Monthly Avg Balance'!O9)</f>
        <v>0.12604307954245852</v>
      </c>
      <c r="P9" s="40">
        <f>IF('Monthly Avg Balance'!P9=0,"",'Monthly NII'!P9*12/'Monthly Avg Balance'!P9)</f>
        <v>0.12604307954245852</v>
      </c>
      <c r="Q9" s="40">
        <f>IF('Monthly Avg Balance'!Q9=0,"",'Monthly NII'!Q9*12/'Monthly Avg Balance'!Q9)</f>
        <v>0.12667780803742146</v>
      </c>
      <c r="R9" s="40">
        <f>IF('Monthly Avg Balance'!R9=0,"",'Monthly NII'!R9*12/'Monthly Avg Balance'!R9)</f>
        <v>0.12667780803742146</v>
      </c>
      <c r="S9" s="40">
        <f>IF('Monthly Avg Balance'!S9=0,"",'Monthly NII'!S9*12/'Monthly Avg Balance'!S9)</f>
        <v>0.12667780803742149</v>
      </c>
      <c r="T9" s="40">
        <f>IF('Monthly Avg Balance'!T9=0,"",'Monthly NII'!T9*12/'Monthly Avg Balance'!T9)</f>
        <v>0.13243823154087997</v>
      </c>
      <c r="U9" s="40">
        <f>IF('Monthly Avg Balance'!U9=0,"",'Monthly NII'!U9*12/'Monthly Avg Balance'!U9)</f>
        <v>0.13243823154087997</v>
      </c>
      <c r="V9" s="40">
        <f>IF('Monthly Avg Balance'!V9=0,"",'Monthly NII'!V9*12/'Monthly Avg Balance'!V9)</f>
        <v>0.13243823154087994</v>
      </c>
      <c r="W9" s="40">
        <f>IF('Monthly Avg Balance'!W9=0,"",'Monthly NII'!W9*12/'Monthly Avg Balance'!W9)</f>
        <v>0.12974344148395461</v>
      </c>
      <c r="X9" s="40">
        <f>IF('Monthly Avg Balance'!X9=0,"",'Monthly NII'!X9*12/'Monthly Avg Balance'!X9)</f>
        <v>0.12974344148395461</v>
      </c>
      <c r="Y9" s="40">
        <f>IF('Monthly Avg Balance'!Y9=0,"",'Monthly NII'!Y9*12/'Monthly Avg Balance'!Y9)</f>
        <v>0.12974344148395461</v>
      </c>
      <c r="Z9" s="40">
        <f>IF('Monthly Avg Balance'!Z9=0,"",'Monthly NII'!Z9*12/'Monthly Avg Balance'!Z9)</f>
        <v>0.12625213447462016</v>
      </c>
      <c r="AA9" s="40">
        <f>IF('Monthly Avg Balance'!AA9=0,"",'Monthly NII'!AA9*12/'Monthly Avg Balance'!AA9)</f>
        <v>0.12625213447462019</v>
      </c>
      <c r="AB9" s="40">
        <f>IF('Monthly Avg Balance'!AB9=0,"",'Monthly NII'!AB9*12/'Monthly Avg Balance'!AB9)</f>
        <v>0.12625213447462016</v>
      </c>
      <c r="AC9" s="40">
        <f>IF('Monthly Avg Balance'!AC9=0,"",'Monthly NII'!AC9*12/'Monthly Avg Balance'!AC9)</f>
        <v>0.13188658431774333</v>
      </c>
      <c r="AD9" s="40">
        <f>IF('Monthly Avg Balance'!AD9=0,"",'Monthly NII'!AD9*12/'Monthly Avg Balance'!AD9)</f>
        <v>0.13188658431774331</v>
      </c>
      <c r="AE9" s="40">
        <f>IF('Monthly Avg Balance'!AE9=0,"",'Monthly NII'!AE9*12/'Monthly Avg Balance'!AE9)</f>
        <v>0.13188658431774331</v>
      </c>
      <c r="AF9" s="74">
        <f>('Monthly Avg Balance'!AF6*AF6+'Monthly Avg Balance'!AF7*AF7+'Monthly Avg Balance'!AF8*AF8)/'Monthly Avg Balance'!AF9</f>
        <v>0.13340110123331331</v>
      </c>
      <c r="AG9" s="74">
        <f>('Monthly Avg Balance'!AG6*AG6+'Monthly Avg Balance'!AG7*AG7+'Monthly Avg Balance'!AG8*AG8)/'Monthly Avg Balance'!AG9</f>
        <v>0.1328570020330915</v>
      </c>
      <c r="AH9" s="74">
        <f>('Monthly Avg Balance'!AH6*AH6+'Monthly Avg Balance'!AH7*AH7+'Monthly Avg Balance'!AH8*AH8)/'Monthly Avg Balance'!AH9</f>
        <v>0.13279762530221537</v>
      </c>
      <c r="AI9" s="74">
        <f>('Monthly Avg Balance'!AI6*AI6+'Monthly Avg Balance'!AI7*AI7+'Monthly Avg Balance'!AI8*AI8)/'Monthly Avg Balance'!AI9</f>
        <v>0.13273824134733608</v>
      </c>
      <c r="AJ9" s="74">
        <f>('Monthly Avg Balance'!AJ6*AJ6+'Monthly Avg Balance'!AJ7*AJ7+'Monthly Avg Balance'!AJ8*AJ8)/'Monthly Avg Balance'!AJ9</f>
        <v>0.13219397788853512</v>
      </c>
      <c r="AK9" s="74">
        <f>('Monthly Avg Balance'!AK6*AK6+'Monthly Avg Balance'!AK7*AK7+'Monthly Avg Balance'!AK8*AK8)/'Monthly Avg Balance'!AK9</f>
        <v>0.13213454386253948</v>
      </c>
      <c r="AL9" s="74">
        <f>('Monthly Avg Balance'!AL6*AL6+'Monthly Avg Balance'!AL7*AL7+'Monthly Avg Balance'!AL8*AL8)/'Monthly Avg Balance'!AL9</f>
        <v>0.13207510262572164</v>
      </c>
      <c r="AM9" s="74">
        <f>('Monthly Avg Balance'!AM6*AM6+'Monthly Avg Balance'!AM7*AM7+'Monthly Avg Balance'!AM8*AM8)/'Monthly Avg Balance'!AM9</f>
        <v>0.13153067503063673</v>
      </c>
      <c r="AN9" s="74">
        <f>('Monthly Avg Balance'!AN6*AN6+'Monthly Avg Balance'!AN7*AN7+'Monthly Avg Balance'!AN8*AN8)/'Monthly Avg Balance'!AN9</f>
        <v>0.13147118376972419</v>
      </c>
      <c r="AO9" s="74">
        <f>('Monthly Avg Balance'!AO6*AO6+'Monthly Avg Balance'!AO7*AO7+'Monthly Avg Balance'!AO8*AO8)/'Monthly Avg Balance'!AO9</f>
        <v>0.13141168531115113</v>
      </c>
      <c r="AP9" s="74">
        <f>('Monthly Avg Balance'!AP6*AP6+'Monthly Avg Balance'!AP7*AP7+'Monthly Avg Balance'!AP8*AP8)/'Monthly Avg Balance'!AP9</f>
        <v>0.1308670937019476</v>
      </c>
      <c r="AQ9" s="74">
        <f>('Monthly Avg Balance'!AQ6*AQ6+'Monthly Avg Balance'!AQ7*AQ7+'Monthly Avg Balance'!AQ8*AQ8)/'Monthly Avg Balance'!AQ9</f>
        <v>0.13080754526624497</v>
      </c>
    </row>
    <row r="10" spans="1:43" x14ac:dyDescent="0.2">
      <c r="A10" s="19" t="s">
        <v>84</v>
      </c>
      <c r="B10" s="38">
        <f>IF('Monthly Avg Balance'!B10=0,"",'Monthly NII'!B10*12/'Monthly Avg Balance'!B10)</f>
        <v>2.7345486883059138E-2</v>
      </c>
      <c r="C10" s="38">
        <f>IF('Monthly Avg Balance'!C10=0,"",'Monthly NII'!C10*12/'Monthly Avg Balance'!C10)</f>
        <v>2.7345486883059138E-2</v>
      </c>
      <c r="D10" s="38">
        <f>IF('Monthly Avg Balance'!D10=0,"",'Monthly NII'!D10*12/'Monthly Avg Balance'!D10)</f>
        <v>2.7345486883059138E-2</v>
      </c>
      <c r="E10" s="38">
        <f>IF('Monthly Avg Balance'!E10=0,"",'Monthly NII'!E10*12/'Monthly Avg Balance'!E10)</f>
        <v>2.8401893459563975E-2</v>
      </c>
      <c r="F10" s="38">
        <f>IF('Monthly Avg Balance'!F10=0,"",'Monthly NII'!F10*12/'Monthly Avg Balance'!F10)</f>
        <v>2.8401893459563971E-2</v>
      </c>
      <c r="G10" s="38">
        <f>IF('Monthly Avg Balance'!G10=0,"",'Monthly NII'!G10*12/'Monthly Avg Balance'!G10)</f>
        <v>2.8401893459563975E-2</v>
      </c>
      <c r="H10" s="38">
        <f>IF('Monthly Avg Balance'!H10=0,"",'Monthly NII'!H10*12/'Monthly Avg Balance'!H10)</f>
        <v>2.8550287438101202E-2</v>
      </c>
      <c r="I10" s="38">
        <f>IF('Monthly Avg Balance'!I10=0,"",'Monthly NII'!I10*12/'Monthly Avg Balance'!I10)</f>
        <v>2.8550287438101205E-2</v>
      </c>
      <c r="J10" s="38">
        <f>IF('Monthly Avg Balance'!J10=0,"",'Monthly NII'!J10*12/'Monthly Avg Balance'!J10)</f>
        <v>2.8550287438101209E-2</v>
      </c>
      <c r="K10" s="38">
        <f>IF('Monthly Avg Balance'!K10=0,"",'Monthly NII'!K10*12/'Monthly Avg Balance'!K10)</f>
        <v>2.9494916094899563E-2</v>
      </c>
      <c r="L10" s="38">
        <f>IF('Monthly Avg Balance'!L10=0,"",'Monthly NII'!L10*12/'Monthly Avg Balance'!L10)</f>
        <v>2.9494916094899563E-2</v>
      </c>
      <c r="M10" s="38">
        <f>IF('Monthly Avg Balance'!M10=0,"",'Monthly NII'!M10*12/'Monthly Avg Balance'!M10)</f>
        <v>2.9494916094899563E-2</v>
      </c>
      <c r="N10" s="38">
        <f>IF('Monthly Avg Balance'!N10=0,"",'Monthly NII'!N10*12/'Monthly Avg Balance'!N10)</f>
        <v>2.991655371752372E-2</v>
      </c>
      <c r="O10" s="38">
        <f>IF('Monthly Avg Balance'!O10=0,"",'Monthly NII'!O10*12/'Monthly Avg Balance'!O10)</f>
        <v>2.991655371752372E-2</v>
      </c>
      <c r="P10" s="38">
        <f>IF('Monthly Avg Balance'!P10=0,"",'Monthly NII'!P10*12/'Monthly Avg Balance'!P10)</f>
        <v>2.991655371752372E-2</v>
      </c>
      <c r="Q10" s="38">
        <f>IF('Monthly Avg Balance'!Q10=0,"",'Monthly NII'!Q10*12/'Monthly Avg Balance'!Q10)</f>
        <v>3.008811519449817E-2</v>
      </c>
      <c r="R10" s="38">
        <f>IF('Monthly Avg Balance'!R10=0,"",'Monthly NII'!R10*12/'Monthly Avg Balance'!R10)</f>
        <v>3.008811519449817E-2</v>
      </c>
      <c r="S10" s="38">
        <f>IF('Monthly Avg Balance'!S10=0,"",'Monthly NII'!S10*12/'Monthly Avg Balance'!S10)</f>
        <v>3.0088115194498173E-2</v>
      </c>
      <c r="T10" s="38">
        <f>IF('Monthly Avg Balance'!T10=0,"",'Monthly NII'!T10*12/'Monthly Avg Balance'!T10)</f>
        <v>3.1280116358049941E-2</v>
      </c>
      <c r="U10" s="38">
        <f>IF('Monthly Avg Balance'!U10=0,"",'Monthly NII'!U10*12/'Monthly Avg Balance'!U10)</f>
        <v>3.1280116358049941E-2</v>
      </c>
      <c r="V10" s="38">
        <f>IF('Monthly Avg Balance'!V10=0,"",'Monthly NII'!V10*12/'Monthly Avg Balance'!V10)</f>
        <v>3.1280116358049941E-2</v>
      </c>
      <c r="W10" s="38">
        <f>IF('Monthly Avg Balance'!W10=0,"",'Monthly NII'!W10*12/'Monthly Avg Balance'!W10)</f>
        <v>3.1618340457024288E-2</v>
      </c>
      <c r="X10" s="38">
        <f>IF('Monthly Avg Balance'!X10=0,"",'Monthly NII'!X10*12/'Monthly Avg Balance'!X10)</f>
        <v>3.1618340457024295E-2</v>
      </c>
      <c r="Y10" s="38">
        <f>IF('Monthly Avg Balance'!Y10=0,"",'Monthly NII'!Y10*12/'Monthly Avg Balance'!Y10)</f>
        <v>3.1618340457024281E-2</v>
      </c>
      <c r="Z10" s="38">
        <f>IF('Monthly Avg Balance'!Z10=0,"",'Monthly NII'!Z10*12/'Monthly Avg Balance'!Z10)</f>
        <v>3.2200900161527241E-2</v>
      </c>
      <c r="AA10" s="38">
        <f>IF('Monthly Avg Balance'!AA10=0,"",'Monthly NII'!AA10*12/'Monthly Avg Balance'!AA10)</f>
        <v>3.2200900161527234E-2</v>
      </c>
      <c r="AB10" s="38">
        <f>IF('Monthly Avg Balance'!AB10=0,"",'Monthly NII'!AB10*12/'Monthly Avg Balance'!AB10)</f>
        <v>3.2200900161527234E-2</v>
      </c>
      <c r="AC10" s="38">
        <f>IF('Monthly Avg Balance'!AC10=0,"",'Monthly NII'!AC10*12/'Monthly Avg Balance'!AC10)</f>
        <v>3.2858684604826119E-2</v>
      </c>
      <c r="AD10" s="38">
        <f>IF('Monthly Avg Balance'!AD10=0,"",'Monthly NII'!AD10*12/'Monthly Avg Balance'!AD10)</f>
        <v>3.2858684604826119E-2</v>
      </c>
      <c r="AE10" s="38">
        <f>IF('Monthly Avg Balance'!AE10=0,"",'Monthly NII'!AE10*12/'Monthly Avg Balance'!AE10)</f>
        <v>3.2858684604826119E-2</v>
      </c>
      <c r="AF10" s="73">
        <f>MAX(0,'Forecast Drivers'!C6/100+'Forecast Drivers'!$B$24)</f>
        <v>3.237535127149279E-2</v>
      </c>
      <c r="AG10" s="73">
        <f>MAX(0,'Forecast Drivers'!D6/100+'Forecast Drivers'!$B$24)</f>
        <v>3.1892017938159455E-2</v>
      </c>
      <c r="AH10" s="73">
        <f>MAX(0,'Forecast Drivers'!E6/100+'Forecast Drivers'!$B$24)</f>
        <v>3.1408684604826119E-2</v>
      </c>
      <c r="AI10" s="73">
        <f>MAX(0,'Forecast Drivers'!F6/100+'Forecast Drivers'!$B$24)</f>
        <v>3.092535127149279E-2</v>
      </c>
      <c r="AJ10" s="73">
        <f>MAX(0,'Forecast Drivers'!G6/100+'Forecast Drivers'!$B$24)</f>
        <v>3.0442017938159455E-2</v>
      </c>
      <c r="AK10" s="73">
        <f>MAX(0,'Forecast Drivers'!H6/100+'Forecast Drivers'!$B$24)</f>
        <v>2.9958684604826119E-2</v>
      </c>
      <c r="AL10" s="73">
        <f>MAX(0,'Forecast Drivers'!I6/100+'Forecast Drivers'!$B$24)</f>
        <v>2.947535127149279E-2</v>
      </c>
      <c r="AM10" s="73">
        <f>MAX(0,'Forecast Drivers'!J6/100+'Forecast Drivers'!$B$24)</f>
        <v>2.8992017938159455E-2</v>
      </c>
      <c r="AN10" s="73">
        <f>MAX(0,'Forecast Drivers'!K6/100+'Forecast Drivers'!$B$24)</f>
        <v>2.8508684604826119E-2</v>
      </c>
      <c r="AO10" s="73">
        <f>MAX(0,'Forecast Drivers'!L6/100+'Forecast Drivers'!$B$24)</f>
        <v>2.802535127149279E-2</v>
      </c>
      <c r="AP10" s="73">
        <f>MAX(0,'Forecast Drivers'!M6/100+'Forecast Drivers'!$B$24)</f>
        <v>2.7542017938159455E-2</v>
      </c>
      <c r="AQ10" s="73">
        <f>MAX(0,'Forecast Drivers'!N6/100+'Forecast Drivers'!$B$24)</f>
        <v>2.7058684604826119E-2</v>
      </c>
    </row>
    <row r="11" spans="1:43" x14ac:dyDescent="0.2">
      <c r="A11" s="19" t="s">
        <v>85</v>
      </c>
      <c r="B11" s="38">
        <f>IF('Monthly Avg Balance'!B11=0,"",'Monthly NII'!B11*12/'Monthly Avg Balance'!B11)</f>
        <v>4.5638430630408247E-2</v>
      </c>
      <c r="C11" s="38">
        <f>IF('Monthly Avg Balance'!C11=0,"",'Monthly NII'!C11*12/'Monthly Avg Balance'!C11)</f>
        <v>4.563843063040824E-2</v>
      </c>
      <c r="D11" s="38">
        <f>IF('Monthly Avg Balance'!D11=0,"",'Monthly NII'!D11*12/'Monthly Avg Balance'!D11)</f>
        <v>4.5638430630408247E-2</v>
      </c>
      <c r="E11" s="38">
        <f>IF('Monthly Avg Balance'!E11=0,"",'Monthly NII'!E11*12/'Monthly Avg Balance'!E11)</f>
        <v>5.0934936037821912E-2</v>
      </c>
      <c r="F11" s="38">
        <f>IF('Monthly Avg Balance'!F11=0,"",'Monthly NII'!F11*12/'Monthly Avg Balance'!F11)</f>
        <v>5.0934936037821898E-2</v>
      </c>
      <c r="G11" s="38">
        <f>IF('Monthly Avg Balance'!G11=0,"",'Monthly NII'!G11*12/'Monthly Avg Balance'!G11)</f>
        <v>5.0934936037821898E-2</v>
      </c>
      <c r="H11" s="38">
        <f>IF('Monthly Avg Balance'!H11=0,"",'Monthly NII'!H11*12/'Monthly Avg Balance'!H11)</f>
        <v>5.2703868144504409E-2</v>
      </c>
      <c r="I11" s="38">
        <f>IF('Monthly Avg Balance'!I11=0,"",'Monthly NII'!I11*12/'Monthly Avg Balance'!I11)</f>
        <v>5.2703868144504423E-2</v>
      </c>
      <c r="J11" s="38">
        <f>IF('Monthly Avg Balance'!J11=0,"",'Monthly NII'!J11*12/'Monthly Avg Balance'!J11)</f>
        <v>5.2703868144504416E-2</v>
      </c>
      <c r="K11" s="38">
        <f>IF('Monthly Avg Balance'!K11=0,"",'Monthly NII'!K11*12/'Monthly Avg Balance'!K11)</f>
        <v>5.3324369417195136E-2</v>
      </c>
      <c r="L11" s="38">
        <f>IF('Monthly Avg Balance'!L11=0,"",'Monthly NII'!L11*12/'Monthly Avg Balance'!L11)</f>
        <v>5.3324369417195136E-2</v>
      </c>
      <c r="M11" s="38">
        <f>IF('Monthly Avg Balance'!M11=0,"",'Monthly NII'!M11*12/'Monthly Avg Balance'!M11)</f>
        <v>5.3324369417195143E-2</v>
      </c>
      <c r="N11" s="38">
        <f>IF('Monthly Avg Balance'!N11=0,"",'Monthly NII'!N11*12/'Monthly Avg Balance'!N11)</f>
        <v>5.3855087297994209E-2</v>
      </c>
      <c r="O11" s="38">
        <f>IF('Monthly Avg Balance'!O11=0,"",'Monthly NII'!O11*12/'Monthly Avg Balance'!O11)</f>
        <v>5.3855087297994222E-2</v>
      </c>
      <c r="P11" s="38">
        <f>IF('Monthly Avg Balance'!P11=0,"",'Monthly NII'!P11*12/'Monthly Avg Balance'!P11)</f>
        <v>5.3855087297994209E-2</v>
      </c>
      <c r="Q11" s="38">
        <f>IF('Monthly Avg Balance'!Q11=0,"",'Monthly NII'!Q11*12/'Monthly Avg Balance'!Q11)</f>
        <v>5.3093943265458417E-2</v>
      </c>
      <c r="R11" s="38">
        <f>IF('Monthly Avg Balance'!R11=0,"",'Monthly NII'!R11*12/'Monthly Avg Balance'!R11)</f>
        <v>5.309394326545841E-2</v>
      </c>
      <c r="S11" s="38">
        <f>IF('Monthly Avg Balance'!S11=0,"",'Monthly NII'!S11*12/'Monthly Avg Balance'!S11)</f>
        <v>5.309394326545841E-2</v>
      </c>
      <c r="T11" s="38">
        <f>IF('Monthly Avg Balance'!T11=0,"",'Monthly NII'!T11*12/'Monthly Avg Balance'!T11)</f>
        <v>5.2836949425322258E-2</v>
      </c>
      <c r="U11" s="38">
        <f>IF('Monthly Avg Balance'!U11=0,"",'Monthly NII'!U11*12/'Monthly Avg Balance'!U11)</f>
        <v>5.2836949425322258E-2</v>
      </c>
      <c r="V11" s="38">
        <f>IF('Monthly Avg Balance'!V11=0,"",'Monthly NII'!V11*12/'Monthly Avg Balance'!V11)</f>
        <v>5.2836949425322265E-2</v>
      </c>
      <c r="W11" s="38">
        <f>IF('Monthly Avg Balance'!W11=0,"",'Monthly NII'!W11*12/'Monthly Avg Balance'!W11)</f>
        <v>4.6095975299515118E-2</v>
      </c>
      <c r="X11" s="38">
        <f>IF('Monthly Avg Balance'!X11=0,"",'Monthly NII'!X11*12/'Monthly Avg Balance'!X11)</f>
        <v>4.6095975299515118E-2</v>
      </c>
      <c r="Y11" s="38">
        <f>IF('Monthly Avg Balance'!Y11=0,"",'Monthly NII'!Y11*12/'Monthly Avg Balance'!Y11)</f>
        <v>4.6095975299515111E-2</v>
      </c>
      <c r="Z11" s="38">
        <f>IF('Monthly Avg Balance'!Z11=0,"",'Monthly NII'!Z11*12/'Monthly Avg Balance'!Z11)</f>
        <v>4.1190699235189664E-2</v>
      </c>
      <c r="AA11" s="38">
        <f>IF('Monthly Avg Balance'!AA11=0,"",'Monthly NII'!AA11*12/'Monthly Avg Balance'!AA11)</f>
        <v>4.1190699235189664E-2</v>
      </c>
      <c r="AB11" s="38">
        <f>IF('Monthly Avg Balance'!AB11=0,"",'Monthly NII'!AB11*12/'Monthly Avg Balance'!AB11)</f>
        <v>4.1190699235189671E-2</v>
      </c>
      <c r="AC11" s="38">
        <f>IF('Monthly Avg Balance'!AC11=0,"",'Monthly NII'!AC11*12/'Monthly Avg Balance'!AC11)</f>
        <v>4.5132600718708227E-2</v>
      </c>
      <c r="AD11" s="38">
        <f>IF('Monthly Avg Balance'!AD11=0,"",'Monthly NII'!AD11*12/'Monthly Avg Balance'!AD11)</f>
        <v>4.513260071870822E-2</v>
      </c>
      <c r="AE11" s="38">
        <f>IF('Monthly Avg Balance'!AE11=0,"",'Monthly NII'!AE11*12/'Monthly Avg Balance'!AE11)</f>
        <v>4.513260071870822E-2</v>
      </c>
      <c r="AF11" s="73">
        <f>MAX(0,'Forecast Drivers'!C5/100+'Forecast Drivers'!$B$25)</f>
        <v>4.488260071870822E-2</v>
      </c>
      <c r="AG11" s="73">
        <f>MAX(0,'Forecast Drivers'!D5/100+'Forecast Drivers'!$B$25)</f>
        <v>4.4632600718708212E-2</v>
      </c>
      <c r="AH11" s="73">
        <f>MAX(0,'Forecast Drivers'!E5/100+'Forecast Drivers'!$B$25)</f>
        <v>4.4382600718708212E-2</v>
      </c>
      <c r="AI11" s="73">
        <f>MAX(0,'Forecast Drivers'!F5/100+'Forecast Drivers'!$B$25)</f>
        <v>4.4132600718708205E-2</v>
      </c>
      <c r="AJ11" s="73">
        <f>MAX(0,'Forecast Drivers'!G5/100+'Forecast Drivers'!$B$25)</f>
        <v>4.3882600718708205E-2</v>
      </c>
      <c r="AK11" s="73">
        <f>MAX(0,'Forecast Drivers'!H5/100+'Forecast Drivers'!$B$25)</f>
        <v>4.3632600718708198E-2</v>
      </c>
      <c r="AL11" s="73">
        <f>MAX(0,'Forecast Drivers'!I5/100+'Forecast Drivers'!$B$25)</f>
        <v>4.3382600718708197E-2</v>
      </c>
      <c r="AM11" s="73">
        <f>MAX(0,'Forecast Drivers'!J5/100+'Forecast Drivers'!$B$25)</f>
        <v>4.3132600718708197E-2</v>
      </c>
      <c r="AN11" s="73">
        <f>MAX(0,'Forecast Drivers'!K5/100+'Forecast Drivers'!$B$25)</f>
        <v>4.288260071870819E-2</v>
      </c>
      <c r="AO11" s="73">
        <f>MAX(0,'Forecast Drivers'!L5/100+'Forecast Drivers'!$B$25)</f>
        <v>4.263260071870819E-2</v>
      </c>
      <c r="AP11" s="73">
        <f>MAX(0,'Forecast Drivers'!M5/100+'Forecast Drivers'!$B$25)</f>
        <v>4.2382600718708183E-2</v>
      </c>
      <c r="AQ11" s="73">
        <f>MAX(0,'Forecast Drivers'!N5/100+'Forecast Drivers'!$B$25)</f>
        <v>4.2132600718708182E-2</v>
      </c>
    </row>
    <row r="12" spans="1:43" x14ac:dyDescent="0.2">
      <c r="A12" s="22" t="s">
        <v>86</v>
      </c>
      <c r="B12" s="40">
        <f>IF('Monthly Avg Balance'!B12=0,"",'Monthly NII'!B12*12/'Monthly Avg Balance'!B12)</f>
        <v>9.0257655039191018E-2</v>
      </c>
      <c r="C12" s="40">
        <f>IF('Monthly Avg Balance'!C12=0,"",'Monthly NII'!C12*12/'Monthly Avg Balance'!C12)</f>
        <v>8.9923068920747043E-2</v>
      </c>
      <c r="D12" s="40">
        <f>IF('Monthly Avg Balance'!D12=0,"",'Monthly NII'!D12*12/'Monthly Avg Balance'!D12)</f>
        <v>8.9196165718661832E-2</v>
      </c>
      <c r="E12" s="40">
        <f>IF('Monthly Avg Balance'!E12=0,"",'Monthly NII'!E12*12/'Monthly Avg Balance'!E12)</f>
        <v>9.258598541295851E-2</v>
      </c>
      <c r="F12" s="40">
        <f>IF('Monthly Avg Balance'!F12=0,"",'Monthly NII'!F12*12/'Monthly Avg Balance'!F12)</f>
        <v>9.3370640274789293E-2</v>
      </c>
      <c r="G12" s="40">
        <f>IF('Monthly Avg Balance'!G12=0,"",'Monthly NII'!G12*12/'Monthly Avg Balance'!G12)</f>
        <v>9.3053720353125632E-2</v>
      </c>
      <c r="H12" s="40">
        <f>IF('Monthly Avg Balance'!H12=0,"",'Monthly NII'!H12*12/'Monthly Avg Balance'!H12)</f>
        <v>9.7963650990303963E-2</v>
      </c>
      <c r="I12" s="40">
        <f>IF('Monthly Avg Balance'!I12=0,"",'Monthly NII'!I12*12/'Monthly Avg Balance'!I12)</f>
        <v>9.8264695073448635E-2</v>
      </c>
      <c r="J12" s="40">
        <f>IF('Monthly Avg Balance'!J12=0,"",'Monthly NII'!J12*12/'Monthly Avg Balance'!J12)</f>
        <v>9.8267682778401075E-2</v>
      </c>
      <c r="K12" s="40">
        <f>IF('Monthly Avg Balance'!K12=0,"",'Monthly NII'!K12*12/'Monthly Avg Balance'!K12)</f>
        <v>9.9264068380031739E-2</v>
      </c>
      <c r="L12" s="40">
        <f>IF('Monthly Avg Balance'!L12=0,"",'Monthly NII'!L12*12/'Monthly Avg Balance'!L12)</f>
        <v>9.9059901902059974E-2</v>
      </c>
      <c r="M12" s="40">
        <f>IF('Monthly Avg Balance'!M12=0,"",'Monthly NII'!M12*12/'Monthly Avg Balance'!M12)</f>
        <v>0.10029215528616019</v>
      </c>
      <c r="N12" s="40">
        <f>IF('Monthly Avg Balance'!N12=0,"",'Monthly NII'!N12*12/'Monthly Avg Balance'!N12)</f>
        <v>0.10032211484870152</v>
      </c>
      <c r="O12" s="40">
        <f>IF('Monthly Avg Balance'!O12=0,"",'Monthly NII'!O12*12/'Monthly Avg Balance'!O12)</f>
        <v>9.8740915356421391E-2</v>
      </c>
      <c r="P12" s="40">
        <f>IF('Monthly Avg Balance'!P12=0,"",'Monthly NII'!P12*12/'Monthly Avg Balance'!P12)</f>
        <v>9.9658764536612501E-2</v>
      </c>
      <c r="Q12" s="40">
        <f>IF('Monthly Avg Balance'!Q12=0,"",'Monthly NII'!Q12*12/'Monthly Avg Balance'!Q12)</f>
        <v>9.9923653297537884E-2</v>
      </c>
      <c r="R12" s="40">
        <f>IF('Monthly Avg Balance'!R12=0,"",'Monthly NII'!R12*12/'Monthly Avg Balance'!R12)</f>
        <v>9.8801107284630749E-2</v>
      </c>
      <c r="S12" s="40">
        <f>IF('Monthly Avg Balance'!S12=0,"",'Monthly NII'!S12*12/'Monthly Avg Balance'!S12)</f>
        <v>0.10020988174702786</v>
      </c>
      <c r="T12" s="40">
        <f>IF('Monthly Avg Balance'!T12=0,"",'Monthly NII'!T12*12/'Monthly Avg Balance'!T12)</f>
        <v>0.10461779647030983</v>
      </c>
      <c r="U12" s="40">
        <f>IF('Monthly Avg Balance'!U12=0,"",'Monthly NII'!U12*12/'Monthly Avg Balance'!U12)</f>
        <v>0.10326411871281374</v>
      </c>
      <c r="V12" s="40">
        <f>IF('Monthly Avg Balance'!V12=0,"",'Monthly NII'!V12*12/'Monthly Avg Balance'!V12)</f>
        <v>0.10410407276045115</v>
      </c>
      <c r="W12" s="40">
        <f>IF('Monthly Avg Balance'!W12=0,"",'Monthly NII'!W12*12/'Monthly Avg Balance'!W12)</f>
        <v>0.10128874721657813</v>
      </c>
      <c r="X12" s="40">
        <f>IF('Monthly Avg Balance'!X12=0,"",'Monthly NII'!X12*12/'Monthly Avg Balance'!X12)</f>
        <v>0.1003178871863008</v>
      </c>
      <c r="Y12" s="40">
        <f>IF('Monthly Avg Balance'!Y12=0,"",'Monthly NII'!Y12*12/'Monthly Avg Balance'!Y12)</f>
        <v>0.10213043620180903</v>
      </c>
      <c r="Z12" s="40">
        <f>IF('Monthly Avg Balance'!Z12=0,"",'Monthly NII'!Z12*12/'Monthly Avg Balance'!Z12)</f>
        <v>9.9086571003249468E-2</v>
      </c>
      <c r="AA12" s="40">
        <f>IF('Monthly Avg Balance'!AA12=0,"",'Monthly NII'!AA12*12/'Monthly Avg Balance'!AA12)</f>
        <v>9.7153028164295316E-2</v>
      </c>
      <c r="AB12" s="40">
        <f>IF('Monthly Avg Balance'!AB12=0,"",'Monthly NII'!AB12*12/'Monthly Avg Balance'!AB12)</f>
        <v>9.8352881360645572E-2</v>
      </c>
      <c r="AC12" s="40">
        <f>IF('Monthly Avg Balance'!AC12=0,"",'Monthly NII'!AC12*12/'Monthly Avg Balance'!AC12)</f>
        <v>0.10407447538214083</v>
      </c>
      <c r="AD12" s="40">
        <f>IF('Monthly Avg Balance'!AD12=0,"",'Monthly NII'!AD12*12/'Monthly Avg Balance'!AD12)</f>
        <v>0.10459179733115534</v>
      </c>
      <c r="AE12" s="40">
        <f>IF('Monthly Avg Balance'!AE12=0,"",'Monthly NII'!AE12*12/'Monthly Avg Balance'!AE12)</f>
        <v>0.106738793119763</v>
      </c>
      <c r="AF12" s="74">
        <f>('Monthly Avg Balance'!AF9*AF9+'Monthly Avg Balance'!AF10*AF10+'Monthly Avg Balance'!AF11*AF11)/'Monthly Avg Balance'!AF12</f>
        <v>0.10915291500541281</v>
      </c>
      <c r="AG12" s="74">
        <f>('Monthly Avg Balance'!AG9*AG9+'Monthly Avg Balance'!AG10*AG10+'Monthly Avg Balance'!AG11*AG11)/'Monthly Avg Balance'!AG12</f>
        <v>0.10864923062885297</v>
      </c>
      <c r="AH12" s="74">
        <f>('Monthly Avg Balance'!AH9*AH9+'Monthly Avg Balance'!AH10*AH10+'Monthly Avg Balance'!AH11*AH11)/'Monthly Avg Balance'!AH12</f>
        <v>0.1085076497228831</v>
      </c>
      <c r="AI12" s="74">
        <f>('Monthly Avg Balance'!AI9*AI9+'Monthly Avg Balance'!AI10*AI10+'Monthly Avg Balance'!AI11*AI11)/'Monthly Avg Balance'!AI12</f>
        <v>0.10836607143714923</v>
      </c>
      <c r="AJ12" s="74">
        <f>('Monthly Avg Balance'!AJ9*AJ9+'Monthly Avg Balance'!AJ10*AJ10+'Monthly Avg Balance'!AJ11*AJ11)/'Monthly Avg Balance'!AJ12</f>
        <v>0.10786227878008384</v>
      </c>
      <c r="AK12" s="74">
        <f>('Monthly Avg Balance'!AK9*AK9+'Monthly Avg Balance'!AK10*AK10+'Monthly Avg Balance'!AK11*AK11)/'Monthly Avg Balance'!AK12</f>
        <v>0.10772067671047432</v>
      </c>
      <c r="AL12" s="74">
        <f>('Monthly Avg Balance'!AL9*AL9+'Monthly Avg Balance'!AL10*AL10+'Monthly Avg Balance'!AL11*AL11)/'Monthly Avg Balance'!AL12</f>
        <v>0.107579077264206</v>
      </c>
      <c r="AM12" s="74">
        <f>('Monthly Avg Balance'!AM9*AM9+'Monthly Avg Balance'!AM10*AM10+'Monthly Avg Balance'!AM11*AM11)/'Monthly Avg Balance'!AM12</f>
        <v>0.10707517639872875</v>
      </c>
      <c r="AN12" s="74">
        <f>('Monthly Avg Balance'!AN9*AN9+'Monthly Avg Balance'!AN10*AN10+'Monthly Avg Balance'!AN11*AN11)/'Monthly Avg Balance'!AN12</f>
        <v>0.10693355319047713</v>
      </c>
      <c r="AO12" s="74">
        <f>('Monthly Avg Balance'!AO9*AO9+'Monthly Avg Balance'!AO10*AO10+'Monthly Avg Balance'!AO11*AO11)/'Monthly Avg Balance'!AO12</f>
        <v>0.10679193260866572</v>
      </c>
      <c r="AP12" s="74">
        <f>('Monthly Avg Balance'!AP9*AP9+'Monthly Avg Balance'!AP10*AP10+'Monthly Avg Balance'!AP11*AP11)/'Monthly Avg Balance'!AP12</f>
        <v>0.10628792360680091</v>
      </c>
      <c r="AQ12" s="74">
        <f>('Monthly Avg Balance'!AQ9*AQ9+'Monthly Avg Balance'!AQ10*AQ10+'Monthly Avg Balance'!AQ11*AQ11)/'Monthly Avg Balance'!AQ12</f>
        <v>0.10614627928487347</v>
      </c>
    </row>
    <row r="13" spans="1:43" x14ac:dyDescent="0.2">
      <c r="A13" s="19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</row>
    <row r="14" spans="1:43" x14ac:dyDescent="0.2">
      <c r="A14" s="27" t="s">
        <v>20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</row>
    <row r="15" spans="1:43" x14ac:dyDescent="0.2">
      <c r="A15" s="19" t="s">
        <v>87</v>
      </c>
      <c r="B15" s="38">
        <f>IF('Monthly Avg Balance'!B15=0,"",'Monthly NII'!B15*12/'Monthly Avg Balance'!B15)</f>
        <v>2.4042385066777205E-2</v>
      </c>
      <c r="C15" s="38">
        <f>IF('Monthly Avg Balance'!C15=0,"",'Monthly NII'!C15*12/'Monthly Avg Balance'!C15)</f>
        <v>2.4042385066777205E-2</v>
      </c>
      <c r="D15" s="38">
        <f>IF('Monthly Avg Balance'!D15=0,"",'Monthly NII'!D15*12/'Monthly Avg Balance'!D15)</f>
        <v>2.4042385066777205E-2</v>
      </c>
      <c r="E15" s="38">
        <f>IF('Monthly Avg Balance'!E15=0,"",'Monthly NII'!E15*12/'Monthly Avg Balance'!E15)</f>
        <v>2.9079809838222E-2</v>
      </c>
      <c r="F15" s="38">
        <f>IF('Monthly Avg Balance'!F15=0,"",'Monthly NII'!F15*12/'Monthly Avg Balance'!F15)</f>
        <v>2.9079809838222007E-2</v>
      </c>
      <c r="G15" s="38">
        <f>IF('Monthly Avg Balance'!G15=0,"",'Monthly NII'!G15*12/'Monthly Avg Balance'!G15)</f>
        <v>2.9079809838222004E-2</v>
      </c>
      <c r="H15" s="38">
        <f>IF('Monthly Avg Balance'!H15=0,"",'Monthly NII'!H15*12/'Monthly Avg Balance'!H15)</f>
        <v>3.3047286350749286E-2</v>
      </c>
      <c r="I15" s="38">
        <f>IF('Monthly Avg Balance'!I15=0,"",'Monthly NII'!I15*12/'Monthly Avg Balance'!I15)</f>
        <v>3.3047286350749293E-2</v>
      </c>
      <c r="J15" s="38">
        <f>IF('Monthly Avg Balance'!J15=0,"",'Monthly NII'!J15*12/'Monthly Avg Balance'!J15)</f>
        <v>3.3047286350749286E-2</v>
      </c>
      <c r="K15" s="38">
        <f>IF('Monthly Avg Balance'!K15=0,"",'Monthly NII'!K15*12/'Monthly Avg Balance'!K15)</f>
        <v>3.4675344977048904E-2</v>
      </c>
      <c r="L15" s="38">
        <f>IF('Monthly Avg Balance'!L15=0,"",'Monthly NII'!L15*12/'Monthly Avg Balance'!L15)</f>
        <v>3.4675344977048897E-2</v>
      </c>
      <c r="M15" s="38">
        <f>IF('Monthly Avg Balance'!M15=0,"",'Monthly NII'!M15*12/'Monthly Avg Balance'!M15)</f>
        <v>3.4675344977048904E-2</v>
      </c>
      <c r="N15" s="38">
        <f>IF('Monthly Avg Balance'!N15=0,"",'Monthly NII'!N15*12/'Monthly Avg Balance'!N15)</f>
        <v>3.5448003239735709E-2</v>
      </c>
      <c r="O15" s="38">
        <f>IF('Monthly Avg Balance'!O15=0,"",'Monthly NII'!O15*12/'Monthly Avg Balance'!O15)</f>
        <v>3.5448003239735716E-2</v>
      </c>
      <c r="P15" s="38">
        <f>IF('Monthly Avg Balance'!P15=0,"",'Monthly NII'!P15*12/'Monthly Avg Balance'!P15)</f>
        <v>3.5448003239735709E-2</v>
      </c>
      <c r="Q15" s="38">
        <f>IF('Monthly Avg Balance'!Q15=0,"",'Monthly NII'!Q15*12/'Monthly Avg Balance'!Q15)</f>
        <v>3.5685996754031203E-2</v>
      </c>
      <c r="R15" s="38">
        <f>IF('Monthly Avg Balance'!R15=0,"",'Monthly NII'!R15*12/'Monthly Avg Balance'!R15)</f>
        <v>3.5685996754031196E-2</v>
      </c>
      <c r="S15" s="38">
        <f>IF('Monthly Avg Balance'!S15=0,"",'Monthly NII'!S15*12/'Monthly Avg Balance'!S15)</f>
        <v>3.5685996754031203E-2</v>
      </c>
      <c r="T15" s="38">
        <f>IF('Monthly Avg Balance'!T15=0,"",'Monthly NII'!T15*12/'Monthly Avg Balance'!T15)</f>
        <v>3.6350881668314149E-2</v>
      </c>
      <c r="U15" s="38">
        <f>IF('Monthly Avg Balance'!U15=0,"",'Monthly NII'!U15*12/'Monthly Avg Balance'!U15)</f>
        <v>3.6350881668314156E-2</v>
      </c>
      <c r="V15" s="38">
        <f>IF('Monthly Avg Balance'!V15=0,"",'Monthly NII'!V15*12/'Monthly Avg Balance'!V15)</f>
        <v>3.6350881668314149E-2</v>
      </c>
      <c r="W15" s="38">
        <f>IF('Monthly Avg Balance'!W15=0,"",'Monthly NII'!W15*12/'Monthly Avg Balance'!W15)</f>
        <v>3.4531818561154115E-2</v>
      </c>
      <c r="X15" s="38">
        <f>IF('Monthly Avg Balance'!X15=0,"",'Monthly NII'!X15*12/'Monthly Avg Balance'!X15)</f>
        <v>3.4531818561154122E-2</v>
      </c>
      <c r="Y15" s="38">
        <f>IF('Monthly Avg Balance'!Y15=0,"",'Monthly NII'!Y15*12/'Monthly Avg Balance'!Y15)</f>
        <v>3.4531818561154115E-2</v>
      </c>
      <c r="Z15" s="38">
        <f>IF('Monthly Avg Balance'!Z15=0,"",'Monthly NII'!Z15*12/'Monthly Avg Balance'!Z15)</f>
        <v>3.2175060772645862E-2</v>
      </c>
      <c r="AA15" s="38">
        <f>IF('Monthly Avg Balance'!AA15=0,"",'Monthly NII'!AA15*12/'Monthly Avg Balance'!AA15)</f>
        <v>3.2175060772645869E-2</v>
      </c>
      <c r="AB15" s="38">
        <f>IF('Monthly Avg Balance'!AB15=0,"",'Monthly NII'!AB15*12/'Monthly Avg Balance'!AB15)</f>
        <v>3.2175060772645862E-2</v>
      </c>
      <c r="AC15" s="38">
        <f>IF('Monthly Avg Balance'!AC15=0,"",'Monthly NII'!AC15*12/'Monthly Avg Balance'!AC15)</f>
        <v>3.2332764947966622E-2</v>
      </c>
      <c r="AD15" s="38">
        <f>IF('Monthly Avg Balance'!AD15=0,"",'Monthly NII'!AD15*12/'Monthly Avg Balance'!AD15)</f>
        <v>3.2332764947966622E-2</v>
      </c>
      <c r="AE15" s="38">
        <f>IF('Monthly Avg Balance'!AE15=0,"",'Monthly NII'!AE15*12/'Monthly Avg Balance'!AE15)</f>
        <v>3.2332764947966615E-2</v>
      </c>
      <c r="AF15" s="73">
        <f>MAX(0,'Forecast Drivers'!C5/100*'Forecast Drivers'!$B$20)</f>
        <v>3.2146086166511843E-2</v>
      </c>
      <c r="AG15" s="73">
        <f>MAX(0,'Forecast Drivers'!D5/100*'Forecast Drivers'!$B$20)</f>
        <v>3.1959407385057065E-2</v>
      </c>
      <c r="AH15" s="73">
        <f>MAX(0,'Forecast Drivers'!E5/100*'Forecast Drivers'!$B$20)</f>
        <v>3.1772728603602293E-2</v>
      </c>
      <c r="AI15" s="73">
        <f>MAX(0,'Forecast Drivers'!F5/100*'Forecast Drivers'!$B$20)</f>
        <v>3.1586049822147515E-2</v>
      </c>
      <c r="AJ15" s="73">
        <f>MAX(0,'Forecast Drivers'!G5/100*'Forecast Drivers'!$B$20)</f>
        <v>3.1399371040692743E-2</v>
      </c>
      <c r="AK15" s="73">
        <f>MAX(0,'Forecast Drivers'!H5/100*'Forecast Drivers'!$B$20)</f>
        <v>3.1212692259237965E-2</v>
      </c>
      <c r="AL15" s="73">
        <f>MAX(0,'Forecast Drivers'!I5/100*'Forecast Drivers'!$B$20)</f>
        <v>3.1026013477783193E-2</v>
      </c>
      <c r="AM15" s="73">
        <f>MAX(0,'Forecast Drivers'!J5/100*'Forecast Drivers'!$B$20)</f>
        <v>3.0839334696328418E-2</v>
      </c>
      <c r="AN15" s="73">
        <f>MAX(0,'Forecast Drivers'!K5/100*'Forecast Drivers'!$B$20)</f>
        <v>3.0652655914873643E-2</v>
      </c>
      <c r="AO15" s="73">
        <f>MAX(0,'Forecast Drivers'!L5/100*'Forecast Drivers'!$B$20)</f>
        <v>3.0465977133418868E-2</v>
      </c>
      <c r="AP15" s="73">
        <f>MAX(0,'Forecast Drivers'!M5/100*'Forecast Drivers'!$B$20)</f>
        <v>3.0279298351964089E-2</v>
      </c>
      <c r="AQ15" s="73">
        <f>MAX(0,'Forecast Drivers'!N5/100*'Forecast Drivers'!$B$20)</f>
        <v>3.0092619570509318E-2</v>
      </c>
    </row>
    <row r="16" spans="1:43" x14ac:dyDescent="0.2">
      <c r="A16" s="19" t="s">
        <v>88</v>
      </c>
      <c r="B16" s="38">
        <f>IF('Monthly Avg Balance'!B16=0,"",'Monthly NII'!B16*12/'Monthly Avg Balance'!B16)</f>
        <v>4.8924700017390299E-2</v>
      </c>
      <c r="C16" s="38">
        <f>IF('Monthly Avg Balance'!C16=0,"",'Monthly NII'!C16*12/'Monthly Avg Balance'!C16)</f>
        <v>4.8924700017390299E-2</v>
      </c>
      <c r="D16" s="38">
        <f>IF('Monthly Avg Balance'!D16=0,"",'Monthly NII'!D16*12/'Monthly Avg Balance'!D16)</f>
        <v>4.8924700017390299E-2</v>
      </c>
      <c r="E16" s="38">
        <f>IF('Monthly Avg Balance'!E16=0,"",'Monthly NII'!E16*12/'Monthly Avg Balance'!E16)</f>
        <v>5.3120252096111639E-2</v>
      </c>
      <c r="F16" s="38">
        <f>IF('Monthly Avg Balance'!F16=0,"",'Monthly NII'!F16*12/'Monthly Avg Balance'!F16)</f>
        <v>5.3120252096111639E-2</v>
      </c>
      <c r="G16" s="38">
        <f>IF('Monthly Avg Balance'!G16=0,"",'Monthly NII'!G16*12/'Monthly Avg Balance'!G16)</f>
        <v>5.3120252096111639E-2</v>
      </c>
      <c r="H16" s="38">
        <f>IF('Monthly Avg Balance'!H16=0,"",'Monthly NII'!H16*12/'Monthly Avg Balance'!H16)</f>
        <v>5.6433792282848887E-2</v>
      </c>
      <c r="I16" s="38">
        <f>IF('Monthly Avg Balance'!I16=0,"",'Monthly NII'!I16*12/'Monthly Avg Balance'!I16)</f>
        <v>5.6433792282848887E-2</v>
      </c>
      <c r="J16" s="38">
        <f>IF('Monthly Avg Balance'!J16=0,"",'Monthly NII'!J16*12/'Monthly Avg Balance'!J16)</f>
        <v>5.6433792282848887E-2</v>
      </c>
      <c r="K16" s="38">
        <f>IF('Monthly Avg Balance'!K16=0,"",'Monthly NII'!K16*12/'Monthly Avg Balance'!K16)</f>
        <v>5.7569300586995414E-2</v>
      </c>
      <c r="L16" s="38">
        <f>IF('Monthly Avg Balance'!L16=0,"",'Monthly NII'!L16*12/'Monthly Avg Balance'!L16)</f>
        <v>5.7569300586995401E-2</v>
      </c>
      <c r="M16" s="38">
        <f>IF('Monthly Avg Balance'!M16=0,"",'Monthly NII'!M16*12/'Monthly Avg Balance'!M16)</f>
        <v>5.7569300586995394E-2</v>
      </c>
      <c r="N16" s="38">
        <f>IF('Monthly Avg Balance'!N16=0,"",'Monthly NII'!N16*12/'Monthly Avg Balance'!N16)</f>
        <v>5.8333097354514918E-2</v>
      </c>
      <c r="O16" s="38">
        <f>IF('Monthly Avg Balance'!O16=0,"",'Monthly NII'!O16*12/'Monthly Avg Balance'!O16)</f>
        <v>5.8333097354514904E-2</v>
      </c>
      <c r="P16" s="38">
        <f>IF('Monthly Avg Balance'!P16=0,"",'Monthly NII'!P16*12/'Monthly Avg Balance'!P16)</f>
        <v>5.8333097354514925E-2</v>
      </c>
      <c r="Q16" s="38">
        <f>IF('Monthly Avg Balance'!Q16=0,"",'Monthly NII'!Q16*12/'Monthly Avg Balance'!Q16)</f>
        <v>5.9057492737828454E-2</v>
      </c>
      <c r="R16" s="38">
        <f>IF('Monthly Avg Balance'!R16=0,"",'Monthly NII'!R16*12/'Monthly Avg Balance'!R16)</f>
        <v>5.905749273782844E-2</v>
      </c>
      <c r="S16" s="38">
        <f>IF('Monthly Avg Balance'!S16=0,"",'Monthly NII'!S16*12/'Monthly Avg Balance'!S16)</f>
        <v>5.9057492737828454E-2</v>
      </c>
      <c r="T16" s="38">
        <f>IF('Monthly Avg Balance'!T16=0,"",'Monthly NII'!T16*12/'Monthly Avg Balance'!T16)</f>
        <v>6.0066791026442239E-2</v>
      </c>
      <c r="U16" s="38">
        <f>IF('Monthly Avg Balance'!U16=0,"",'Monthly NII'!U16*12/'Monthly Avg Balance'!U16)</f>
        <v>6.0066791026442232E-2</v>
      </c>
      <c r="V16" s="38">
        <f>IF('Monthly Avg Balance'!V16=0,"",'Monthly NII'!V16*12/'Monthly Avg Balance'!V16)</f>
        <v>6.0066791026442239E-2</v>
      </c>
      <c r="W16" s="38">
        <f>IF('Monthly Avg Balance'!W16=0,"",'Monthly NII'!W16*12/'Monthly Avg Balance'!W16)</f>
        <v>5.5554969510574773E-2</v>
      </c>
      <c r="X16" s="38">
        <f>IF('Monthly Avg Balance'!X16=0,"",'Monthly NII'!X16*12/'Monthly Avg Balance'!X16)</f>
        <v>5.5554969510574786E-2</v>
      </c>
      <c r="Y16" s="38">
        <f>IF('Monthly Avg Balance'!Y16=0,"",'Monthly NII'!Y16*12/'Monthly Avg Balance'!Y16)</f>
        <v>5.5554969510574773E-2</v>
      </c>
      <c r="Z16" s="38">
        <f>IF('Monthly Avg Balance'!Z16=0,"",'Monthly NII'!Z16*12/'Monthly Avg Balance'!Z16)</f>
        <v>5.1290546762056265E-2</v>
      </c>
      <c r="AA16" s="38">
        <f>IF('Monthly Avg Balance'!AA16=0,"",'Monthly NII'!AA16*12/'Monthly Avg Balance'!AA16)</f>
        <v>5.1290546762056265E-2</v>
      </c>
      <c r="AB16" s="38">
        <f>IF('Monthly Avg Balance'!AB16=0,"",'Monthly NII'!AB16*12/'Monthly Avg Balance'!AB16)</f>
        <v>5.1290546762056265E-2</v>
      </c>
      <c r="AC16" s="38">
        <f>IF('Monthly Avg Balance'!AC16=0,"",'Monthly NII'!AC16*12/'Monthly Avg Balance'!AC16)</f>
        <v>5.1280103387706E-2</v>
      </c>
      <c r="AD16" s="38">
        <f>IF('Monthly Avg Balance'!AD16=0,"",'Monthly NII'!AD16*12/'Monthly Avg Balance'!AD16)</f>
        <v>5.1280103387705993E-2</v>
      </c>
      <c r="AE16" s="38">
        <f>IF('Monthly Avg Balance'!AE16=0,"",'Monthly NII'!AE16*12/'Monthly Avg Balance'!AE16)</f>
        <v>5.1280103387705986E-2</v>
      </c>
      <c r="AF16" s="73">
        <f>MAX(0,'Forecast Drivers'!C6/100+'Forecast Drivers'!$B$26)</f>
        <v>5.0796770054372657E-2</v>
      </c>
      <c r="AG16" s="73">
        <f>MAX(0,'Forecast Drivers'!D6/100+'Forecast Drivers'!$B$26)</f>
        <v>5.0313436721039322E-2</v>
      </c>
      <c r="AH16" s="73">
        <f>MAX(0,'Forecast Drivers'!E6/100+'Forecast Drivers'!$B$26)</f>
        <v>4.9830103387705986E-2</v>
      </c>
      <c r="AI16" s="73">
        <f>MAX(0,'Forecast Drivers'!F6/100+'Forecast Drivers'!$B$26)</f>
        <v>4.9346770054372657E-2</v>
      </c>
      <c r="AJ16" s="73">
        <f>MAX(0,'Forecast Drivers'!G6/100+'Forecast Drivers'!$B$26)</f>
        <v>4.8863436721039322E-2</v>
      </c>
      <c r="AK16" s="73">
        <f>MAX(0,'Forecast Drivers'!H6/100+'Forecast Drivers'!$B$26)</f>
        <v>4.8380103387705986E-2</v>
      </c>
      <c r="AL16" s="73">
        <f>MAX(0,'Forecast Drivers'!I6/100+'Forecast Drivers'!$B$26)</f>
        <v>4.7896770054372657E-2</v>
      </c>
      <c r="AM16" s="73">
        <f>MAX(0,'Forecast Drivers'!J6/100+'Forecast Drivers'!$B$26)</f>
        <v>4.7413436721039322E-2</v>
      </c>
      <c r="AN16" s="73">
        <f>MAX(0,'Forecast Drivers'!K6/100+'Forecast Drivers'!$B$26)</f>
        <v>4.6930103387705986E-2</v>
      </c>
      <c r="AO16" s="73">
        <f>MAX(0,'Forecast Drivers'!L6/100+'Forecast Drivers'!$B$26)</f>
        <v>4.6446770054372657E-2</v>
      </c>
      <c r="AP16" s="73">
        <f>MAX(0,'Forecast Drivers'!M6/100+'Forecast Drivers'!$B$26)</f>
        <v>4.5963436721039322E-2</v>
      </c>
      <c r="AQ16" s="73">
        <f>MAX(0,'Forecast Drivers'!N6/100+'Forecast Drivers'!$B$26)</f>
        <v>4.5480103387705986E-2</v>
      </c>
    </row>
    <row r="17" spans="1:43" x14ac:dyDescent="0.2">
      <c r="A17" s="19" t="s">
        <v>89</v>
      </c>
      <c r="B17" s="38">
        <f>IF('Monthly Avg Balance'!B17=0,"",'Monthly NII'!B17*12/'Monthly Avg Balance'!B17)</f>
        <v>6.490576055216353E-2</v>
      </c>
      <c r="C17" s="38">
        <f>IF('Monthly Avg Balance'!C17=0,"",'Monthly NII'!C17*12/'Monthly Avg Balance'!C17)</f>
        <v>6.490576055216353E-2</v>
      </c>
      <c r="D17" s="38">
        <f>IF('Monthly Avg Balance'!D17=0,"",'Monthly NII'!D17*12/'Monthly Avg Balance'!D17)</f>
        <v>6.490576055216353E-2</v>
      </c>
      <c r="E17" s="38">
        <f>IF('Monthly Avg Balance'!E17=0,"",'Monthly NII'!E17*12/'Monthly Avg Balance'!E17)</f>
        <v>7.0024203441530458E-2</v>
      </c>
      <c r="F17" s="38">
        <f>IF('Monthly Avg Balance'!F17=0,"",'Monthly NII'!F17*12/'Monthly Avg Balance'!F17)</f>
        <v>7.0024203441530458E-2</v>
      </c>
      <c r="G17" s="38">
        <f>IF('Monthly Avg Balance'!G17=0,"",'Monthly NII'!G17*12/'Monthly Avg Balance'!G17)</f>
        <v>7.0024203441530458E-2</v>
      </c>
      <c r="H17" s="38">
        <f>IF('Monthly Avg Balance'!H17=0,"",'Monthly NII'!H17*12/'Monthly Avg Balance'!H17)</f>
        <v>7.3472495400038057E-2</v>
      </c>
      <c r="I17" s="38">
        <f>IF('Monthly Avg Balance'!I17=0,"",'Monthly NII'!I17*12/'Monthly Avg Balance'!I17)</f>
        <v>7.3472495400038071E-2</v>
      </c>
      <c r="J17" s="38">
        <f>IF('Monthly Avg Balance'!J17=0,"",'Monthly NII'!J17*12/'Monthly Avg Balance'!J17)</f>
        <v>7.3472495400038057E-2</v>
      </c>
      <c r="K17" s="38">
        <f>IF('Monthly Avg Balance'!K17=0,"",'Monthly NII'!K17*12/'Monthly Avg Balance'!K17)</f>
        <v>7.437034803400526E-2</v>
      </c>
      <c r="L17" s="38">
        <f>IF('Monthly Avg Balance'!L17=0,"",'Monthly NII'!L17*12/'Monthly Avg Balance'!L17)</f>
        <v>7.4370348034005246E-2</v>
      </c>
      <c r="M17" s="38">
        <f>IF('Monthly Avg Balance'!M17=0,"",'Monthly NII'!M17*12/'Monthly Avg Balance'!M17)</f>
        <v>7.437034803400526E-2</v>
      </c>
      <c r="N17" s="38">
        <f>IF('Monthly Avg Balance'!N17=0,"",'Monthly NII'!N17*12/'Monthly Avg Balance'!N17)</f>
        <v>7.5014812464628655E-2</v>
      </c>
      <c r="O17" s="38">
        <f>IF('Monthly Avg Balance'!O17=0,"",'Monthly NII'!O17*12/'Monthly Avg Balance'!O17)</f>
        <v>7.5014812464628641E-2</v>
      </c>
      <c r="P17" s="38">
        <f>IF('Monthly Avg Balance'!P17=0,"",'Monthly NII'!P17*12/'Monthly Avg Balance'!P17)</f>
        <v>7.5014812464628655E-2</v>
      </c>
      <c r="Q17" s="38">
        <f>IF('Monthly Avg Balance'!Q17=0,"",'Monthly NII'!Q17*12/'Monthly Avg Balance'!Q17)</f>
        <v>7.6439293065479655E-2</v>
      </c>
      <c r="R17" s="38">
        <f>IF('Monthly Avg Balance'!R17=0,"",'Monthly NII'!R17*12/'Monthly Avg Balance'!R17)</f>
        <v>7.6439293065479655E-2</v>
      </c>
      <c r="S17" s="38">
        <f>IF('Monthly Avg Balance'!S17=0,"",'Monthly NII'!S17*12/'Monthly Avg Balance'!S17)</f>
        <v>7.6439293065479641E-2</v>
      </c>
      <c r="T17" s="38">
        <f>IF('Monthly Avg Balance'!T17=0,"",'Monthly NII'!T17*12/'Monthly Avg Balance'!T17)</f>
        <v>7.3945761824891876E-2</v>
      </c>
      <c r="U17" s="38">
        <f>IF('Monthly Avg Balance'!U17=0,"",'Monthly NII'!U17*12/'Monthly Avg Balance'!U17)</f>
        <v>7.3945761824891876E-2</v>
      </c>
      <c r="V17" s="38">
        <f>IF('Monthly Avg Balance'!V17=0,"",'Monthly NII'!V17*12/'Monthly Avg Balance'!V17)</f>
        <v>7.3945761824891862E-2</v>
      </c>
      <c r="W17" s="38">
        <f>IF('Monthly Avg Balance'!W17=0,"",'Monthly NII'!W17*12/'Monthly Avg Balance'!W17)</f>
        <v>7.040950185221885E-2</v>
      </c>
      <c r="X17" s="38">
        <f>IF('Monthly Avg Balance'!X17=0,"",'Monthly NII'!X17*12/'Monthly Avg Balance'!X17)</f>
        <v>7.040950185221885E-2</v>
      </c>
      <c r="Y17" s="38">
        <f>IF('Monthly Avg Balance'!Y17=0,"",'Monthly NII'!Y17*12/'Monthly Avg Balance'!Y17)</f>
        <v>7.040950185221885E-2</v>
      </c>
      <c r="Z17" s="38">
        <f>IF('Monthly Avg Balance'!Z17=0,"",'Monthly NII'!Z17*12/'Monthly Avg Balance'!Z17)</f>
        <v>6.5886522769793204E-2</v>
      </c>
      <c r="AA17" s="38">
        <f>IF('Monthly Avg Balance'!AA17=0,"",'Monthly NII'!AA17*12/'Monthly Avg Balance'!AA17)</f>
        <v>6.5886522769793204E-2</v>
      </c>
      <c r="AB17" s="38">
        <f>IF('Monthly Avg Balance'!AB17=0,"",'Monthly NII'!AB17*12/'Monthly Avg Balance'!AB17)</f>
        <v>6.5886522769793204E-2</v>
      </c>
      <c r="AC17" s="38">
        <f>IF('Monthly Avg Balance'!AC17=0,"",'Monthly NII'!AC17*12/'Monthly Avg Balance'!AC17)</f>
        <v>6.503205768713205E-2</v>
      </c>
      <c r="AD17" s="38">
        <f>IF('Monthly Avg Balance'!AD17=0,"",'Monthly NII'!AD17*12/'Monthly Avg Balance'!AD17)</f>
        <v>6.503205768713205E-2</v>
      </c>
      <c r="AE17" s="38">
        <f>IF('Monthly Avg Balance'!AE17=0,"",'Monthly NII'!AE17*12/'Monthly Avg Balance'!AE17)</f>
        <v>6.5032057687132064E-2</v>
      </c>
      <c r="AF17" s="73">
        <f>MAX(0,'Forecast Drivers'!C6/100+'Forecast Drivers'!C13/100+'Forecast Drivers'!$B$27)</f>
        <v>6.4716891020465406E-2</v>
      </c>
      <c r="AG17" s="73">
        <f>MAX(0,'Forecast Drivers'!D6/100+'Forecast Drivers'!D13/100+'Forecast Drivers'!$B$27)</f>
        <v>6.4401724353798734E-2</v>
      </c>
      <c r="AH17" s="73">
        <f>MAX(0,'Forecast Drivers'!E6/100+'Forecast Drivers'!E13/100+'Forecast Drivers'!$B$27)</f>
        <v>6.4086557687132062E-2</v>
      </c>
      <c r="AI17" s="73">
        <f>MAX(0,'Forecast Drivers'!F6/100+'Forecast Drivers'!F13/100+'Forecast Drivers'!$B$27)</f>
        <v>6.3771391020465404E-2</v>
      </c>
      <c r="AJ17" s="73">
        <f>MAX(0,'Forecast Drivers'!G6/100+'Forecast Drivers'!G13/100+'Forecast Drivers'!$B$27)</f>
        <v>6.3456224353798732E-2</v>
      </c>
      <c r="AK17" s="73">
        <f>MAX(0,'Forecast Drivers'!H6/100+'Forecast Drivers'!H13/100+'Forecast Drivers'!$B$27)</f>
        <v>6.3141057687132074E-2</v>
      </c>
      <c r="AL17" s="73">
        <f>MAX(0,'Forecast Drivers'!I6/100+'Forecast Drivers'!I13/100+'Forecast Drivers'!$B$27)</f>
        <v>6.2825891020465402E-2</v>
      </c>
      <c r="AM17" s="73">
        <f>MAX(0,'Forecast Drivers'!J6/100+'Forecast Drivers'!J13/100+'Forecast Drivers'!$B$27)</f>
        <v>6.251072435379873E-2</v>
      </c>
      <c r="AN17" s="73">
        <f>MAX(0,'Forecast Drivers'!K6/100+'Forecast Drivers'!K13/100+'Forecast Drivers'!$B$27)</f>
        <v>6.2195557687132065E-2</v>
      </c>
      <c r="AO17" s="73">
        <f>MAX(0,'Forecast Drivers'!L6/100+'Forecast Drivers'!L13/100+'Forecast Drivers'!$B$27)</f>
        <v>6.1880391020465407E-2</v>
      </c>
      <c r="AP17" s="73">
        <f>MAX(0,'Forecast Drivers'!M6/100+'Forecast Drivers'!M13/100+'Forecast Drivers'!$B$27)</f>
        <v>6.1565224353798735E-2</v>
      </c>
      <c r="AQ17" s="73">
        <f>MAX(0,'Forecast Drivers'!N6/100+'Forecast Drivers'!N13/100+'Forecast Drivers'!$B$27)</f>
        <v>6.125005768713207E-2</v>
      </c>
    </row>
    <row r="18" spans="1:43" x14ac:dyDescent="0.2">
      <c r="A18" s="19" t="s">
        <v>90</v>
      </c>
      <c r="B18" s="38">
        <f>IF('Monthly Avg Balance'!B18=0,"",'Monthly NII'!B18*12/'Monthly Avg Balance'!B18)</f>
        <v>2.0556745182012854E-2</v>
      </c>
      <c r="C18" s="38">
        <f>IF('Monthly Avg Balance'!C18=0,"",'Monthly NII'!C18*12/'Monthly Avg Balance'!C18)</f>
        <v>2.0556745182012854E-2</v>
      </c>
      <c r="D18" s="38">
        <f>IF('Monthly Avg Balance'!D18=0,"",'Monthly NII'!D18*12/'Monthly Avg Balance'!D18)</f>
        <v>2.0556745182012854E-2</v>
      </c>
      <c r="E18" s="38">
        <f>IF('Monthly Avg Balance'!E18=0,"",'Monthly NII'!E18*12/'Monthly Avg Balance'!E18)</f>
        <v>1.9842910293509711E-2</v>
      </c>
      <c r="F18" s="38">
        <f>IF('Monthly Avg Balance'!F18=0,"",'Monthly NII'!F18*12/'Monthly Avg Balance'!F18)</f>
        <v>1.9842910293509711E-2</v>
      </c>
      <c r="G18" s="38">
        <f>IF('Monthly Avg Balance'!G18=0,"",'Monthly NII'!G18*12/'Monthly Avg Balance'!G18)</f>
        <v>1.9842910293509715E-2</v>
      </c>
      <c r="H18" s="38">
        <f>IF('Monthly Avg Balance'!H18=0,"",'Monthly NII'!H18*12/'Monthly Avg Balance'!H18)</f>
        <v>1.779215527699151E-2</v>
      </c>
      <c r="I18" s="38">
        <f>IF('Monthly Avg Balance'!I18=0,"",'Monthly NII'!I18*12/'Monthly Avg Balance'!I18)</f>
        <v>1.779215527699151E-2</v>
      </c>
      <c r="J18" s="38">
        <f>IF('Monthly Avg Balance'!J18=0,"",'Monthly NII'!J18*12/'Monthly Avg Balance'!J18)</f>
        <v>1.7792155276991507E-2</v>
      </c>
      <c r="K18" s="38">
        <f>IF('Monthly Avg Balance'!K18=0,"",'Monthly NII'!K18*12/'Monthly Avg Balance'!K18)</f>
        <v>1.5228426395939085E-2</v>
      </c>
      <c r="L18" s="38">
        <f>IF('Monthly Avg Balance'!L18=0,"",'Monthly NII'!L18*12/'Monthly Avg Balance'!L18)</f>
        <v>1.5228426395939087E-2</v>
      </c>
      <c r="M18" s="38">
        <f>IF('Monthly Avg Balance'!M18=0,"",'Monthly NII'!M18*12/'Monthly Avg Balance'!M18)</f>
        <v>1.5228426395939087E-2</v>
      </c>
      <c r="N18" s="38">
        <f>IF('Monthly Avg Balance'!N18=0,"",'Monthly NII'!N18*12/'Monthly Avg Balance'!N18)</f>
        <v>1.346272507993493E-2</v>
      </c>
      <c r="O18" s="38">
        <f>IF('Monthly Avg Balance'!O18=0,"",'Monthly NII'!O18*12/'Monthly Avg Balance'!O18)</f>
        <v>1.346272507993493E-2</v>
      </c>
      <c r="P18" s="38">
        <f>IF('Monthly Avg Balance'!P18=0,"",'Monthly NII'!P18*12/'Monthly Avg Balance'!P18)</f>
        <v>1.346272507993493E-2</v>
      </c>
      <c r="Q18" s="38">
        <f>IF('Monthly Avg Balance'!Q18=0,"",'Monthly NII'!Q18*12/'Monthly Avg Balance'!Q18)</f>
        <v>1.4129736673089274E-2</v>
      </c>
      <c r="R18" s="38">
        <f>IF('Monthly Avg Balance'!R18=0,"",'Monthly NII'!R18*12/'Monthly Avg Balance'!R18)</f>
        <v>1.4129736673089276E-2</v>
      </c>
      <c r="S18" s="38">
        <f>IF('Monthly Avg Balance'!S18=0,"",'Monthly NII'!S18*12/'Monthly Avg Balance'!S18)</f>
        <v>1.4129736673089276E-2</v>
      </c>
      <c r="T18" s="38">
        <f>IF('Monthly Avg Balance'!T18=0,"",'Monthly NII'!T18*12/'Monthly Avg Balance'!T18)</f>
        <v>1.2115772941440428E-2</v>
      </c>
      <c r="U18" s="38">
        <f>IF('Monthly Avg Balance'!U18=0,"",'Monthly NII'!U18*12/'Monthly Avg Balance'!U18)</f>
        <v>1.2115772941440431E-2</v>
      </c>
      <c r="V18" s="38">
        <f>IF('Monthly Avg Balance'!V18=0,"",'Monthly NII'!V18*12/'Monthly Avg Balance'!V18)</f>
        <v>1.2115772941440429E-2</v>
      </c>
      <c r="W18" s="38">
        <f>IF('Monthly Avg Balance'!W18=0,"",'Monthly NII'!W18*12/'Monthly Avg Balance'!W18)</f>
        <v>1.5733406173176728E-2</v>
      </c>
      <c r="X18" s="38">
        <f>IF('Monthly Avg Balance'!X18=0,"",'Monthly NII'!X18*12/'Monthly Avg Balance'!X18)</f>
        <v>1.5733406173176728E-2</v>
      </c>
      <c r="Y18" s="38">
        <f>IF('Monthly Avg Balance'!Y18=0,"",'Monthly NII'!Y18*12/'Monthly Avg Balance'!Y18)</f>
        <v>1.5733406173176728E-2</v>
      </c>
      <c r="Z18" s="38">
        <f>IF('Monthly Avg Balance'!Z18=0,"",'Monthly NII'!Z18*12/'Monthly Avg Balance'!Z18)</f>
        <v>1.2480499219968796E-2</v>
      </c>
      <c r="AA18" s="38">
        <f>IF('Monthly Avg Balance'!AA18=0,"",'Monthly NII'!AA18*12/'Monthly Avg Balance'!AA18)</f>
        <v>1.2480499219968796E-2</v>
      </c>
      <c r="AB18" s="38">
        <f>IF('Monthly Avg Balance'!AB18=0,"",'Monthly NII'!AB18*12/'Monthly Avg Balance'!AB18)</f>
        <v>1.2480499219968799E-2</v>
      </c>
      <c r="AC18" s="38">
        <f>IF('Monthly Avg Balance'!AC18=0,"",'Monthly NII'!AC18*12/'Monthly Avg Balance'!AC18)</f>
        <v>1.5942304042512807E-2</v>
      </c>
      <c r="AD18" s="38">
        <f>IF('Monthly Avg Balance'!AD18=0,"",'Monthly NII'!AD18*12/'Monthly Avg Balance'!AD18)</f>
        <v>1.5942304042512807E-2</v>
      </c>
      <c r="AE18" s="38">
        <f>IF('Monthly Avg Balance'!AE18=0,"",'Monthly NII'!AE18*12/'Monthly Avg Balance'!AE18)</f>
        <v>1.594230404251281E-2</v>
      </c>
      <c r="AF18" s="73">
        <f>MAX(0,'Forecast Drivers'!C5/100+'Forecast Drivers'!$B$28)</f>
        <v>1.569230404251281E-2</v>
      </c>
      <c r="AG18" s="73">
        <f>MAX(0,'Forecast Drivers'!D5/100+'Forecast Drivers'!$B$28)</f>
        <v>1.5442304042512803E-2</v>
      </c>
      <c r="AH18" s="73">
        <f>MAX(0,'Forecast Drivers'!E5/100+'Forecast Drivers'!$B$28)</f>
        <v>1.5192304042512803E-2</v>
      </c>
      <c r="AI18" s="73">
        <f>MAX(0,'Forecast Drivers'!F5/100+'Forecast Drivers'!$B$28)</f>
        <v>1.4942304042512795E-2</v>
      </c>
      <c r="AJ18" s="73">
        <f>MAX(0,'Forecast Drivers'!G5/100+'Forecast Drivers'!$B$28)</f>
        <v>1.4692304042512795E-2</v>
      </c>
      <c r="AK18" s="73">
        <f>MAX(0,'Forecast Drivers'!H5/100+'Forecast Drivers'!$B$28)</f>
        <v>1.4442304042512788E-2</v>
      </c>
      <c r="AL18" s="73">
        <f>MAX(0,'Forecast Drivers'!I5/100+'Forecast Drivers'!$B$28)</f>
        <v>1.4192304042512788E-2</v>
      </c>
      <c r="AM18" s="73">
        <f>MAX(0,'Forecast Drivers'!J5/100+'Forecast Drivers'!$B$28)</f>
        <v>1.3942304042512788E-2</v>
      </c>
      <c r="AN18" s="73">
        <f>MAX(0,'Forecast Drivers'!K5/100+'Forecast Drivers'!$B$28)</f>
        <v>1.369230404251278E-2</v>
      </c>
      <c r="AO18" s="73">
        <f>MAX(0,'Forecast Drivers'!L5/100+'Forecast Drivers'!$B$28)</f>
        <v>1.344230404251278E-2</v>
      </c>
      <c r="AP18" s="73">
        <f>MAX(0,'Forecast Drivers'!M5/100+'Forecast Drivers'!$B$28)</f>
        <v>1.3192304042512773E-2</v>
      </c>
      <c r="AQ18" s="73">
        <f>MAX(0,'Forecast Drivers'!N5/100+'Forecast Drivers'!$B$28)</f>
        <v>1.2942304042512773E-2</v>
      </c>
    </row>
    <row r="19" spans="1:43" x14ac:dyDescent="0.2">
      <c r="A19" s="22" t="s">
        <v>91</v>
      </c>
      <c r="B19" s="40">
        <f>IF('Monthly Avg Balance'!B19=0,"",'Monthly NII'!B19*12/'Monthly Avg Balance'!B19)</f>
        <v>2.8651920448523053E-2</v>
      </c>
      <c r="C19" s="40">
        <f>IF('Monthly Avg Balance'!C19=0,"",'Monthly NII'!C19*12/'Monthly Avg Balance'!C19)</f>
        <v>2.8651920448523053E-2</v>
      </c>
      <c r="D19" s="40">
        <f>IF('Monthly Avg Balance'!D19=0,"",'Monthly NII'!D19*12/'Monthly Avg Balance'!D19)</f>
        <v>2.8651920448523053E-2</v>
      </c>
      <c r="E19" s="40">
        <f>IF('Monthly Avg Balance'!E19=0,"",'Monthly NII'!E19*12/'Monthly Avg Balance'!E19)</f>
        <v>3.3608784150120072E-2</v>
      </c>
      <c r="F19" s="40">
        <f>IF('Monthly Avg Balance'!F19=0,"",'Monthly NII'!F19*12/'Monthly Avg Balance'!F19)</f>
        <v>3.3590238696439081E-2</v>
      </c>
      <c r="G19" s="40">
        <f>IF('Monthly Avg Balance'!G19=0,"",'Monthly NII'!G19*12/'Monthly Avg Balance'!G19)</f>
        <v>3.3572033431717385E-2</v>
      </c>
      <c r="H19" s="40">
        <f>IF('Monthly Avg Balance'!H19=0,"",'Monthly NII'!H19*12/'Monthly Avg Balance'!H19)</f>
        <v>3.7454081101238386E-2</v>
      </c>
      <c r="I19" s="40">
        <f>IF('Monthly Avg Balance'!I19=0,"",'Monthly NII'!I19*12/'Monthly Avg Balance'!I19)</f>
        <v>3.7533045398666226E-2</v>
      </c>
      <c r="J19" s="40">
        <f>IF('Monthly Avg Balance'!J19=0,"",'Monthly NII'!J19*12/'Monthly Avg Balance'!J19)</f>
        <v>3.7612276455740556E-2</v>
      </c>
      <c r="K19" s="40">
        <f>IF('Monthly Avg Balance'!K19=0,"",'Monthly NII'!K19*12/'Monthly Avg Balance'!K19)</f>
        <v>3.9176726510696161E-2</v>
      </c>
      <c r="L19" s="40">
        <f>IF('Monthly Avg Balance'!L19=0,"",'Monthly NII'!L19*12/'Monthly Avg Balance'!L19)</f>
        <v>3.9184791049501629E-2</v>
      </c>
      <c r="M19" s="40">
        <f>IF('Monthly Avg Balance'!M19=0,"",'Monthly NII'!M19*12/'Monthly Avg Balance'!M19)</f>
        <v>3.9158142530276434E-2</v>
      </c>
      <c r="N19" s="40">
        <f>IF('Monthly Avg Balance'!N19=0,"",'Monthly NII'!N19*12/'Monthly Avg Balance'!N19)</f>
        <v>3.9844532278009319E-2</v>
      </c>
      <c r="O19" s="40">
        <f>IF('Monthly Avg Balance'!O19=0,"",'Monthly NII'!O19*12/'Monthly Avg Balance'!O19)</f>
        <v>3.9795502855301659E-2</v>
      </c>
      <c r="P19" s="40">
        <f>IF('Monthly Avg Balance'!P19=0,"",'Monthly NII'!P19*12/'Monthly Avg Balance'!P19)</f>
        <v>3.9844280902840909E-2</v>
      </c>
      <c r="Q19" s="40">
        <f>IF('Monthly Avg Balance'!Q19=0,"",'Monthly NII'!Q19*12/'Monthly Avg Balance'!Q19)</f>
        <v>4.0092835862253616E-2</v>
      </c>
      <c r="R19" s="40">
        <f>IF('Monthly Avg Balance'!R19=0,"",'Monthly NII'!R19*12/'Monthly Avg Balance'!R19)</f>
        <v>3.98900655897204E-2</v>
      </c>
      <c r="S19" s="40">
        <f>IF('Monthly Avg Balance'!S19=0,"",'Monthly NII'!S19*12/'Monthly Avg Balance'!S19)</f>
        <v>3.9934097647210724E-2</v>
      </c>
      <c r="T19" s="40">
        <f>IF('Monthly Avg Balance'!T19=0,"",'Monthly NII'!T19*12/'Monthly Avg Balance'!T19)</f>
        <v>4.0359698594475378E-2</v>
      </c>
      <c r="U19" s="40">
        <f>IF('Monthly Avg Balance'!U19=0,"",'Monthly NII'!U19*12/'Monthly Avg Balance'!U19)</f>
        <v>4.0309115185576151E-2</v>
      </c>
      <c r="V19" s="40">
        <f>IF('Monthly Avg Balance'!V19=0,"",'Monthly NII'!V19*12/'Monthly Avg Balance'!V19)</f>
        <v>4.0464871886526671E-2</v>
      </c>
      <c r="W19" s="40">
        <f>IF('Monthly Avg Balance'!W19=0,"",'Monthly NII'!W19*12/'Monthly Avg Balance'!W19)</f>
        <v>3.8274421241081311E-2</v>
      </c>
      <c r="X19" s="40">
        <f>IF('Monthly Avg Balance'!X19=0,"",'Monthly NII'!X19*12/'Monthly Avg Balance'!X19)</f>
        <v>3.7972959286533409E-2</v>
      </c>
      <c r="Y19" s="40">
        <f>IF('Monthly Avg Balance'!Y19=0,"",'Monthly NII'!Y19*12/'Monthly Avg Balance'!Y19)</f>
        <v>3.8035435650700354E-2</v>
      </c>
      <c r="Z19" s="40">
        <f>IF('Monthly Avg Balance'!Z19=0,"",'Monthly NII'!Z19*12/'Monthly Avg Balance'!Z19)</f>
        <v>3.5490645441855088E-2</v>
      </c>
      <c r="AA19" s="40">
        <f>IF('Monthly Avg Balance'!AA19=0,"",'Monthly NII'!AA19*12/'Monthly Avg Balance'!AA19)</f>
        <v>3.53838134577266E-2</v>
      </c>
      <c r="AB19" s="40">
        <f>IF('Monthly Avg Balance'!AB19=0,"",'Monthly NII'!AB19*12/'Monthly Avg Balance'!AB19)</f>
        <v>3.5311407057881224E-2</v>
      </c>
      <c r="AC19" s="40">
        <f>IF('Monthly Avg Balance'!AC19=0,"",'Monthly NII'!AC19*12/'Monthly Avg Balance'!AC19)</f>
        <v>3.5266557533143027E-2</v>
      </c>
      <c r="AD19" s="40">
        <f>IF('Monthly Avg Balance'!AD19=0,"",'Monthly NII'!AD19*12/'Monthly Avg Balance'!AD19)</f>
        <v>3.517459886832304E-2</v>
      </c>
      <c r="AE19" s="40">
        <f>IF('Monthly Avg Balance'!AE19=0,"",'Monthly NII'!AE19*12/'Monthly Avg Balance'!AE19)</f>
        <v>3.524977081666112E-2</v>
      </c>
      <c r="AF19" s="74">
        <f>('Monthly Avg Balance'!AF15*AF15+'Monthly Avg Balance'!AF16*AF16+'Monthly Avg Balance'!AF17*AF17+'Monthly Avg Balance'!AF18*AF18)/'Monthly Avg Balance'!AF19</f>
        <v>3.5112449441538442E-2</v>
      </c>
      <c r="AG19" s="74">
        <f>('Monthly Avg Balance'!AG15*AG15+'Monthly Avg Balance'!AG16*AG16+'Monthly Avg Balance'!AG17*AG17+'Monthly Avg Balance'!AG18*AG18)/'Monthly Avg Balance'!AG19</f>
        <v>3.4904334134037263E-2</v>
      </c>
      <c r="AH19" s="74">
        <f>('Monthly Avg Balance'!AH15*AH15+'Monthly Avg Balance'!AH16*AH16+'Monthly Avg Balance'!AH17*AH17+'Monthly Avg Balance'!AH18*AH18)/'Monthly Avg Balance'!AH19</f>
        <v>3.4696318683128766E-2</v>
      </c>
      <c r="AI19" s="74">
        <f>('Monthly Avg Balance'!AI15*AI15+'Monthly Avg Balance'!AI16*AI16+'Monthly Avg Balance'!AI17*AI17+'Monthly Avg Balance'!AI18*AI18)/'Monthly Avg Balance'!AI19</f>
        <v>3.4488402416674398E-2</v>
      </c>
      <c r="AJ19" s="74">
        <f>('Monthly Avg Balance'!AJ15*AJ15+'Monthly Avg Balance'!AJ16*AJ16+'Monthly Avg Balance'!AJ17*AJ17+'Monthly Avg Balance'!AJ18*AJ18)/'Monthly Avg Balance'!AJ19</f>
        <v>3.428058466648197E-2</v>
      </c>
      <c r="AK19" s="74">
        <f>('Monthly Avg Balance'!AK15*AK15+'Monthly Avg Balance'!AK16*AK16+'Monthly Avg Balance'!AK17*AK17+'Monthly Avg Balance'!AK18*AK18)/'Monthly Avg Balance'!AK19</f>
        <v>3.4072864768287171E-2</v>
      </c>
      <c r="AL19" s="74">
        <f>('Monthly Avg Balance'!AL15*AL15+'Monthly Avg Balance'!AL16*AL16+'Monthly Avg Balance'!AL17*AL17+'Monthly Avg Balance'!AL18*AL18)/'Monthly Avg Balance'!AL19</f>
        <v>3.3865242061735149E-2</v>
      </c>
      <c r="AM19" s="74">
        <f>('Monthly Avg Balance'!AM15*AM15+'Monthly Avg Balance'!AM16*AM16+'Monthly Avg Balance'!AM17*AM17+'Monthly Avg Balance'!AM18*AM18)/'Monthly Avg Balance'!AM19</f>
        <v>3.3657715890362129E-2</v>
      </c>
      <c r="AN19" s="74">
        <f>('Monthly Avg Balance'!AN15*AN15+'Monthly Avg Balance'!AN16*AN16+'Monthly Avg Balance'!AN17*AN17+'Monthly Avg Balance'!AN18*AN18)/'Monthly Avg Balance'!AN19</f>
        <v>3.3450285601577048E-2</v>
      </c>
      <c r="AO19" s="74">
        <f>('Monthly Avg Balance'!AO15*AO15+'Monthly Avg Balance'!AO16*AO16+'Monthly Avg Balance'!AO17*AO17+'Monthly Avg Balance'!AO18*AO18)/'Monthly Avg Balance'!AO19</f>
        <v>3.3242950546643245E-2</v>
      </c>
      <c r="AP19" s="74">
        <f>('Monthly Avg Balance'!AP15*AP15+'Monthly Avg Balance'!AP16*AP16+'Monthly Avg Balance'!AP17*AP17+'Monthly Avg Balance'!AP18*AP18)/'Monthly Avg Balance'!AP19</f>
        <v>3.3035710080660217E-2</v>
      </c>
      <c r="AQ19" s="74">
        <f>('Monthly Avg Balance'!AQ15*AQ15+'Monthly Avg Balance'!AQ16*AQ16+'Monthly Avg Balance'!AQ17*AQ17+'Monthly Avg Balance'!AQ18*AQ18)/'Monthly Avg Balance'!AQ19</f>
        <v>3.2828563562545397E-2</v>
      </c>
    </row>
    <row r="20" spans="1:43" x14ac:dyDescent="0.2">
      <c r="A20" s="19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</row>
    <row r="21" spans="1:43" x14ac:dyDescent="0.2">
      <c r="A21" s="22" t="s">
        <v>28</v>
      </c>
      <c r="B21" s="40">
        <f t="shared" ref="B21:AQ21" si="0">B12-B19</f>
        <v>6.1605734590667968E-2</v>
      </c>
      <c r="C21" s="40">
        <f t="shared" si="0"/>
        <v>6.1271148472223994E-2</v>
      </c>
      <c r="D21" s="40">
        <f t="shared" si="0"/>
        <v>6.0544245270138783E-2</v>
      </c>
      <c r="E21" s="40">
        <f t="shared" si="0"/>
        <v>5.8977201262838438E-2</v>
      </c>
      <c r="F21" s="40">
        <f t="shared" si="0"/>
        <v>5.9780401578350212E-2</v>
      </c>
      <c r="G21" s="40">
        <f t="shared" si="0"/>
        <v>5.9481686921408247E-2</v>
      </c>
      <c r="H21" s="40">
        <f t="shared" si="0"/>
        <v>6.0509569889065577E-2</v>
      </c>
      <c r="I21" s="40">
        <f t="shared" si="0"/>
        <v>6.0731649674782409E-2</v>
      </c>
      <c r="J21" s="40">
        <f t="shared" si="0"/>
        <v>6.0655406322660518E-2</v>
      </c>
      <c r="K21" s="40">
        <f t="shared" si="0"/>
        <v>6.0087341869335578E-2</v>
      </c>
      <c r="L21" s="40">
        <f t="shared" si="0"/>
        <v>5.9875110852558346E-2</v>
      </c>
      <c r="M21" s="40">
        <f t="shared" si="0"/>
        <v>6.1134012755883753E-2</v>
      </c>
      <c r="N21" s="40">
        <f t="shared" si="0"/>
        <v>6.0477582570692197E-2</v>
      </c>
      <c r="O21" s="40">
        <f t="shared" si="0"/>
        <v>5.8945412501119732E-2</v>
      </c>
      <c r="P21" s="40">
        <f t="shared" si="0"/>
        <v>5.9814483633771592E-2</v>
      </c>
      <c r="Q21" s="40">
        <f t="shared" si="0"/>
        <v>5.9830817435284268E-2</v>
      </c>
      <c r="R21" s="40">
        <f t="shared" si="0"/>
        <v>5.8911041694910349E-2</v>
      </c>
      <c r="S21" s="40">
        <f t="shared" si="0"/>
        <v>6.0275784099817133E-2</v>
      </c>
      <c r="T21" s="40">
        <f t="shared" si="0"/>
        <v>6.4258097875834447E-2</v>
      </c>
      <c r="U21" s="40">
        <f t="shared" si="0"/>
        <v>6.2955003527237596E-2</v>
      </c>
      <c r="V21" s="40">
        <f t="shared" si="0"/>
        <v>6.3639200873924481E-2</v>
      </c>
      <c r="W21" s="40">
        <f t="shared" si="0"/>
        <v>6.3014325975496818E-2</v>
      </c>
      <c r="X21" s="40">
        <f t="shared" si="0"/>
        <v>6.2344927899767394E-2</v>
      </c>
      <c r="Y21" s="40">
        <f t="shared" si="0"/>
        <v>6.4095000551108672E-2</v>
      </c>
      <c r="Z21" s="40">
        <f t="shared" si="0"/>
        <v>6.3595925561394373E-2</v>
      </c>
      <c r="AA21" s="40">
        <f t="shared" si="0"/>
        <v>6.1769214706568716E-2</v>
      </c>
      <c r="AB21" s="40">
        <f t="shared" si="0"/>
        <v>6.3041474302764355E-2</v>
      </c>
      <c r="AC21" s="40">
        <f t="shared" si="0"/>
        <v>6.8807917848997813E-2</v>
      </c>
      <c r="AD21" s="40">
        <f t="shared" si="0"/>
        <v>6.94171984628323E-2</v>
      </c>
      <c r="AE21" s="40">
        <f t="shared" si="0"/>
        <v>7.148902230310189E-2</v>
      </c>
      <c r="AF21" s="74">
        <f t="shared" si="0"/>
        <v>7.4040465563874364E-2</v>
      </c>
      <c r="AG21" s="74">
        <f t="shared" si="0"/>
        <v>7.3744896494815707E-2</v>
      </c>
      <c r="AH21" s="74">
        <f t="shared" si="0"/>
        <v>7.3811331039754333E-2</v>
      </c>
      <c r="AI21" s="74">
        <f t="shared" si="0"/>
        <v>7.3877669020474823E-2</v>
      </c>
      <c r="AJ21" s="74">
        <f t="shared" si="0"/>
        <v>7.3581694113601867E-2</v>
      </c>
      <c r="AK21" s="74">
        <f t="shared" si="0"/>
        <v>7.3647811942187141E-2</v>
      </c>
      <c r="AL21" s="74">
        <f t="shared" si="0"/>
        <v>7.3713835202470851E-2</v>
      </c>
      <c r="AM21" s="74">
        <f t="shared" si="0"/>
        <v>7.3417460508366617E-2</v>
      </c>
      <c r="AN21" s="74">
        <f t="shared" si="0"/>
        <v>7.3483267588900086E-2</v>
      </c>
      <c r="AO21" s="74">
        <f t="shared" si="0"/>
        <v>7.3548982062022483E-2</v>
      </c>
      <c r="AP21" s="74">
        <f t="shared" si="0"/>
        <v>7.3252213526140697E-2</v>
      </c>
      <c r="AQ21" s="74">
        <f t="shared" si="0"/>
        <v>7.3317715722328064E-2</v>
      </c>
    </row>
    <row r="22" spans="1:43" x14ac:dyDescent="0.2">
      <c r="A22" s="22" t="s">
        <v>29</v>
      </c>
      <c r="B22" s="40">
        <f>IF('Monthly Avg Balance'!B12=0,"",'Monthly NII'!B21*12/'Monthly Avg Balance'!B12)</f>
        <v>6.6367060565286462E-2</v>
      </c>
      <c r="C22" s="40">
        <f>IF('Monthly Avg Balance'!C12=0,"",'Monthly NII'!C21*12/'Monthly Avg Balance'!C12)</f>
        <v>6.6211622815696008E-2</v>
      </c>
      <c r="D22" s="40">
        <f>IF('Monthly Avg Balance'!D12=0,"",'Monthly NII'!D21*12/'Monthly Avg Balance'!D12)</f>
        <v>6.5873927401350424E-2</v>
      </c>
      <c r="E22" s="40">
        <f>IF('Monthly Avg Balance'!E12=0,"",'Monthly NII'!E21*12/'Monthly Avg Balance'!E12)</f>
        <v>6.5027952489715934E-2</v>
      </c>
      <c r="F22" s="40">
        <f>IF('Monthly Avg Balance'!F12=0,"",'Monthly NII'!F21*12/'Monthly Avg Balance'!F12)</f>
        <v>6.5195939596377026E-2</v>
      </c>
      <c r="G22" s="40">
        <f>IF('Monthly Avg Balance'!G12=0,"",'Monthly NII'!G21*12/'Monthly Avg Balance'!G12)</f>
        <v>6.4993669297217102E-2</v>
      </c>
      <c r="H22" s="40">
        <f>IF('Monthly Avg Balance'!H12=0,"",'Monthly NII'!H21*12/'Monthly Avg Balance'!H12)</f>
        <v>6.6846460627925416E-2</v>
      </c>
      <c r="I22" s="40">
        <f>IF('Monthly Avg Balance'!I12=0,"",'Monthly NII'!I21*12/'Monthly Avg Balance'!I12)</f>
        <v>6.7048766806746984E-2</v>
      </c>
      <c r="J22" s="40">
        <f>IF('Monthly Avg Balance'!J12=0,"",'Monthly NII'!J21*12/'Monthly Avg Balance'!J12)</f>
        <v>6.7157116068156705E-2</v>
      </c>
      <c r="K22" s="40">
        <f>IF('Monthly Avg Balance'!K12=0,"",'Monthly NII'!K21*12/'Monthly Avg Balance'!K12)</f>
        <v>6.7002012686217763E-2</v>
      </c>
      <c r="L22" s="40">
        <f>IF('Monthly Avg Balance'!L12=0,"",'Monthly NII'!L21*12/'Monthly Avg Balance'!L12)</f>
        <v>6.6717424032018982E-2</v>
      </c>
      <c r="M22" s="40">
        <f>IF('Monthly Avg Balance'!M12=0,"",'Monthly NII'!M21*12/'Monthly Avg Balance'!M12)</f>
        <v>6.7743366583941436E-2</v>
      </c>
      <c r="N22" s="40">
        <f>IF('Monthly Avg Balance'!N12=0,"",'Monthly NII'!N21*12/'Monthly Avg Balance'!N12)</f>
        <v>6.7383755534509079E-2</v>
      </c>
      <c r="O22" s="40">
        <f>IF('Monthly Avg Balance'!O12=0,"",'Monthly NII'!O21*12/'Monthly Avg Balance'!O12)</f>
        <v>6.614547455475818E-2</v>
      </c>
      <c r="P22" s="40">
        <f>IF('Monthly Avg Balance'!P12=0,"",'Monthly NII'!P21*12/'Monthly Avg Balance'!P12)</f>
        <v>6.6599082970417875E-2</v>
      </c>
      <c r="Q22" s="40">
        <f>IF('Monthly Avg Balance'!Q12=0,"",'Monthly NII'!Q21*12/'Monthly Avg Balance'!Q12)</f>
        <v>6.666817356850302E-2</v>
      </c>
      <c r="R22" s="40">
        <f>IF('Monthly Avg Balance'!R12=0,"",'Monthly NII'!R21*12/'Monthly Avg Balance'!R12)</f>
        <v>6.6135788402325216E-2</v>
      </c>
      <c r="S22" s="40">
        <f>IF('Monthly Avg Balance'!S12=0,"",'Monthly NII'!S21*12/'Monthly Avg Balance'!S12)</f>
        <v>6.7174266016256479E-2</v>
      </c>
      <c r="T22" s="40">
        <f>IF('Monthly Avg Balance'!T12=0,"",'Monthly NII'!T21*12/'Monthly Avg Balance'!T12)</f>
        <v>7.1260423909911705E-2</v>
      </c>
      <c r="U22" s="40">
        <f>IF('Monthly Avg Balance'!U12=0,"",'Monthly NII'!U21*12/'Monthly Avg Balance'!U12)</f>
        <v>7.0372650060148575E-2</v>
      </c>
      <c r="V22" s="40">
        <f>IF('Monthly Avg Balance'!V12=0,"",'Monthly NII'!V21*12/'Monthly Avg Balance'!V12)</f>
        <v>7.0811989262751576E-2</v>
      </c>
      <c r="W22" s="40">
        <f>IF('Monthly Avg Balance'!W12=0,"",'Monthly NII'!W21*12/'Monthly Avg Balance'!W12)</f>
        <v>6.9861316203446586E-2</v>
      </c>
      <c r="X22" s="40">
        <f>IF('Monthly Avg Balance'!X12=0,"",'Monthly NII'!X21*12/'Monthly Avg Balance'!X12)</f>
        <v>6.9420935084612487E-2</v>
      </c>
      <c r="Y22" s="40">
        <f>IF('Monthly Avg Balance'!Y12=0,"",'Monthly NII'!Y21*12/'Monthly Avg Balance'!Y12)</f>
        <v>7.0638896124780179E-2</v>
      </c>
      <c r="Z22" s="40">
        <f>IF('Monthly Avg Balance'!Z12=0,"",'Monthly NII'!Z21*12/'Monthly Avg Balance'!Z12)</f>
        <v>6.9583443581490823E-2</v>
      </c>
      <c r="AA22" s="40">
        <f>IF('Monthly Avg Balance'!AA12=0,"",'Monthly NII'!AA21*12/'Monthly Avg Balance'!AA12)</f>
        <v>6.8086526367328801E-2</v>
      </c>
      <c r="AB22" s="40">
        <f>IF('Monthly Avg Balance'!AB12=0,"",'Monthly NII'!AB21*12/'Monthly Avg Balance'!AB12)</f>
        <v>6.907253432921652E-2</v>
      </c>
      <c r="AC22" s="40">
        <f>IF('Monthly Avg Balance'!AC12=0,"",'Monthly NII'!AC21*12/'Monthly Avg Balance'!AC12)</f>
        <v>7.4831057876370732E-2</v>
      </c>
      <c r="AD22" s="40">
        <f>IF('Monthly Avg Balance'!AD12=0,"",'Monthly NII'!AD21*12/'Monthly Avg Balance'!AD12)</f>
        <v>7.5661430125368773E-2</v>
      </c>
      <c r="AE22" s="40">
        <f>IF('Monthly Avg Balance'!AE12=0,"",'Monthly NII'!AE21*12/'Monthly Avg Balance'!AE12)</f>
        <v>7.7428821298113654E-2</v>
      </c>
      <c r="AF22" s="74">
        <f>'Monthly NII'!AF21*12/'Monthly Avg Balance'!AF12</f>
        <v>7.9690953718223184E-2</v>
      </c>
      <c r="AG22" s="74">
        <f>'Monthly NII'!AG21*12/'Monthly Avg Balance'!AG12</f>
        <v>7.9364448080041117E-2</v>
      </c>
      <c r="AH22" s="74">
        <f>'Monthly NII'!AH21*12/'Monthly Avg Balance'!AH12</f>
        <v>7.9399909523219195E-2</v>
      </c>
      <c r="AI22" s="74">
        <f>'Monthly NII'!AI21*12/'Monthly Avg Balance'!AI12</f>
        <v>7.9435238295216634E-2</v>
      </c>
      <c r="AJ22" s="74">
        <f>'Monthly NII'!AJ21*12/'Monthly Avg Balance'!AJ12</f>
        <v>7.9108218495075933E-2</v>
      </c>
      <c r="AK22" s="74">
        <f>'Monthly NII'!AK21*12/'Monthly Avg Balance'!AK12</f>
        <v>7.9143256165035883E-2</v>
      </c>
      <c r="AL22" s="74">
        <f>'Monthly NII'!AL21*12/'Monthly Avg Balance'!AL12</f>
        <v>7.9178164417319147E-2</v>
      </c>
      <c r="AM22" s="74">
        <f>'Monthly NII'!AM21*12/'Monthly Avg Balance'!AM12</f>
        <v>7.8850640278643344E-2</v>
      </c>
      <c r="AN22" s="74">
        <f>'Monthly NII'!AN21*12/'Monthly Avg Balance'!AN12</f>
        <v>7.888526388768495E-2</v>
      </c>
      <c r="AO22" s="74">
        <f>'Monthly NII'!AO21*12/'Monthly Avg Balance'!AO12</f>
        <v>7.8919761268918337E-2</v>
      </c>
      <c r="AP22" s="74">
        <f>'Monthly NII'!AP21*12/'Monthly Avg Balance'!AP12</f>
        <v>7.8591742424171357E-2</v>
      </c>
      <c r="AQ22" s="74">
        <f>'Monthly NII'!AQ21*12/'Monthly Avg Balance'!AQ12</f>
        <v>7.8625961494860688E-2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5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5" x14ac:dyDescent="0.2"/>
  <cols>
    <col min="1" max="1" width="43" customWidth="1"/>
    <col min="2" max="15" width="13" customWidth="1"/>
  </cols>
  <sheetData>
    <row r="1" spans="1:15" ht="18" x14ac:dyDescent="0.2">
      <c r="A1" s="23" t="s">
        <v>107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2">
      <c r="A2" s="24" t="s">
        <v>108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2">
      <c r="A4" s="20" t="s">
        <v>109</v>
      </c>
      <c r="B4" s="20" t="s">
        <v>110</v>
      </c>
      <c r="C4" s="20" t="s">
        <v>111</v>
      </c>
      <c r="D4" s="20" t="s">
        <v>112</v>
      </c>
      <c r="E4" s="20" t="s">
        <v>113</v>
      </c>
      <c r="F4" s="20" t="s">
        <v>114</v>
      </c>
      <c r="G4" s="20" t="s">
        <v>115</v>
      </c>
      <c r="H4" s="20" t="s">
        <v>116</v>
      </c>
      <c r="I4" s="20" t="s">
        <v>117</v>
      </c>
      <c r="J4" s="20" t="s">
        <v>118</v>
      </c>
      <c r="K4" s="20" t="s">
        <v>119</v>
      </c>
      <c r="L4" s="20" t="s">
        <v>120</v>
      </c>
      <c r="M4" s="20" t="s">
        <v>121</v>
      </c>
      <c r="N4" s="20" t="s">
        <v>122</v>
      </c>
      <c r="O4" s="20" t="s">
        <v>123</v>
      </c>
    </row>
    <row r="5" spans="1:15" x14ac:dyDescent="0.2">
      <c r="A5" s="21" t="s">
        <v>124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 x14ac:dyDescent="0.2">
      <c r="A6" s="19" t="s">
        <v>80</v>
      </c>
      <c r="B6" s="41" t="str">
        <f>IF(ISNUMBER('Quarter-End Anchors'!C6),ROUND('Monthly EOP Balance'!E6-'Quarter-End Anchors'!C6,2),"")</f>
        <v/>
      </c>
      <c r="C6" s="41" t="str">
        <f>IF(ISNUMBER('Quarter-End Anchors'!D6),ROUND('Monthly EOP Balance'!H6-'Quarter-End Anchors'!D6,2),"")</f>
        <v/>
      </c>
      <c r="D6" s="41" t="str">
        <f>IF(ISNUMBER('Quarter-End Anchors'!E6),ROUND('Monthly EOP Balance'!K6-'Quarter-End Anchors'!E6,2),"")</f>
        <v/>
      </c>
      <c r="E6" s="41">
        <f>IF(ISNUMBER('Quarter-End Anchors'!F6),ROUND('Monthly EOP Balance'!N6-'Quarter-End Anchors'!F6,2),"")</f>
        <v>0</v>
      </c>
      <c r="F6" s="41">
        <f>IF(ISNUMBER('Quarter-End Anchors'!G6),ROUND('Monthly EOP Balance'!Q6-'Quarter-End Anchors'!G6,2),"")</f>
        <v>0</v>
      </c>
      <c r="G6" s="41">
        <f>IF(ISNUMBER('Quarter-End Anchors'!H6),ROUND('Monthly EOP Balance'!T6-'Quarter-End Anchors'!H6,2),"")</f>
        <v>0</v>
      </c>
      <c r="H6" s="41">
        <f>IF(ISNUMBER('Quarter-End Anchors'!I6),ROUND('Monthly EOP Balance'!W6-'Quarter-End Anchors'!I6,2),"")</f>
        <v>0</v>
      </c>
      <c r="I6" s="41">
        <f>IF(ISNUMBER('Quarter-End Anchors'!J6),ROUND('Monthly EOP Balance'!Z6-'Quarter-End Anchors'!J6,2),"")</f>
        <v>0</v>
      </c>
      <c r="J6" s="41">
        <f>IF(ISNUMBER('Quarter-End Anchors'!K6),ROUND('Monthly EOP Balance'!AC6-'Quarter-End Anchors'!K6,2),"")</f>
        <v>0</v>
      </c>
      <c r="K6" s="41">
        <f>IF(ISNUMBER('Quarter-End Anchors'!L6),ROUND('Monthly EOP Balance'!AF6-'Quarter-End Anchors'!L6,2),"")</f>
        <v>0</v>
      </c>
      <c r="L6" s="41">
        <f>IF(ISNUMBER('Quarter-End Anchors'!M6),ROUND('Monthly EOP Balance'!AI6-'Quarter-End Anchors'!M6,2),"")</f>
        <v>0</v>
      </c>
      <c r="M6" s="41">
        <f>IF(ISNUMBER('Quarter-End Anchors'!N6),ROUND('Monthly EOP Balance'!AL6-'Quarter-End Anchors'!N6,2),"")</f>
        <v>0</v>
      </c>
      <c r="N6" s="41">
        <f>IF(ISNUMBER('Quarter-End Anchors'!O6),ROUND('Monthly EOP Balance'!AO6-'Quarter-End Anchors'!O6,2),"")</f>
        <v>0</v>
      </c>
      <c r="O6" s="41">
        <f>IF(ISNUMBER('Quarter-End Anchors'!P6),ROUND('Monthly EOP Balance'!AR6-'Quarter-End Anchors'!P6,2),"")</f>
        <v>0</v>
      </c>
    </row>
    <row r="7" spans="1:15" x14ac:dyDescent="0.2">
      <c r="A7" s="19" t="s">
        <v>81</v>
      </c>
      <c r="B7" s="41" t="str">
        <f>IF(ISNUMBER('Quarter-End Anchors'!C7),ROUND('Monthly EOP Balance'!E7-'Quarter-End Anchors'!C7,2),"")</f>
        <v/>
      </c>
      <c r="C7" s="41" t="str">
        <f>IF(ISNUMBER('Quarter-End Anchors'!D7),ROUND('Monthly EOP Balance'!H7-'Quarter-End Anchors'!D7,2),"")</f>
        <v/>
      </c>
      <c r="D7" s="41" t="str">
        <f>IF(ISNUMBER('Quarter-End Anchors'!E7),ROUND('Monthly EOP Balance'!K7-'Quarter-End Anchors'!E7,2),"")</f>
        <v/>
      </c>
      <c r="E7" s="41">
        <f>IF(ISNUMBER('Quarter-End Anchors'!F7),ROUND('Monthly EOP Balance'!N7-'Quarter-End Anchors'!F7,2),"")</f>
        <v>0</v>
      </c>
      <c r="F7" s="41">
        <f>IF(ISNUMBER('Quarter-End Anchors'!G7),ROUND('Monthly EOP Balance'!Q7-'Quarter-End Anchors'!G7,2),"")</f>
        <v>0</v>
      </c>
      <c r="G7" s="41">
        <f>IF(ISNUMBER('Quarter-End Anchors'!H7),ROUND('Monthly EOP Balance'!T7-'Quarter-End Anchors'!H7,2),"")</f>
        <v>0</v>
      </c>
      <c r="H7" s="41">
        <f>IF(ISNUMBER('Quarter-End Anchors'!I7),ROUND('Monthly EOP Balance'!W7-'Quarter-End Anchors'!I7,2),"")</f>
        <v>0</v>
      </c>
      <c r="I7" s="41">
        <f>IF(ISNUMBER('Quarter-End Anchors'!J7),ROUND('Monthly EOP Balance'!Z7-'Quarter-End Anchors'!J7,2),"")</f>
        <v>0</v>
      </c>
      <c r="J7" s="41">
        <f>IF(ISNUMBER('Quarter-End Anchors'!K7),ROUND('Monthly EOP Balance'!AC7-'Quarter-End Anchors'!K7,2),"")</f>
        <v>0</v>
      </c>
      <c r="K7" s="41">
        <f>IF(ISNUMBER('Quarter-End Anchors'!L7),ROUND('Monthly EOP Balance'!AF7-'Quarter-End Anchors'!L7,2),"")</f>
        <v>0</v>
      </c>
      <c r="L7" s="41">
        <f>IF(ISNUMBER('Quarter-End Anchors'!M7),ROUND('Monthly EOP Balance'!AI7-'Quarter-End Anchors'!M7,2),"")</f>
        <v>0</v>
      </c>
      <c r="M7" s="41">
        <f>IF(ISNUMBER('Quarter-End Anchors'!N7),ROUND('Monthly EOP Balance'!AL7-'Quarter-End Anchors'!N7,2),"")</f>
        <v>0</v>
      </c>
      <c r="N7" s="41">
        <f>IF(ISNUMBER('Quarter-End Anchors'!O7),ROUND('Monthly EOP Balance'!AO7-'Quarter-End Anchors'!O7,2),"")</f>
        <v>0</v>
      </c>
      <c r="O7" s="41">
        <f>IF(ISNUMBER('Quarter-End Anchors'!P7),ROUND('Monthly EOP Balance'!AR7-'Quarter-End Anchors'!P7,2),"")</f>
        <v>0</v>
      </c>
    </row>
    <row r="8" spans="1:15" x14ac:dyDescent="0.2">
      <c r="A8" s="19" t="s">
        <v>82</v>
      </c>
      <c r="B8" s="41" t="str">
        <f>IF(ISNUMBER('Quarter-End Anchors'!C8),ROUND('Monthly EOP Balance'!E8-'Quarter-End Anchors'!C8,2),"")</f>
        <v/>
      </c>
      <c r="C8" s="41" t="str">
        <f>IF(ISNUMBER('Quarter-End Anchors'!D8),ROUND('Monthly EOP Balance'!H8-'Quarter-End Anchors'!D8,2),"")</f>
        <v/>
      </c>
      <c r="D8" s="41" t="str">
        <f>IF(ISNUMBER('Quarter-End Anchors'!E8),ROUND('Monthly EOP Balance'!K8-'Quarter-End Anchors'!E8,2),"")</f>
        <v/>
      </c>
      <c r="E8" s="41">
        <f>IF(ISNUMBER('Quarter-End Anchors'!F8),ROUND('Monthly EOP Balance'!N8-'Quarter-End Anchors'!F8,2),"")</f>
        <v>0</v>
      </c>
      <c r="F8" s="41">
        <f>IF(ISNUMBER('Quarter-End Anchors'!G8),ROUND('Monthly EOP Balance'!Q8-'Quarter-End Anchors'!G8,2),"")</f>
        <v>0</v>
      </c>
      <c r="G8" s="41">
        <f>IF(ISNUMBER('Quarter-End Anchors'!H8),ROUND('Monthly EOP Balance'!T8-'Quarter-End Anchors'!H8,2),"")</f>
        <v>0</v>
      </c>
      <c r="H8" s="41">
        <f>IF(ISNUMBER('Quarter-End Anchors'!I8),ROUND('Monthly EOP Balance'!W8-'Quarter-End Anchors'!I8,2),"")</f>
        <v>0</v>
      </c>
      <c r="I8" s="41">
        <f>IF(ISNUMBER('Quarter-End Anchors'!J8),ROUND('Monthly EOP Balance'!Z8-'Quarter-End Anchors'!J8,2),"")</f>
        <v>0</v>
      </c>
      <c r="J8" s="41">
        <f>IF(ISNUMBER('Quarter-End Anchors'!K8),ROUND('Monthly EOP Balance'!AC8-'Quarter-End Anchors'!K8,2),"")</f>
        <v>0</v>
      </c>
      <c r="K8" s="41">
        <f>IF(ISNUMBER('Quarter-End Anchors'!L8),ROUND('Monthly EOP Balance'!AF8-'Quarter-End Anchors'!L8,2),"")</f>
        <v>0</v>
      </c>
      <c r="L8" s="41">
        <f>IF(ISNUMBER('Quarter-End Anchors'!M8),ROUND('Monthly EOP Balance'!AI8-'Quarter-End Anchors'!M8,2),"")</f>
        <v>0</v>
      </c>
      <c r="M8" s="41">
        <f>IF(ISNUMBER('Quarter-End Anchors'!N8),ROUND('Monthly EOP Balance'!AL8-'Quarter-End Anchors'!N8,2),"")</f>
        <v>0</v>
      </c>
      <c r="N8" s="41">
        <f>IF(ISNUMBER('Quarter-End Anchors'!O8),ROUND('Monthly EOP Balance'!AO8-'Quarter-End Anchors'!O8,2),"")</f>
        <v>0</v>
      </c>
      <c r="O8" s="41">
        <f>IF(ISNUMBER('Quarter-End Anchors'!P8),ROUND('Monthly EOP Balance'!AR8-'Quarter-End Anchors'!P8,2),"")</f>
        <v>0</v>
      </c>
    </row>
    <row r="9" spans="1:15" x14ac:dyDescent="0.2">
      <c r="A9" s="19" t="s">
        <v>83</v>
      </c>
      <c r="B9" s="41" t="str">
        <f>IF(ISNUMBER('Quarter-End Anchors'!C9),ROUND('Monthly EOP Balance'!E9-'Quarter-End Anchors'!C9,2),"")</f>
        <v/>
      </c>
      <c r="C9" s="41" t="str">
        <f>IF(ISNUMBER('Quarter-End Anchors'!D9),ROUND('Monthly EOP Balance'!H9-'Quarter-End Anchors'!D9,2),"")</f>
        <v/>
      </c>
      <c r="D9" s="41" t="str">
        <f>IF(ISNUMBER('Quarter-End Anchors'!E9),ROUND('Monthly EOP Balance'!K9-'Quarter-End Anchors'!E9,2),"")</f>
        <v/>
      </c>
      <c r="E9" s="41">
        <f>IF(ISNUMBER('Quarter-End Anchors'!F9),ROUND('Monthly EOP Balance'!N9-'Quarter-End Anchors'!F9,2),"")</f>
        <v>0</v>
      </c>
      <c r="F9" s="41">
        <f>IF(ISNUMBER('Quarter-End Anchors'!G9),ROUND('Monthly EOP Balance'!Q9-'Quarter-End Anchors'!G9,2),"")</f>
        <v>0</v>
      </c>
      <c r="G9" s="41">
        <f>IF(ISNUMBER('Quarter-End Anchors'!H9),ROUND('Monthly EOP Balance'!T9-'Quarter-End Anchors'!H9,2),"")</f>
        <v>0</v>
      </c>
      <c r="H9" s="41">
        <f>IF(ISNUMBER('Quarter-End Anchors'!I9),ROUND('Monthly EOP Balance'!W9-'Quarter-End Anchors'!I9,2),"")</f>
        <v>0</v>
      </c>
      <c r="I9" s="41">
        <f>IF(ISNUMBER('Quarter-End Anchors'!J9),ROUND('Monthly EOP Balance'!Z9-'Quarter-End Anchors'!J9,2),"")</f>
        <v>0</v>
      </c>
      <c r="J9" s="41">
        <f>IF(ISNUMBER('Quarter-End Anchors'!K9),ROUND('Monthly EOP Balance'!AC9-'Quarter-End Anchors'!K9,2),"")</f>
        <v>0</v>
      </c>
      <c r="K9" s="41">
        <f>IF(ISNUMBER('Quarter-End Anchors'!L9),ROUND('Monthly EOP Balance'!AF9-'Quarter-End Anchors'!L9,2),"")</f>
        <v>0</v>
      </c>
      <c r="L9" s="41">
        <f>IF(ISNUMBER('Quarter-End Anchors'!M9),ROUND('Monthly EOP Balance'!AI9-'Quarter-End Anchors'!M9,2),"")</f>
        <v>0</v>
      </c>
      <c r="M9" s="41">
        <f>IF(ISNUMBER('Quarter-End Anchors'!N9),ROUND('Monthly EOP Balance'!AL9-'Quarter-End Anchors'!N9,2),"")</f>
        <v>0</v>
      </c>
      <c r="N9" s="41">
        <f>IF(ISNUMBER('Quarter-End Anchors'!O9),ROUND('Monthly EOP Balance'!AO9-'Quarter-End Anchors'!O9,2),"")</f>
        <v>0</v>
      </c>
      <c r="O9" s="41">
        <f>IF(ISNUMBER('Quarter-End Anchors'!P9),ROUND('Monthly EOP Balance'!AR9-'Quarter-End Anchors'!P9,2),"")</f>
        <v>0</v>
      </c>
    </row>
    <row r="10" spans="1:15" x14ac:dyDescent="0.2">
      <c r="A10" s="19" t="s">
        <v>84</v>
      </c>
      <c r="B10" s="41" t="str">
        <f>IF(ISNUMBER('Quarter-End Anchors'!C10),ROUND('Monthly EOP Balance'!E10-'Quarter-End Anchors'!C10,2),"")</f>
        <v/>
      </c>
      <c r="C10" s="41" t="str">
        <f>IF(ISNUMBER('Quarter-End Anchors'!D10),ROUND('Monthly EOP Balance'!H10-'Quarter-End Anchors'!D10,2),"")</f>
        <v/>
      </c>
      <c r="D10" s="41" t="str">
        <f>IF(ISNUMBER('Quarter-End Anchors'!E10),ROUND('Monthly EOP Balance'!K10-'Quarter-End Anchors'!E10,2),"")</f>
        <v/>
      </c>
      <c r="E10" s="41">
        <f>IF(ISNUMBER('Quarter-End Anchors'!F10),ROUND('Monthly EOP Balance'!N10-'Quarter-End Anchors'!F10,2),"")</f>
        <v>0</v>
      </c>
      <c r="F10" s="41">
        <f>IF(ISNUMBER('Quarter-End Anchors'!G10),ROUND('Monthly EOP Balance'!Q10-'Quarter-End Anchors'!G10,2),"")</f>
        <v>0</v>
      </c>
      <c r="G10" s="41">
        <f>IF(ISNUMBER('Quarter-End Anchors'!H10),ROUND('Monthly EOP Balance'!T10-'Quarter-End Anchors'!H10,2),"")</f>
        <v>0</v>
      </c>
      <c r="H10" s="41">
        <f>IF(ISNUMBER('Quarter-End Anchors'!I10),ROUND('Monthly EOP Balance'!W10-'Quarter-End Anchors'!I10,2),"")</f>
        <v>0</v>
      </c>
      <c r="I10" s="41">
        <f>IF(ISNUMBER('Quarter-End Anchors'!J10),ROUND('Monthly EOP Balance'!Z10-'Quarter-End Anchors'!J10,2),"")</f>
        <v>0</v>
      </c>
      <c r="J10" s="41">
        <f>IF(ISNUMBER('Quarter-End Anchors'!K10),ROUND('Monthly EOP Balance'!AC10-'Quarter-End Anchors'!K10,2),"")</f>
        <v>0</v>
      </c>
      <c r="K10" s="41">
        <f>IF(ISNUMBER('Quarter-End Anchors'!L10),ROUND('Monthly EOP Balance'!AF10-'Quarter-End Anchors'!L10,2),"")</f>
        <v>0</v>
      </c>
      <c r="L10" s="41">
        <f>IF(ISNUMBER('Quarter-End Anchors'!M10),ROUND('Monthly EOP Balance'!AI10-'Quarter-End Anchors'!M10,2),"")</f>
        <v>0</v>
      </c>
      <c r="M10" s="41">
        <f>IF(ISNUMBER('Quarter-End Anchors'!N10),ROUND('Monthly EOP Balance'!AL10-'Quarter-End Anchors'!N10,2),"")</f>
        <v>0</v>
      </c>
      <c r="N10" s="41">
        <f>IF(ISNUMBER('Quarter-End Anchors'!O10),ROUND('Monthly EOP Balance'!AO10-'Quarter-End Anchors'!O10,2),"")</f>
        <v>0</v>
      </c>
      <c r="O10" s="41">
        <f>IF(ISNUMBER('Quarter-End Anchors'!P10),ROUND('Monthly EOP Balance'!AR10-'Quarter-End Anchors'!P10,2),"")</f>
        <v>0</v>
      </c>
    </row>
    <row r="11" spans="1:15" x14ac:dyDescent="0.2">
      <c r="A11" s="19" t="s">
        <v>85</v>
      </c>
      <c r="B11" s="41">
        <f>IF(ISNUMBER('Quarter-End Anchors'!C11),ROUND('Monthly EOP Balance'!E11-'Quarter-End Anchors'!C11,2),"")</f>
        <v>0</v>
      </c>
      <c r="C11" s="41">
        <f>IF(ISNUMBER('Quarter-End Anchors'!D11),ROUND('Monthly EOP Balance'!H11-'Quarter-End Anchors'!D11,2),"")</f>
        <v>0</v>
      </c>
      <c r="D11" s="41">
        <f>IF(ISNUMBER('Quarter-End Anchors'!E11),ROUND('Monthly EOP Balance'!K11-'Quarter-End Anchors'!E11,2),"")</f>
        <v>0</v>
      </c>
      <c r="E11" s="41">
        <f>IF(ISNUMBER('Quarter-End Anchors'!F11),ROUND('Monthly EOP Balance'!N11-'Quarter-End Anchors'!F11,2),"")</f>
        <v>0</v>
      </c>
      <c r="F11" s="41">
        <f>IF(ISNUMBER('Quarter-End Anchors'!G11),ROUND('Monthly EOP Balance'!Q11-'Quarter-End Anchors'!G11,2),"")</f>
        <v>0</v>
      </c>
      <c r="G11" s="41">
        <f>IF(ISNUMBER('Quarter-End Anchors'!H11),ROUND('Monthly EOP Balance'!T11-'Quarter-End Anchors'!H11,2),"")</f>
        <v>0</v>
      </c>
      <c r="H11" s="41">
        <f>IF(ISNUMBER('Quarter-End Anchors'!I11),ROUND('Monthly EOP Balance'!W11-'Quarter-End Anchors'!I11,2),"")</f>
        <v>0</v>
      </c>
      <c r="I11" s="41">
        <f>IF(ISNUMBER('Quarter-End Anchors'!J11),ROUND('Monthly EOP Balance'!Z11-'Quarter-End Anchors'!J11,2),"")</f>
        <v>0</v>
      </c>
      <c r="J11" s="41">
        <f>IF(ISNUMBER('Quarter-End Anchors'!K11),ROUND('Monthly EOP Balance'!AC11-'Quarter-End Anchors'!K11,2),"")</f>
        <v>0</v>
      </c>
      <c r="K11" s="41">
        <f>IF(ISNUMBER('Quarter-End Anchors'!L11),ROUND('Monthly EOP Balance'!AF11-'Quarter-End Anchors'!L11,2),"")</f>
        <v>0</v>
      </c>
      <c r="L11" s="41">
        <f>IF(ISNUMBER('Quarter-End Anchors'!M11),ROUND('Monthly EOP Balance'!AI11-'Quarter-End Anchors'!M11,2),"")</f>
        <v>0</v>
      </c>
      <c r="M11" s="41">
        <f>IF(ISNUMBER('Quarter-End Anchors'!N11),ROUND('Monthly EOP Balance'!AL11-'Quarter-End Anchors'!N11,2),"")</f>
        <v>0</v>
      </c>
      <c r="N11" s="41">
        <f>IF(ISNUMBER('Quarter-End Anchors'!O11),ROUND('Monthly EOP Balance'!AO11-'Quarter-End Anchors'!O11,2),"")</f>
        <v>0</v>
      </c>
      <c r="O11" s="41">
        <f>IF(ISNUMBER('Quarter-End Anchors'!P11),ROUND('Monthly EOP Balance'!AR11-'Quarter-End Anchors'!P11,2),"")</f>
        <v>0</v>
      </c>
    </row>
    <row r="12" spans="1:15" x14ac:dyDescent="0.2">
      <c r="A12" s="19" t="s">
        <v>86</v>
      </c>
      <c r="B12" s="41" t="str">
        <f>IF(ISNUMBER('Quarter-End Anchors'!C12),ROUND('Monthly EOP Balance'!E12-'Quarter-End Anchors'!C12,2),"")</f>
        <v/>
      </c>
      <c r="C12" s="41" t="str">
        <f>IF(ISNUMBER('Quarter-End Anchors'!D12),ROUND('Monthly EOP Balance'!H12-'Quarter-End Anchors'!D12,2),"")</f>
        <v/>
      </c>
      <c r="D12" s="41" t="str">
        <f>IF(ISNUMBER('Quarter-End Anchors'!E12),ROUND('Monthly EOP Balance'!K12-'Quarter-End Anchors'!E12,2),"")</f>
        <v/>
      </c>
      <c r="E12" s="41">
        <f>IF(ISNUMBER('Quarter-End Anchors'!F12),ROUND('Monthly EOP Balance'!N12-'Quarter-End Anchors'!F12,2),"")</f>
        <v>0</v>
      </c>
      <c r="F12" s="41">
        <f>IF(ISNUMBER('Quarter-End Anchors'!G12),ROUND('Monthly EOP Balance'!Q12-'Quarter-End Anchors'!G12,2),"")</f>
        <v>0</v>
      </c>
      <c r="G12" s="41">
        <f>IF(ISNUMBER('Quarter-End Anchors'!H12),ROUND('Monthly EOP Balance'!T12-'Quarter-End Anchors'!H12,2),"")</f>
        <v>0</v>
      </c>
      <c r="H12" s="41">
        <f>IF(ISNUMBER('Quarter-End Anchors'!I12),ROUND('Monthly EOP Balance'!W12-'Quarter-End Anchors'!I12,2),"")</f>
        <v>0</v>
      </c>
      <c r="I12" s="41">
        <f>IF(ISNUMBER('Quarter-End Anchors'!J12),ROUND('Monthly EOP Balance'!Z12-'Quarter-End Anchors'!J12,2),"")</f>
        <v>0</v>
      </c>
      <c r="J12" s="41">
        <f>IF(ISNUMBER('Quarter-End Anchors'!K12),ROUND('Monthly EOP Balance'!AC12-'Quarter-End Anchors'!K12,2),"")</f>
        <v>0</v>
      </c>
      <c r="K12" s="41">
        <f>IF(ISNUMBER('Quarter-End Anchors'!L12),ROUND('Monthly EOP Balance'!AF12-'Quarter-End Anchors'!L12,2),"")</f>
        <v>0</v>
      </c>
      <c r="L12" s="41">
        <f>IF(ISNUMBER('Quarter-End Anchors'!M12),ROUND('Monthly EOP Balance'!AI12-'Quarter-End Anchors'!M12,2),"")</f>
        <v>0</v>
      </c>
      <c r="M12" s="41">
        <f>IF(ISNUMBER('Quarter-End Anchors'!N12),ROUND('Monthly EOP Balance'!AL12-'Quarter-End Anchors'!N12,2),"")</f>
        <v>0</v>
      </c>
      <c r="N12" s="41">
        <f>IF(ISNUMBER('Quarter-End Anchors'!O12),ROUND('Monthly EOP Balance'!AO12-'Quarter-End Anchors'!O12,2),"")</f>
        <v>0</v>
      </c>
      <c r="O12" s="41">
        <f>IF(ISNUMBER('Quarter-End Anchors'!P12),ROUND('Monthly EOP Balance'!AR12-'Quarter-End Anchors'!P12,2),"")</f>
        <v>0</v>
      </c>
    </row>
    <row r="13" spans="1:15" x14ac:dyDescent="0.2">
      <c r="A13" s="19" t="s">
        <v>87</v>
      </c>
      <c r="B13" s="41" t="str">
        <f>IF(ISNUMBER('Quarter-End Anchors'!C15),ROUND('Monthly EOP Balance'!E15-'Quarter-End Anchors'!C15,2),"")</f>
        <v/>
      </c>
      <c r="C13" s="41" t="str">
        <f>IF(ISNUMBER('Quarter-End Anchors'!D15),ROUND('Monthly EOP Balance'!H15-'Quarter-End Anchors'!D15,2),"")</f>
        <v/>
      </c>
      <c r="D13" s="41" t="str">
        <f>IF(ISNUMBER('Quarter-End Anchors'!E15),ROUND('Monthly EOP Balance'!K15-'Quarter-End Anchors'!E15,2),"")</f>
        <v/>
      </c>
      <c r="E13" s="41">
        <f>IF(ISNUMBER('Quarter-End Anchors'!F15),ROUND('Monthly EOP Balance'!N15-'Quarter-End Anchors'!F15,2),"")</f>
        <v>0</v>
      </c>
      <c r="F13" s="41">
        <f>IF(ISNUMBER('Quarter-End Anchors'!G15),ROUND('Monthly EOP Balance'!Q15-'Quarter-End Anchors'!G15,2),"")</f>
        <v>0</v>
      </c>
      <c r="G13" s="41">
        <f>IF(ISNUMBER('Quarter-End Anchors'!H15),ROUND('Monthly EOP Balance'!T15-'Quarter-End Anchors'!H15,2),"")</f>
        <v>0</v>
      </c>
      <c r="H13" s="41">
        <f>IF(ISNUMBER('Quarter-End Anchors'!I15),ROUND('Monthly EOP Balance'!W15-'Quarter-End Anchors'!I15,2),"")</f>
        <v>0</v>
      </c>
      <c r="I13" s="41">
        <f>IF(ISNUMBER('Quarter-End Anchors'!J15),ROUND('Monthly EOP Balance'!Z15-'Quarter-End Anchors'!J15,2),"")</f>
        <v>0</v>
      </c>
      <c r="J13" s="41">
        <f>IF(ISNUMBER('Quarter-End Anchors'!K15),ROUND('Monthly EOP Balance'!AC15-'Quarter-End Anchors'!K15,2),"")</f>
        <v>0</v>
      </c>
      <c r="K13" s="41">
        <f>IF(ISNUMBER('Quarter-End Anchors'!L15),ROUND('Monthly EOP Balance'!AF15-'Quarter-End Anchors'!L15,2),"")</f>
        <v>0</v>
      </c>
      <c r="L13" s="41">
        <f>IF(ISNUMBER('Quarter-End Anchors'!M15),ROUND('Monthly EOP Balance'!AI15-'Quarter-End Anchors'!M15,2),"")</f>
        <v>0</v>
      </c>
      <c r="M13" s="41">
        <f>IF(ISNUMBER('Quarter-End Anchors'!N15),ROUND('Monthly EOP Balance'!AL15-'Quarter-End Anchors'!N15,2),"")</f>
        <v>0</v>
      </c>
      <c r="N13" s="41">
        <f>IF(ISNUMBER('Quarter-End Anchors'!O15),ROUND('Monthly EOP Balance'!AO15-'Quarter-End Anchors'!O15,2),"")</f>
        <v>0</v>
      </c>
      <c r="O13" s="41">
        <f>IF(ISNUMBER('Quarter-End Anchors'!P15),ROUND('Monthly EOP Balance'!AR15-'Quarter-End Anchors'!P15,2),"")</f>
        <v>0</v>
      </c>
    </row>
    <row r="14" spans="1:15" x14ac:dyDescent="0.2">
      <c r="A14" s="19" t="s">
        <v>88</v>
      </c>
      <c r="B14" s="41" t="str">
        <f>IF(ISNUMBER('Quarter-End Anchors'!C16),ROUND('Monthly EOP Balance'!E16-'Quarter-End Anchors'!C16,2),"")</f>
        <v/>
      </c>
      <c r="C14" s="41" t="str">
        <f>IF(ISNUMBER('Quarter-End Anchors'!D16),ROUND('Monthly EOP Balance'!H16-'Quarter-End Anchors'!D16,2),"")</f>
        <v/>
      </c>
      <c r="D14" s="41" t="str">
        <f>IF(ISNUMBER('Quarter-End Anchors'!E16),ROUND('Monthly EOP Balance'!K16-'Quarter-End Anchors'!E16,2),"")</f>
        <v/>
      </c>
      <c r="E14" s="41">
        <f>IF(ISNUMBER('Quarter-End Anchors'!F16),ROUND('Monthly EOP Balance'!N16-'Quarter-End Anchors'!F16,2),"")</f>
        <v>0</v>
      </c>
      <c r="F14" s="41">
        <f>IF(ISNUMBER('Quarter-End Anchors'!G16),ROUND('Monthly EOP Balance'!Q16-'Quarter-End Anchors'!G16,2),"")</f>
        <v>0</v>
      </c>
      <c r="G14" s="41">
        <f>IF(ISNUMBER('Quarter-End Anchors'!H16),ROUND('Monthly EOP Balance'!T16-'Quarter-End Anchors'!H16,2),"")</f>
        <v>0</v>
      </c>
      <c r="H14" s="41">
        <f>IF(ISNUMBER('Quarter-End Anchors'!I16),ROUND('Monthly EOP Balance'!W16-'Quarter-End Anchors'!I16,2),"")</f>
        <v>0</v>
      </c>
      <c r="I14" s="41">
        <f>IF(ISNUMBER('Quarter-End Anchors'!J16),ROUND('Monthly EOP Balance'!Z16-'Quarter-End Anchors'!J16,2),"")</f>
        <v>0</v>
      </c>
      <c r="J14" s="41">
        <f>IF(ISNUMBER('Quarter-End Anchors'!K16),ROUND('Monthly EOP Balance'!AC16-'Quarter-End Anchors'!K16,2),"")</f>
        <v>0</v>
      </c>
      <c r="K14" s="41">
        <f>IF(ISNUMBER('Quarter-End Anchors'!L16),ROUND('Monthly EOP Balance'!AF16-'Quarter-End Anchors'!L16,2),"")</f>
        <v>0</v>
      </c>
      <c r="L14" s="41">
        <f>IF(ISNUMBER('Quarter-End Anchors'!M16),ROUND('Monthly EOP Balance'!AI16-'Quarter-End Anchors'!M16,2),"")</f>
        <v>0</v>
      </c>
      <c r="M14" s="41">
        <f>IF(ISNUMBER('Quarter-End Anchors'!N16),ROUND('Monthly EOP Balance'!AL16-'Quarter-End Anchors'!N16,2),"")</f>
        <v>0</v>
      </c>
      <c r="N14" s="41">
        <f>IF(ISNUMBER('Quarter-End Anchors'!O16),ROUND('Monthly EOP Balance'!AO16-'Quarter-End Anchors'!O16,2),"")</f>
        <v>0</v>
      </c>
      <c r="O14" s="41">
        <f>IF(ISNUMBER('Quarter-End Anchors'!P16),ROUND('Monthly EOP Balance'!AR16-'Quarter-End Anchors'!P16,2),"")</f>
        <v>0</v>
      </c>
    </row>
    <row r="15" spans="1:15" x14ac:dyDescent="0.2">
      <c r="A15" s="19" t="s">
        <v>89</v>
      </c>
      <c r="B15" s="41" t="str">
        <f>IF(ISNUMBER('Quarter-End Anchors'!C17),ROUND('Monthly EOP Balance'!E17-'Quarter-End Anchors'!C17,2),"")</f>
        <v/>
      </c>
      <c r="C15" s="41" t="str">
        <f>IF(ISNUMBER('Quarter-End Anchors'!D17),ROUND('Monthly EOP Balance'!H17-'Quarter-End Anchors'!D17,2),"")</f>
        <v/>
      </c>
      <c r="D15" s="41" t="str">
        <f>IF(ISNUMBER('Quarter-End Anchors'!E17),ROUND('Monthly EOP Balance'!K17-'Quarter-End Anchors'!E17,2),"")</f>
        <v/>
      </c>
      <c r="E15" s="41">
        <f>IF(ISNUMBER('Quarter-End Anchors'!F17),ROUND('Monthly EOP Balance'!N17-'Quarter-End Anchors'!F17,2),"")</f>
        <v>0</v>
      </c>
      <c r="F15" s="41">
        <f>IF(ISNUMBER('Quarter-End Anchors'!G17),ROUND('Monthly EOP Balance'!Q17-'Quarter-End Anchors'!G17,2),"")</f>
        <v>0</v>
      </c>
      <c r="G15" s="41">
        <f>IF(ISNUMBER('Quarter-End Anchors'!H17),ROUND('Monthly EOP Balance'!T17-'Quarter-End Anchors'!H17,2),"")</f>
        <v>0</v>
      </c>
      <c r="H15" s="41">
        <f>IF(ISNUMBER('Quarter-End Anchors'!I17),ROUND('Monthly EOP Balance'!W17-'Quarter-End Anchors'!I17,2),"")</f>
        <v>0</v>
      </c>
      <c r="I15" s="41">
        <f>IF(ISNUMBER('Quarter-End Anchors'!J17),ROUND('Monthly EOP Balance'!Z17-'Quarter-End Anchors'!J17,2),"")</f>
        <v>0</v>
      </c>
      <c r="J15" s="41">
        <f>IF(ISNUMBER('Quarter-End Anchors'!K17),ROUND('Monthly EOP Balance'!AC17-'Quarter-End Anchors'!K17,2),"")</f>
        <v>0</v>
      </c>
      <c r="K15" s="41">
        <f>IF(ISNUMBER('Quarter-End Anchors'!L17),ROUND('Monthly EOP Balance'!AF17-'Quarter-End Anchors'!L17,2),"")</f>
        <v>0</v>
      </c>
      <c r="L15" s="41">
        <f>IF(ISNUMBER('Quarter-End Anchors'!M17),ROUND('Monthly EOP Balance'!AI17-'Quarter-End Anchors'!M17,2),"")</f>
        <v>0</v>
      </c>
      <c r="M15" s="41">
        <f>IF(ISNUMBER('Quarter-End Anchors'!N17),ROUND('Monthly EOP Balance'!AL17-'Quarter-End Anchors'!N17,2),"")</f>
        <v>0</v>
      </c>
      <c r="N15" s="41">
        <f>IF(ISNUMBER('Quarter-End Anchors'!O17),ROUND('Monthly EOP Balance'!AO17-'Quarter-End Anchors'!O17,2),"")</f>
        <v>0</v>
      </c>
      <c r="O15" s="41">
        <f>IF(ISNUMBER('Quarter-End Anchors'!P17),ROUND('Monthly EOP Balance'!AR17-'Quarter-End Anchors'!P17,2),"")</f>
        <v>0</v>
      </c>
    </row>
    <row r="16" spans="1:15" x14ac:dyDescent="0.2">
      <c r="A16" s="19" t="s">
        <v>90</v>
      </c>
      <c r="B16" s="41" t="str">
        <f>IF(ISNUMBER('Quarter-End Anchors'!C18),ROUND('Monthly EOP Balance'!E18-'Quarter-End Anchors'!C18,2),"")</f>
        <v/>
      </c>
      <c r="C16" s="41" t="str">
        <f>IF(ISNUMBER('Quarter-End Anchors'!D18),ROUND('Monthly EOP Balance'!H18-'Quarter-End Anchors'!D18,2),"")</f>
        <v/>
      </c>
      <c r="D16" s="41" t="str">
        <f>IF(ISNUMBER('Quarter-End Anchors'!E18),ROUND('Monthly EOP Balance'!K18-'Quarter-End Anchors'!E18,2),"")</f>
        <v/>
      </c>
      <c r="E16" s="41">
        <f>IF(ISNUMBER('Quarter-End Anchors'!F18),ROUND('Monthly EOP Balance'!N18-'Quarter-End Anchors'!F18,2),"")</f>
        <v>0</v>
      </c>
      <c r="F16" s="41">
        <f>IF(ISNUMBER('Quarter-End Anchors'!G18),ROUND('Monthly EOP Balance'!Q18-'Quarter-End Anchors'!G18,2),"")</f>
        <v>0</v>
      </c>
      <c r="G16" s="41">
        <f>IF(ISNUMBER('Quarter-End Anchors'!H18),ROUND('Monthly EOP Balance'!T18-'Quarter-End Anchors'!H18,2),"")</f>
        <v>0</v>
      </c>
      <c r="H16" s="41">
        <f>IF(ISNUMBER('Quarter-End Anchors'!I18),ROUND('Monthly EOP Balance'!W18-'Quarter-End Anchors'!I18,2),"")</f>
        <v>0</v>
      </c>
      <c r="I16" s="41">
        <f>IF(ISNUMBER('Quarter-End Anchors'!J18),ROUND('Monthly EOP Balance'!Z18-'Quarter-End Anchors'!J18,2),"")</f>
        <v>0</v>
      </c>
      <c r="J16" s="41">
        <f>IF(ISNUMBER('Quarter-End Anchors'!K18),ROUND('Monthly EOP Balance'!AC18-'Quarter-End Anchors'!K18,2),"")</f>
        <v>0</v>
      </c>
      <c r="K16" s="41">
        <f>IF(ISNUMBER('Quarter-End Anchors'!L18),ROUND('Monthly EOP Balance'!AF18-'Quarter-End Anchors'!L18,2),"")</f>
        <v>0</v>
      </c>
      <c r="L16" s="41">
        <f>IF(ISNUMBER('Quarter-End Anchors'!M18),ROUND('Monthly EOP Balance'!AI18-'Quarter-End Anchors'!M18,2),"")</f>
        <v>0</v>
      </c>
      <c r="M16" s="41">
        <f>IF(ISNUMBER('Quarter-End Anchors'!N18),ROUND('Monthly EOP Balance'!AL18-'Quarter-End Anchors'!N18,2),"")</f>
        <v>0</v>
      </c>
      <c r="N16" s="41">
        <f>IF(ISNUMBER('Quarter-End Anchors'!O18),ROUND('Monthly EOP Balance'!AO18-'Quarter-End Anchors'!O18,2),"")</f>
        <v>0</v>
      </c>
      <c r="O16" s="41">
        <f>IF(ISNUMBER('Quarter-End Anchors'!P18),ROUND('Monthly EOP Balance'!AR18-'Quarter-End Anchors'!P18,2),"")</f>
        <v>0</v>
      </c>
    </row>
    <row r="17" spans="1:15" x14ac:dyDescent="0.2">
      <c r="A17" s="19" t="s">
        <v>91</v>
      </c>
      <c r="B17" s="41" t="str">
        <f>IF(ISNUMBER('Quarter-End Anchors'!C19),ROUND('Monthly EOP Balance'!E19-'Quarter-End Anchors'!C19,2),"")</f>
        <v/>
      </c>
      <c r="C17" s="41" t="str">
        <f>IF(ISNUMBER('Quarter-End Anchors'!D19),ROUND('Monthly EOP Balance'!H19-'Quarter-End Anchors'!D19,2),"")</f>
        <v/>
      </c>
      <c r="D17" s="41" t="str">
        <f>IF(ISNUMBER('Quarter-End Anchors'!E19),ROUND('Monthly EOP Balance'!K19-'Quarter-End Anchors'!E19,2),"")</f>
        <v/>
      </c>
      <c r="E17" s="41">
        <f>IF(ISNUMBER('Quarter-End Anchors'!F19),ROUND('Monthly EOP Balance'!N19-'Quarter-End Anchors'!F19,2),"")</f>
        <v>0</v>
      </c>
      <c r="F17" s="41">
        <f>IF(ISNUMBER('Quarter-End Anchors'!G19),ROUND('Monthly EOP Balance'!Q19-'Quarter-End Anchors'!G19,2),"")</f>
        <v>0</v>
      </c>
      <c r="G17" s="41">
        <f>IF(ISNUMBER('Quarter-End Anchors'!H19),ROUND('Monthly EOP Balance'!T19-'Quarter-End Anchors'!H19,2),"")</f>
        <v>0</v>
      </c>
      <c r="H17" s="41">
        <f>IF(ISNUMBER('Quarter-End Anchors'!I19),ROUND('Monthly EOP Balance'!W19-'Quarter-End Anchors'!I19,2),"")</f>
        <v>0</v>
      </c>
      <c r="I17" s="41">
        <f>IF(ISNUMBER('Quarter-End Anchors'!J19),ROUND('Monthly EOP Balance'!Z19-'Quarter-End Anchors'!J19,2),"")</f>
        <v>0</v>
      </c>
      <c r="J17" s="41">
        <f>IF(ISNUMBER('Quarter-End Anchors'!K19),ROUND('Monthly EOP Balance'!AC19-'Quarter-End Anchors'!K19,2),"")</f>
        <v>0</v>
      </c>
      <c r="K17" s="41">
        <f>IF(ISNUMBER('Quarter-End Anchors'!L19),ROUND('Monthly EOP Balance'!AF19-'Quarter-End Anchors'!L19,2),"")</f>
        <v>0</v>
      </c>
      <c r="L17" s="41">
        <f>IF(ISNUMBER('Quarter-End Anchors'!M19),ROUND('Monthly EOP Balance'!AI19-'Quarter-End Anchors'!M19,2),"")</f>
        <v>0</v>
      </c>
      <c r="M17" s="41">
        <f>IF(ISNUMBER('Quarter-End Anchors'!N19),ROUND('Monthly EOP Balance'!AL19-'Quarter-End Anchors'!N19,2),"")</f>
        <v>0</v>
      </c>
      <c r="N17" s="41">
        <f>IF(ISNUMBER('Quarter-End Anchors'!O19),ROUND('Monthly EOP Balance'!AO19-'Quarter-End Anchors'!O19,2),"")</f>
        <v>0</v>
      </c>
      <c r="O17" s="41">
        <f>IF(ISNUMBER('Quarter-End Anchors'!P19),ROUND('Monthly EOP Balance'!AR19-'Quarter-End Anchors'!P19,2),"")</f>
        <v>0</v>
      </c>
    </row>
    <row r="18" spans="1:15" x14ac:dyDescent="0.2">
      <c r="A18" s="19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1:15" x14ac:dyDescent="0.2">
      <c r="A19" s="21" t="s">
        <v>125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 spans="1:15" x14ac:dyDescent="0.2">
      <c r="A20" s="19" t="s">
        <v>80</v>
      </c>
      <c r="B20" s="41">
        <f>ROUND(SUM('Monthly EOP Balance'!B6:'Monthly EOP Balance'!E6)/4-Balance!B6,2)</f>
        <v>0</v>
      </c>
      <c r="C20" s="41">
        <f>ROUND(SUM('Monthly EOP Balance'!E6:'Monthly EOP Balance'!H6)/4-Balance!C6,2)</f>
        <v>0</v>
      </c>
      <c r="D20" s="41">
        <f>ROUND(SUM('Monthly EOP Balance'!H6:'Monthly EOP Balance'!K6)/4-Balance!D6,2)</f>
        <v>0</v>
      </c>
      <c r="E20" s="41">
        <f>ROUND(SUM('Monthly EOP Balance'!K6:'Monthly EOP Balance'!N6)/4-Balance!E6,2)</f>
        <v>0</v>
      </c>
      <c r="F20" s="41">
        <f>ROUND(SUM('Monthly EOP Balance'!N6:'Monthly EOP Balance'!Q6)/4-Balance!F6,2)</f>
        <v>0</v>
      </c>
      <c r="G20" s="41">
        <f>ROUND(SUM('Monthly EOP Balance'!Q6:'Monthly EOP Balance'!T6)/4-Balance!G6,2)</f>
        <v>0</v>
      </c>
      <c r="H20" s="41">
        <f>ROUND(SUM('Monthly EOP Balance'!T6:'Monthly EOP Balance'!W6)/4-Balance!H6,2)</f>
        <v>0</v>
      </c>
      <c r="I20" s="41">
        <f>ROUND(SUM('Monthly EOP Balance'!W6:'Monthly EOP Balance'!Z6)/4-Balance!I6,2)</f>
        <v>0</v>
      </c>
      <c r="J20" s="41">
        <f>ROUND(SUM('Monthly EOP Balance'!Z6:'Monthly EOP Balance'!AC6)/4-Balance!J6,2)</f>
        <v>0</v>
      </c>
      <c r="K20" s="41">
        <f>ROUND(SUM('Monthly EOP Balance'!AC6:'Monthly EOP Balance'!AF6)/4-Balance!K6,2)</f>
        <v>0</v>
      </c>
      <c r="L20" s="41">
        <f>ROUND(SUM('Monthly EOP Balance'!AF6:'Monthly EOP Balance'!AI6)/4-Balance!L6,2)</f>
        <v>0</v>
      </c>
      <c r="M20" s="41">
        <f>ROUND(SUM('Monthly EOP Balance'!AI6:'Monthly EOP Balance'!AL6)/4-Balance!M6,2)</f>
        <v>0</v>
      </c>
      <c r="N20" s="41">
        <f>ROUND(SUM('Monthly EOP Balance'!AL6:'Monthly EOP Balance'!AO6)/4-Balance!N6,2)</f>
        <v>0</v>
      </c>
      <c r="O20" s="41">
        <f>ROUND(SUM('Monthly EOP Balance'!AO6:'Monthly EOP Balance'!AR6)/4-Balance!O6,2)</f>
        <v>0</v>
      </c>
    </row>
    <row r="21" spans="1:15" x14ac:dyDescent="0.2">
      <c r="A21" s="19" t="s">
        <v>81</v>
      </c>
      <c r="B21" s="41">
        <f>ROUND(SUM('Monthly EOP Balance'!B7:'Monthly EOP Balance'!E7)/4-Balance!B7,2)</f>
        <v>0</v>
      </c>
      <c r="C21" s="41">
        <f>ROUND(SUM('Monthly EOP Balance'!E7:'Monthly EOP Balance'!H7)/4-Balance!C7,2)</f>
        <v>0</v>
      </c>
      <c r="D21" s="41">
        <f>ROUND(SUM('Monthly EOP Balance'!H7:'Monthly EOP Balance'!K7)/4-Balance!D7,2)</f>
        <v>0</v>
      </c>
      <c r="E21" s="41">
        <f>ROUND(SUM('Monthly EOP Balance'!K7:'Monthly EOP Balance'!N7)/4-Balance!E7,2)</f>
        <v>0</v>
      </c>
      <c r="F21" s="41">
        <f>ROUND(SUM('Monthly EOP Balance'!N7:'Monthly EOP Balance'!Q7)/4-Balance!F7,2)</f>
        <v>0</v>
      </c>
      <c r="G21" s="41">
        <f>ROUND(SUM('Monthly EOP Balance'!Q7:'Monthly EOP Balance'!T7)/4-Balance!G7,2)</f>
        <v>0</v>
      </c>
      <c r="H21" s="41">
        <f>ROUND(SUM('Monthly EOP Balance'!T7:'Monthly EOP Balance'!W7)/4-Balance!H7,2)</f>
        <v>0</v>
      </c>
      <c r="I21" s="41">
        <f>ROUND(SUM('Monthly EOP Balance'!W7:'Monthly EOP Balance'!Z7)/4-Balance!I7,2)</f>
        <v>0</v>
      </c>
      <c r="J21" s="41">
        <f>ROUND(SUM('Monthly EOP Balance'!Z7:'Monthly EOP Balance'!AC7)/4-Balance!J7,2)</f>
        <v>0</v>
      </c>
      <c r="K21" s="41">
        <f>ROUND(SUM('Monthly EOP Balance'!AC7:'Monthly EOP Balance'!AF7)/4-Balance!K7,2)</f>
        <v>0</v>
      </c>
      <c r="L21" s="41">
        <f>ROUND(SUM('Monthly EOP Balance'!AF7:'Monthly EOP Balance'!AI7)/4-Balance!L7,2)</f>
        <v>0</v>
      </c>
      <c r="M21" s="41">
        <f>ROUND(SUM('Monthly EOP Balance'!AI7:'Monthly EOP Balance'!AL7)/4-Balance!M7,2)</f>
        <v>0</v>
      </c>
      <c r="N21" s="41">
        <f>ROUND(SUM('Monthly EOP Balance'!AL7:'Monthly EOP Balance'!AO7)/4-Balance!N7,2)</f>
        <v>0</v>
      </c>
      <c r="O21" s="41">
        <f>ROUND(SUM('Monthly EOP Balance'!AO7:'Monthly EOP Balance'!AR7)/4-Balance!O7,2)</f>
        <v>0</v>
      </c>
    </row>
    <row r="22" spans="1:15" x14ac:dyDescent="0.2">
      <c r="A22" s="19" t="s">
        <v>82</v>
      </c>
      <c r="B22" s="41">
        <f>ROUND(SUM('Monthly EOP Balance'!B8:'Monthly EOP Balance'!E8)/4-Balance!B8,2)</f>
        <v>0</v>
      </c>
      <c r="C22" s="41">
        <f>ROUND(SUM('Monthly EOP Balance'!E8:'Monthly EOP Balance'!H8)/4-Balance!C8,2)</f>
        <v>0</v>
      </c>
      <c r="D22" s="41">
        <f>ROUND(SUM('Monthly EOP Balance'!H8:'Monthly EOP Balance'!K8)/4-Balance!D8,2)</f>
        <v>0</v>
      </c>
      <c r="E22" s="41">
        <f>ROUND(SUM('Monthly EOP Balance'!K8:'Monthly EOP Balance'!N8)/4-Balance!E8,2)</f>
        <v>0</v>
      </c>
      <c r="F22" s="41">
        <f>ROUND(SUM('Monthly EOP Balance'!N8:'Monthly EOP Balance'!Q8)/4-Balance!F8,2)</f>
        <v>0</v>
      </c>
      <c r="G22" s="41">
        <f>ROUND(SUM('Monthly EOP Balance'!Q8:'Monthly EOP Balance'!T8)/4-Balance!G8,2)</f>
        <v>0</v>
      </c>
      <c r="H22" s="41">
        <f>ROUND(SUM('Monthly EOP Balance'!T8:'Monthly EOP Balance'!W8)/4-Balance!H8,2)</f>
        <v>0</v>
      </c>
      <c r="I22" s="41">
        <f>ROUND(SUM('Monthly EOP Balance'!W8:'Monthly EOP Balance'!Z8)/4-Balance!I8,2)</f>
        <v>0</v>
      </c>
      <c r="J22" s="41">
        <f>ROUND(SUM('Monthly EOP Balance'!Z8:'Monthly EOP Balance'!AC8)/4-Balance!J8,2)</f>
        <v>0</v>
      </c>
      <c r="K22" s="41">
        <f>ROUND(SUM('Monthly EOP Balance'!AC8:'Monthly EOP Balance'!AF8)/4-Balance!K8,2)</f>
        <v>0</v>
      </c>
      <c r="L22" s="41">
        <f>ROUND(SUM('Monthly EOP Balance'!AF8:'Monthly EOP Balance'!AI8)/4-Balance!L8,2)</f>
        <v>0</v>
      </c>
      <c r="M22" s="41">
        <f>ROUND(SUM('Monthly EOP Balance'!AI8:'Monthly EOP Balance'!AL8)/4-Balance!M8,2)</f>
        <v>0</v>
      </c>
      <c r="N22" s="41">
        <f>ROUND(SUM('Monthly EOP Balance'!AL8:'Monthly EOP Balance'!AO8)/4-Balance!N8,2)</f>
        <v>0</v>
      </c>
      <c r="O22" s="41">
        <f>ROUND(SUM('Monthly EOP Balance'!AO8:'Monthly EOP Balance'!AR8)/4-Balance!O8,2)</f>
        <v>0</v>
      </c>
    </row>
    <row r="23" spans="1:15" x14ac:dyDescent="0.2">
      <c r="A23" s="19" t="s">
        <v>83</v>
      </c>
      <c r="B23" s="41">
        <f>ROUND(SUM('Monthly EOP Balance'!B9:'Monthly EOP Balance'!E9)/4-Balance!B9,2)</f>
        <v>0</v>
      </c>
      <c r="C23" s="41">
        <f>ROUND(SUM('Monthly EOP Balance'!E9:'Monthly EOP Balance'!H9)/4-Balance!C9,2)</f>
        <v>0</v>
      </c>
      <c r="D23" s="41">
        <f>ROUND(SUM('Monthly EOP Balance'!H9:'Monthly EOP Balance'!K9)/4-Balance!D9,2)</f>
        <v>0</v>
      </c>
      <c r="E23" s="41">
        <f>ROUND(SUM('Monthly EOP Balance'!K9:'Monthly EOP Balance'!N9)/4-Balance!E9,2)</f>
        <v>0</v>
      </c>
      <c r="F23" s="41">
        <f>ROUND(SUM('Monthly EOP Balance'!N9:'Monthly EOP Balance'!Q9)/4-Balance!F9,2)</f>
        <v>0</v>
      </c>
      <c r="G23" s="41">
        <f>ROUND(SUM('Monthly EOP Balance'!Q9:'Monthly EOP Balance'!T9)/4-Balance!G9,2)</f>
        <v>0</v>
      </c>
      <c r="H23" s="41">
        <f>ROUND(SUM('Monthly EOP Balance'!T9:'Monthly EOP Balance'!W9)/4-Balance!H9,2)</f>
        <v>0</v>
      </c>
      <c r="I23" s="41">
        <f>ROUND(SUM('Monthly EOP Balance'!W9:'Monthly EOP Balance'!Z9)/4-Balance!I9,2)</f>
        <v>0</v>
      </c>
      <c r="J23" s="41">
        <f>ROUND(SUM('Monthly EOP Balance'!Z9:'Monthly EOP Balance'!AC9)/4-Balance!J9,2)</f>
        <v>0</v>
      </c>
      <c r="K23" s="41">
        <f>ROUND(SUM('Monthly EOP Balance'!AC9:'Monthly EOP Balance'!AF9)/4-Balance!K9,2)</f>
        <v>0</v>
      </c>
      <c r="L23" s="41">
        <f>ROUND(SUM('Monthly EOP Balance'!AF9:'Monthly EOP Balance'!AI9)/4-Balance!L9,2)</f>
        <v>0</v>
      </c>
      <c r="M23" s="41">
        <f>ROUND(SUM('Monthly EOP Balance'!AI9:'Monthly EOP Balance'!AL9)/4-Balance!M9,2)</f>
        <v>0</v>
      </c>
      <c r="N23" s="41">
        <f>ROUND(SUM('Monthly EOP Balance'!AL9:'Monthly EOP Balance'!AO9)/4-Balance!N9,2)</f>
        <v>0</v>
      </c>
      <c r="O23" s="41">
        <f>ROUND(SUM('Monthly EOP Balance'!AO9:'Monthly EOP Balance'!AR9)/4-Balance!O9,2)</f>
        <v>0</v>
      </c>
    </row>
    <row r="24" spans="1:15" x14ac:dyDescent="0.2">
      <c r="A24" s="19" t="s">
        <v>84</v>
      </c>
      <c r="B24" s="41">
        <f>ROUND(SUM('Monthly EOP Balance'!B10:'Monthly EOP Balance'!E10)/4-Balance!B10,2)</f>
        <v>0</v>
      </c>
      <c r="C24" s="41">
        <f>ROUND(SUM('Monthly EOP Balance'!E10:'Monthly EOP Balance'!H10)/4-Balance!C10,2)</f>
        <v>0</v>
      </c>
      <c r="D24" s="41">
        <f>ROUND(SUM('Monthly EOP Balance'!H10:'Monthly EOP Balance'!K10)/4-Balance!D10,2)</f>
        <v>0</v>
      </c>
      <c r="E24" s="41">
        <f>ROUND(SUM('Monthly EOP Balance'!K10:'Monthly EOP Balance'!N10)/4-Balance!E10,2)</f>
        <v>0</v>
      </c>
      <c r="F24" s="41">
        <f>ROUND(SUM('Monthly EOP Balance'!N10:'Monthly EOP Balance'!Q10)/4-Balance!F10,2)</f>
        <v>0</v>
      </c>
      <c r="G24" s="41">
        <f>ROUND(SUM('Monthly EOP Balance'!Q10:'Monthly EOP Balance'!T10)/4-Balance!G10,2)</f>
        <v>0</v>
      </c>
      <c r="H24" s="41">
        <f>ROUND(SUM('Monthly EOP Balance'!T10:'Monthly EOP Balance'!W10)/4-Balance!H10,2)</f>
        <v>0</v>
      </c>
      <c r="I24" s="41">
        <f>ROUND(SUM('Monthly EOP Balance'!W10:'Monthly EOP Balance'!Z10)/4-Balance!I10,2)</f>
        <v>0</v>
      </c>
      <c r="J24" s="41">
        <f>ROUND(SUM('Monthly EOP Balance'!Z10:'Monthly EOP Balance'!AC10)/4-Balance!J10,2)</f>
        <v>0</v>
      </c>
      <c r="K24" s="41">
        <f>ROUND(SUM('Monthly EOP Balance'!AC10:'Monthly EOP Balance'!AF10)/4-Balance!K10,2)</f>
        <v>0</v>
      </c>
      <c r="L24" s="41">
        <f>ROUND(SUM('Monthly EOP Balance'!AF10:'Monthly EOP Balance'!AI10)/4-Balance!L10,2)</f>
        <v>0</v>
      </c>
      <c r="M24" s="41">
        <f>ROUND(SUM('Monthly EOP Balance'!AI10:'Monthly EOP Balance'!AL10)/4-Balance!M10,2)</f>
        <v>0</v>
      </c>
      <c r="N24" s="41">
        <f>ROUND(SUM('Monthly EOP Balance'!AL10:'Monthly EOP Balance'!AO10)/4-Balance!N10,2)</f>
        <v>0</v>
      </c>
      <c r="O24" s="41">
        <f>ROUND(SUM('Monthly EOP Balance'!AO10:'Monthly EOP Balance'!AR10)/4-Balance!O10,2)</f>
        <v>0</v>
      </c>
    </row>
    <row r="25" spans="1:15" x14ac:dyDescent="0.2">
      <c r="A25" s="19" t="s">
        <v>85</v>
      </c>
      <c r="B25" s="41">
        <f>ROUND(SUM('Monthly EOP Balance'!B11:'Monthly EOP Balance'!E11)/4-Balance!B11,2)</f>
        <v>0</v>
      </c>
      <c r="C25" s="41">
        <f>ROUND(SUM('Monthly EOP Balance'!E11:'Monthly EOP Balance'!H11)/4-Balance!C11,2)</f>
        <v>0</v>
      </c>
      <c r="D25" s="41">
        <f>ROUND(SUM('Monthly EOP Balance'!H11:'Monthly EOP Balance'!K11)/4-Balance!D11,2)</f>
        <v>0</v>
      </c>
      <c r="E25" s="41">
        <f>ROUND(SUM('Monthly EOP Balance'!K11:'Monthly EOP Balance'!N11)/4-Balance!E11,2)</f>
        <v>0</v>
      </c>
      <c r="F25" s="41">
        <f>ROUND(SUM('Monthly EOP Balance'!N11:'Monthly EOP Balance'!Q11)/4-Balance!F11,2)</f>
        <v>0</v>
      </c>
      <c r="G25" s="41">
        <f>ROUND(SUM('Monthly EOP Balance'!Q11:'Monthly EOP Balance'!T11)/4-Balance!G11,2)</f>
        <v>0</v>
      </c>
      <c r="H25" s="41">
        <f>ROUND(SUM('Monthly EOP Balance'!T11:'Monthly EOP Balance'!W11)/4-Balance!H11,2)</f>
        <v>0</v>
      </c>
      <c r="I25" s="41">
        <f>ROUND(SUM('Monthly EOP Balance'!W11:'Monthly EOP Balance'!Z11)/4-Balance!I11,2)</f>
        <v>0</v>
      </c>
      <c r="J25" s="41">
        <f>ROUND(SUM('Monthly EOP Balance'!Z11:'Monthly EOP Balance'!AC11)/4-Balance!J11,2)</f>
        <v>0</v>
      </c>
      <c r="K25" s="41">
        <f>ROUND(SUM('Monthly EOP Balance'!AC11:'Monthly EOP Balance'!AF11)/4-Balance!K11,2)</f>
        <v>0</v>
      </c>
      <c r="L25" s="41">
        <f>ROUND(SUM('Monthly EOP Balance'!AF11:'Monthly EOP Balance'!AI11)/4-Balance!L11,2)</f>
        <v>0</v>
      </c>
      <c r="M25" s="41">
        <f>ROUND(SUM('Monthly EOP Balance'!AI11:'Monthly EOP Balance'!AL11)/4-Balance!M11,2)</f>
        <v>0</v>
      </c>
      <c r="N25" s="41">
        <f>ROUND(SUM('Monthly EOP Balance'!AL11:'Monthly EOP Balance'!AO11)/4-Balance!N11,2)</f>
        <v>0</v>
      </c>
      <c r="O25" s="41">
        <f>ROUND(SUM('Monthly EOP Balance'!AO11:'Monthly EOP Balance'!AR11)/4-Balance!O11,2)</f>
        <v>0</v>
      </c>
    </row>
    <row r="26" spans="1:15" x14ac:dyDescent="0.2">
      <c r="A26" s="19" t="s">
        <v>86</v>
      </c>
      <c r="B26" s="41">
        <f>ROUND(SUM('Monthly EOP Balance'!B12:'Monthly EOP Balance'!E12)/4-Balance!B12,2)</f>
        <v>0</v>
      </c>
      <c r="C26" s="41">
        <f>ROUND(SUM('Monthly EOP Balance'!E12:'Monthly EOP Balance'!H12)/4-Balance!C12,2)</f>
        <v>0</v>
      </c>
      <c r="D26" s="41">
        <f>ROUND(SUM('Monthly EOP Balance'!H12:'Monthly EOP Balance'!K12)/4-Balance!D12,2)</f>
        <v>0</v>
      </c>
      <c r="E26" s="41">
        <f>ROUND(SUM('Monthly EOP Balance'!K12:'Monthly EOP Balance'!N12)/4-Balance!E12,2)</f>
        <v>0</v>
      </c>
      <c r="F26" s="41">
        <f>ROUND(SUM('Monthly EOP Balance'!N12:'Monthly EOP Balance'!Q12)/4-Balance!F12,2)</f>
        <v>0</v>
      </c>
      <c r="G26" s="41">
        <f>ROUND(SUM('Monthly EOP Balance'!Q12:'Monthly EOP Balance'!T12)/4-Balance!G12,2)</f>
        <v>0</v>
      </c>
      <c r="H26" s="41">
        <f>ROUND(SUM('Monthly EOP Balance'!T12:'Monthly EOP Balance'!W12)/4-Balance!H12,2)</f>
        <v>0</v>
      </c>
      <c r="I26" s="41">
        <f>ROUND(SUM('Monthly EOP Balance'!W12:'Monthly EOP Balance'!Z12)/4-Balance!I12,2)</f>
        <v>0</v>
      </c>
      <c r="J26" s="41">
        <f>ROUND(SUM('Monthly EOP Balance'!Z12:'Monthly EOP Balance'!AC12)/4-Balance!J12,2)</f>
        <v>0</v>
      </c>
      <c r="K26" s="41">
        <f>ROUND(SUM('Monthly EOP Balance'!AC12:'Monthly EOP Balance'!AF12)/4-Balance!K12,2)</f>
        <v>0</v>
      </c>
      <c r="L26" s="41">
        <f>ROUND(SUM('Monthly EOP Balance'!AF12:'Monthly EOP Balance'!AI12)/4-Balance!L12,2)</f>
        <v>0</v>
      </c>
      <c r="M26" s="41">
        <f>ROUND(SUM('Monthly EOP Balance'!AI12:'Monthly EOP Balance'!AL12)/4-Balance!M12,2)</f>
        <v>0</v>
      </c>
      <c r="N26" s="41">
        <f>ROUND(SUM('Monthly EOP Balance'!AL12:'Monthly EOP Balance'!AO12)/4-Balance!N12,2)</f>
        <v>0</v>
      </c>
      <c r="O26" s="41">
        <f>ROUND(SUM('Monthly EOP Balance'!AO12:'Monthly EOP Balance'!AR12)/4-Balance!O12,2)</f>
        <v>0</v>
      </c>
    </row>
    <row r="27" spans="1:15" x14ac:dyDescent="0.2">
      <c r="A27" s="19" t="s">
        <v>87</v>
      </c>
      <c r="B27" s="41">
        <f>ROUND(SUM('Monthly EOP Balance'!B15:'Monthly EOP Balance'!E15)/4-Balance!B15,2)</f>
        <v>0</v>
      </c>
      <c r="C27" s="41">
        <f>ROUND(SUM('Monthly EOP Balance'!E15:'Monthly EOP Balance'!H15)/4-Balance!C15,2)</f>
        <v>0</v>
      </c>
      <c r="D27" s="41">
        <f>ROUND(SUM('Monthly EOP Balance'!H15:'Monthly EOP Balance'!K15)/4-Balance!D15,2)</f>
        <v>0</v>
      </c>
      <c r="E27" s="41">
        <f>ROUND(SUM('Monthly EOP Balance'!K15:'Monthly EOP Balance'!N15)/4-Balance!E15,2)</f>
        <v>0</v>
      </c>
      <c r="F27" s="41">
        <f>ROUND(SUM('Monthly EOP Balance'!N15:'Monthly EOP Balance'!Q15)/4-Balance!F15,2)</f>
        <v>0</v>
      </c>
      <c r="G27" s="41">
        <f>ROUND(SUM('Monthly EOP Balance'!Q15:'Monthly EOP Balance'!T15)/4-Balance!G15,2)</f>
        <v>0</v>
      </c>
      <c r="H27" s="41">
        <f>ROUND(SUM('Monthly EOP Balance'!T15:'Monthly EOP Balance'!W15)/4-Balance!H15,2)</f>
        <v>0</v>
      </c>
      <c r="I27" s="41">
        <f>ROUND(SUM('Monthly EOP Balance'!W15:'Monthly EOP Balance'!Z15)/4-Balance!I15,2)</f>
        <v>0</v>
      </c>
      <c r="J27" s="41">
        <f>ROUND(SUM('Monthly EOP Balance'!Z15:'Monthly EOP Balance'!AC15)/4-Balance!J15,2)</f>
        <v>0</v>
      </c>
      <c r="K27" s="41">
        <f>ROUND(SUM('Monthly EOP Balance'!AC15:'Monthly EOP Balance'!AF15)/4-Balance!K15,2)</f>
        <v>0</v>
      </c>
      <c r="L27" s="41">
        <f>ROUND(SUM('Monthly EOP Balance'!AF15:'Monthly EOP Balance'!AI15)/4-Balance!L15,2)</f>
        <v>0</v>
      </c>
      <c r="M27" s="41">
        <f>ROUND(SUM('Monthly EOP Balance'!AI15:'Monthly EOP Balance'!AL15)/4-Balance!M15,2)</f>
        <v>0</v>
      </c>
      <c r="N27" s="41">
        <f>ROUND(SUM('Monthly EOP Balance'!AL15:'Monthly EOP Balance'!AO15)/4-Balance!N15,2)</f>
        <v>0</v>
      </c>
      <c r="O27" s="41">
        <f>ROUND(SUM('Monthly EOP Balance'!AO15:'Monthly EOP Balance'!AR15)/4-Balance!O15,2)</f>
        <v>0</v>
      </c>
    </row>
    <row r="28" spans="1:15" x14ac:dyDescent="0.2">
      <c r="A28" s="19" t="s">
        <v>88</v>
      </c>
      <c r="B28" s="41">
        <f>ROUND(SUM('Monthly EOP Balance'!B16:'Monthly EOP Balance'!E16)/4-Balance!B16,2)</f>
        <v>0</v>
      </c>
      <c r="C28" s="41">
        <f>ROUND(SUM('Monthly EOP Balance'!E16:'Monthly EOP Balance'!H16)/4-Balance!C16,2)</f>
        <v>0</v>
      </c>
      <c r="D28" s="41">
        <f>ROUND(SUM('Monthly EOP Balance'!H16:'Monthly EOP Balance'!K16)/4-Balance!D16,2)</f>
        <v>0</v>
      </c>
      <c r="E28" s="41">
        <f>ROUND(SUM('Monthly EOP Balance'!K16:'Monthly EOP Balance'!N16)/4-Balance!E16,2)</f>
        <v>0</v>
      </c>
      <c r="F28" s="41">
        <f>ROUND(SUM('Monthly EOP Balance'!N16:'Monthly EOP Balance'!Q16)/4-Balance!F16,2)</f>
        <v>0</v>
      </c>
      <c r="G28" s="41">
        <f>ROUND(SUM('Monthly EOP Balance'!Q16:'Monthly EOP Balance'!T16)/4-Balance!G16,2)</f>
        <v>0</v>
      </c>
      <c r="H28" s="41">
        <f>ROUND(SUM('Monthly EOP Balance'!T16:'Monthly EOP Balance'!W16)/4-Balance!H16,2)</f>
        <v>0</v>
      </c>
      <c r="I28" s="41">
        <f>ROUND(SUM('Monthly EOP Balance'!W16:'Monthly EOP Balance'!Z16)/4-Balance!I16,2)</f>
        <v>0</v>
      </c>
      <c r="J28" s="41">
        <f>ROUND(SUM('Monthly EOP Balance'!Z16:'Monthly EOP Balance'!AC16)/4-Balance!J16,2)</f>
        <v>0</v>
      </c>
      <c r="K28" s="41">
        <f>ROUND(SUM('Monthly EOP Balance'!AC16:'Monthly EOP Balance'!AF16)/4-Balance!K16,2)</f>
        <v>0</v>
      </c>
      <c r="L28" s="41">
        <f>ROUND(SUM('Monthly EOP Balance'!AF16:'Monthly EOP Balance'!AI16)/4-Balance!L16,2)</f>
        <v>0</v>
      </c>
      <c r="M28" s="41">
        <f>ROUND(SUM('Monthly EOP Balance'!AI16:'Monthly EOP Balance'!AL16)/4-Balance!M16,2)</f>
        <v>0</v>
      </c>
      <c r="N28" s="41">
        <f>ROUND(SUM('Monthly EOP Balance'!AL16:'Monthly EOP Balance'!AO16)/4-Balance!N16,2)</f>
        <v>0</v>
      </c>
      <c r="O28" s="41">
        <f>ROUND(SUM('Monthly EOP Balance'!AO16:'Monthly EOP Balance'!AR16)/4-Balance!O16,2)</f>
        <v>0</v>
      </c>
    </row>
    <row r="29" spans="1:15" x14ac:dyDescent="0.2">
      <c r="A29" s="19" t="s">
        <v>89</v>
      </c>
      <c r="B29" s="41">
        <f>ROUND(SUM('Monthly EOP Balance'!B17:'Monthly EOP Balance'!E17)/4-Balance!B17,2)</f>
        <v>0</v>
      </c>
      <c r="C29" s="41">
        <f>ROUND(SUM('Monthly EOP Balance'!E17:'Monthly EOP Balance'!H17)/4-Balance!C17,2)</f>
        <v>0</v>
      </c>
      <c r="D29" s="41">
        <f>ROUND(SUM('Monthly EOP Balance'!H17:'Monthly EOP Balance'!K17)/4-Balance!D17,2)</f>
        <v>0</v>
      </c>
      <c r="E29" s="41">
        <f>ROUND(SUM('Monthly EOP Balance'!K17:'Monthly EOP Balance'!N17)/4-Balance!E17,2)</f>
        <v>0</v>
      </c>
      <c r="F29" s="41">
        <f>ROUND(SUM('Monthly EOP Balance'!N17:'Monthly EOP Balance'!Q17)/4-Balance!F17,2)</f>
        <v>0</v>
      </c>
      <c r="G29" s="41">
        <f>ROUND(SUM('Monthly EOP Balance'!Q17:'Monthly EOP Balance'!T17)/4-Balance!G17,2)</f>
        <v>0</v>
      </c>
      <c r="H29" s="41">
        <f>ROUND(SUM('Monthly EOP Balance'!T17:'Monthly EOP Balance'!W17)/4-Balance!H17,2)</f>
        <v>0</v>
      </c>
      <c r="I29" s="41">
        <f>ROUND(SUM('Monthly EOP Balance'!W17:'Monthly EOP Balance'!Z17)/4-Balance!I17,2)</f>
        <v>0</v>
      </c>
      <c r="J29" s="41">
        <f>ROUND(SUM('Monthly EOP Balance'!Z17:'Monthly EOP Balance'!AC17)/4-Balance!J17,2)</f>
        <v>0</v>
      </c>
      <c r="K29" s="41">
        <f>ROUND(SUM('Monthly EOP Balance'!AC17:'Monthly EOP Balance'!AF17)/4-Balance!K17,2)</f>
        <v>0</v>
      </c>
      <c r="L29" s="41">
        <f>ROUND(SUM('Monthly EOP Balance'!AF17:'Monthly EOP Balance'!AI17)/4-Balance!L17,2)</f>
        <v>0</v>
      </c>
      <c r="M29" s="41">
        <f>ROUND(SUM('Monthly EOP Balance'!AI17:'Monthly EOP Balance'!AL17)/4-Balance!M17,2)</f>
        <v>0</v>
      </c>
      <c r="N29" s="41">
        <f>ROUND(SUM('Monthly EOP Balance'!AL17:'Monthly EOP Balance'!AO17)/4-Balance!N17,2)</f>
        <v>0</v>
      </c>
      <c r="O29" s="41">
        <f>ROUND(SUM('Monthly EOP Balance'!AO17:'Monthly EOP Balance'!AR17)/4-Balance!O17,2)</f>
        <v>0</v>
      </c>
    </row>
    <row r="30" spans="1:15" x14ac:dyDescent="0.2">
      <c r="A30" s="19" t="s">
        <v>90</v>
      </c>
      <c r="B30" s="41">
        <f>ROUND(SUM('Monthly EOP Balance'!B18:'Monthly EOP Balance'!E18)/4-Balance!B18,2)</f>
        <v>0</v>
      </c>
      <c r="C30" s="41">
        <f>ROUND(SUM('Monthly EOP Balance'!E18:'Monthly EOP Balance'!H18)/4-Balance!C18,2)</f>
        <v>0</v>
      </c>
      <c r="D30" s="41">
        <f>ROUND(SUM('Monthly EOP Balance'!H18:'Monthly EOP Balance'!K18)/4-Balance!D18,2)</f>
        <v>0</v>
      </c>
      <c r="E30" s="41">
        <f>ROUND(SUM('Monthly EOP Balance'!K18:'Monthly EOP Balance'!N18)/4-Balance!E18,2)</f>
        <v>0</v>
      </c>
      <c r="F30" s="41">
        <f>ROUND(SUM('Monthly EOP Balance'!N18:'Monthly EOP Balance'!Q18)/4-Balance!F18,2)</f>
        <v>0</v>
      </c>
      <c r="G30" s="41">
        <f>ROUND(SUM('Monthly EOP Balance'!Q18:'Monthly EOP Balance'!T18)/4-Balance!G18,2)</f>
        <v>0</v>
      </c>
      <c r="H30" s="41">
        <f>ROUND(SUM('Monthly EOP Balance'!T18:'Monthly EOP Balance'!W18)/4-Balance!H18,2)</f>
        <v>0</v>
      </c>
      <c r="I30" s="41">
        <f>ROUND(SUM('Monthly EOP Balance'!W18:'Monthly EOP Balance'!Z18)/4-Balance!I18,2)</f>
        <v>0</v>
      </c>
      <c r="J30" s="41">
        <f>ROUND(SUM('Monthly EOP Balance'!Z18:'Monthly EOP Balance'!AC18)/4-Balance!J18,2)</f>
        <v>0</v>
      </c>
      <c r="K30" s="41">
        <f>ROUND(SUM('Monthly EOP Balance'!AC18:'Monthly EOP Balance'!AF18)/4-Balance!K18,2)</f>
        <v>0</v>
      </c>
      <c r="L30" s="41">
        <f>ROUND(SUM('Monthly EOP Balance'!AF18:'Monthly EOP Balance'!AI18)/4-Balance!L18,2)</f>
        <v>0</v>
      </c>
      <c r="M30" s="41">
        <f>ROUND(SUM('Monthly EOP Balance'!AI18:'Monthly EOP Balance'!AL18)/4-Balance!M18,2)</f>
        <v>0</v>
      </c>
      <c r="N30" s="41">
        <f>ROUND(SUM('Monthly EOP Balance'!AL18:'Monthly EOP Balance'!AO18)/4-Balance!N18,2)</f>
        <v>0</v>
      </c>
      <c r="O30" s="41">
        <f>ROUND(SUM('Monthly EOP Balance'!AO18:'Monthly EOP Balance'!AR18)/4-Balance!O18,2)</f>
        <v>0</v>
      </c>
    </row>
    <row r="31" spans="1:15" x14ac:dyDescent="0.2">
      <c r="A31" s="19" t="s">
        <v>91</v>
      </c>
      <c r="B31" s="41">
        <f>ROUND(SUM('Monthly EOP Balance'!B19:'Monthly EOP Balance'!E19)/4-Balance!B19,2)</f>
        <v>0</v>
      </c>
      <c r="C31" s="41">
        <f>ROUND(SUM('Monthly EOP Balance'!E19:'Monthly EOP Balance'!H19)/4-Balance!C19,2)</f>
        <v>0</v>
      </c>
      <c r="D31" s="41">
        <f>ROUND(SUM('Monthly EOP Balance'!H19:'Monthly EOP Balance'!K19)/4-Balance!D19,2)</f>
        <v>0</v>
      </c>
      <c r="E31" s="41">
        <f>ROUND(SUM('Monthly EOP Balance'!K19:'Monthly EOP Balance'!N19)/4-Balance!E19,2)</f>
        <v>0</v>
      </c>
      <c r="F31" s="41">
        <f>ROUND(SUM('Monthly EOP Balance'!N19:'Monthly EOP Balance'!Q19)/4-Balance!F19,2)</f>
        <v>0</v>
      </c>
      <c r="G31" s="41">
        <f>ROUND(SUM('Monthly EOP Balance'!Q19:'Monthly EOP Balance'!T19)/4-Balance!G19,2)</f>
        <v>0</v>
      </c>
      <c r="H31" s="41">
        <f>ROUND(SUM('Monthly EOP Balance'!T19:'Monthly EOP Balance'!W19)/4-Balance!H19,2)</f>
        <v>0</v>
      </c>
      <c r="I31" s="41">
        <f>ROUND(SUM('Monthly EOP Balance'!W19:'Monthly EOP Balance'!Z19)/4-Balance!I19,2)</f>
        <v>0</v>
      </c>
      <c r="J31" s="41">
        <f>ROUND(SUM('Monthly EOP Balance'!Z19:'Monthly EOP Balance'!AC19)/4-Balance!J19,2)</f>
        <v>0</v>
      </c>
      <c r="K31" s="41">
        <f>ROUND(SUM('Monthly EOP Balance'!AC19:'Monthly EOP Balance'!AF19)/4-Balance!K19,2)</f>
        <v>0</v>
      </c>
      <c r="L31" s="41">
        <f>ROUND(SUM('Monthly EOP Balance'!AF19:'Monthly EOP Balance'!AI19)/4-Balance!L19,2)</f>
        <v>0</v>
      </c>
      <c r="M31" s="41">
        <f>ROUND(SUM('Monthly EOP Balance'!AI19:'Monthly EOP Balance'!AL19)/4-Balance!M19,2)</f>
        <v>0</v>
      </c>
      <c r="N31" s="41">
        <f>ROUND(SUM('Monthly EOP Balance'!AL19:'Monthly EOP Balance'!AO19)/4-Balance!N19,2)</f>
        <v>0</v>
      </c>
      <c r="O31" s="41">
        <f>ROUND(SUM('Monthly EOP Balance'!AO19:'Monthly EOP Balance'!AR19)/4-Balance!O19,2)</f>
        <v>0</v>
      </c>
    </row>
    <row r="32" spans="1:15" x14ac:dyDescent="0.2">
      <c r="A32" s="19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 x14ac:dyDescent="0.2">
      <c r="A33" s="21" t="s">
        <v>126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 x14ac:dyDescent="0.2">
      <c r="A34" s="19" t="s">
        <v>80</v>
      </c>
      <c r="B34" s="41">
        <f>ROUND(SUM('Monthly NII'!B6:'Monthly NII'!D6)-'Net Interest Income'!B6,2)</f>
        <v>0</v>
      </c>
      <c r="C34" s="41">
        <f>ROUND(SUM('Monthly NII'!E6:'Monthly NII'!G6)-'Net Interest Income'!C6,2)</f>
        <v>0</v>
      </c>
      <c r="D34" s="41">
        <f>ROUND(SUM('Monthly NII'!H6:'Monthly NII'!J6)-'Net Interest Income'!D6,2)</f>
        <v>0</v>
      </c>
      <c r="E34" s="41">
        <f>ROUND(SUM('Monthly NII'!K6:'Monthly NII'!M6)-'Net Interest Income'!E6,2)</f>
        <v>0</v>
      </c>
      <c r="F34" s="41">
        <f>ROUND(SUM('Monthly NII'!N6:'Monthly NII'!P6)-'Net Interest Income'!F6,2)</f>
        <v>0</v>
      </c>
      <c r="G34" s="41">
        <f>ROUND(SUM('Monthly NII'!Q6:'Monthly NII'!S6)-'Net Interest Income'!G6,2)</f>
        <v>0</v>
      </c>
      <c r="H34" s="41">
        <f>ROUND(SUM('Monthly NII'!T6:'Monthly NII'!V6)-'Net Interest Income'!H6,2)</f>
        <v>0</v>
      </c>
      <c r="I34" s="41">
        <f>ROUND(SUM('Monthly NII'!W6:'Monthly NII'!Y6)-'Net Interest Income'!I6,2)</f>
        <v>0</v>
      </c>
      <c r="J34" s="41">
        <f>ROUND(SUM('Monthly NII'!Z6:'Monthly NII'!AB6)-'Net Interest Income'!J6,2)</f>
        <v>0</v>
      </c>
      <c r="K34" s="41">
        <f>ROUND(SUM('Monthly NII'!AC6:'Monthly NII'!AE6)-'Net Interest Income'!K6,2)</f>
        <v>0</v>
      </c>
      <c r="L34" s="41">
        <f>ROUND(SUM('Monthly NII'!AF6:'Monthly NII'!AH6)-'Net Interest Income'!L6,2)</f>
        <v>0</v>
      </c>
      <c r="M34" s="41">
        <f>ROUND(SUM('Monthly NII'!AI6:'Monthly NII'!AK6)-'Net Interest Income'!M6,2)</f>
        <v>0</v>
      </c>
      <c r="N34" s="41">
        <f>ROUND(SUM('Monthly NII'!AL6:'Monthly NII'!AN6)-'Net Interest Income'!N6,2)</f>
        <v>0</v>
      </c>
      <c r="O34" s="41">
        <f>ROUND(SUM('Monthly NII'!AO6:'Monthly NII'!AQ6)-'Net Interest Income'!O6,2)</f>
        <v>0</v>
      </c>
    </row>
    <row r="35" spans="1:15" x14ac:dyDescent="0.2">
      <c r="A35" s="19" t="s">
        <v>81</v>
      </c>
      <c r="B35" s="41">
        <f>ROUND(SUM('Monthly NII'!B7:'Monthly NII'!D7)-'Net Interest Income'!B7,2)</f>
        <v>0</v>
      </c>
      <c r="C35" s="41">
        <f>ROUND(SUM('Monthly NII'!E7:'Monthly NII'!G7)-'Net Interest Income'!C7,2)</f>
        <v>0</v>
      </c>
      <c r="D35" s="41">
        <f>ROUND(SUM('Monthly NII'!H7:'Monthly NII'!J7)-'Net Interest Income'!D7,2)</f>
        <v>0</v>
      </c>
      <c r="E35" s="41">
        <f>ROUND(SUM('Monthly NII'!K7:'Monthly NII'!M7)-'Net Interest Income'!E7,2)</f>
        <v>0</v>
      </c>
      <c r="F35" s="41">
        <f>ROUND(SUM('Monthly NII'!N7:'Monthly NII'!P7)-'Net Interest Income'!F7,2)</f>
        <v>0</v>
      </c>
      <c r="G35" s="41">
        <f>ROUND(SUM('Monthly NII'!Q7:'Monthly NII'!S7)-'Net Interest Income'!G7,2)</f>
        <v>0</v>
      </c>
      <c r="H35" s="41">
        <f>ROUND(SUM('Monthly NII'!T7:'Monthly NII'!V7)-'Net Interest Income'!H7,2)</f>
        <v>0</v>
      </c>
      <c r="I35" s="41">
        <f>ROUND(SUM('Monthly NII'!W7:'Monthly NII'!Y7)-'Net Interest Income'!I7,2)</f>
        <v>0</v>
      </c>
      <c r="J35" s="41">
        <f>ROUND(SUM('Monthly NII'!Z7:'Monthly NII'!AB7)-'Net Interest Income'!J7,2)</f>
        <v>0</v>
      </c>
      <c r="K35" s="41">
        <f>ROUND(SUM('Monthly NII'!AC7:'Monthly NII'!AE7)-'Net Interest Income'!K7,2)</f>
        <v>0</v>
      </c>
      <c r="L35" s="41">
        <f>ROUND(SUM('Monthly NII'!AF7:'Monthly NII'!AH7)-'Net Interest Income'!L7,2)</f>
        <v>0</v>
      </c>
      <c r="M35" s="41">
        <f>ROUND(SUM('Monthly NII'!AI7:'Monthly NII'!AK7)-'Net Interest Income'!M7,2)</f>
        <v>0</v>
      </c>
      <c r="N35" s="41">
        <f>ROUND(SUM('Monthly NII'!AL7:'Monthly NII'!AN7)-'Net Interest Income'!N7,2)</f>
        <v>0</v>
      </c>
      <c r="O35" s="41">
        <f>ROUND(SUM('Monthly NII'!AO7:'Monthly NII'!AQ7)-'Net Interest Income'!O7,2)</f>
        <v>0</v>
      </c>
    </row>
    <row r="36" spans="1:15" x14ac:dyDescent="0.2">
      <c r="A36" s="19" t="s">
        <v>82</v>
      </c>
      <c r="B36" s="41">
        <f>ROUND(SUM('Monthly NII'!B8:'Monthly NII'!D8)-'Net Interest Income'!B8,2)</f>
        <v>0</v>
      </c>
      <c r="C36" s="41">
        <f>ROUND(SUM('Monthly NII'!E8:'Monthly NII'!G8)-'Net Interest Income'!C8,2)</f>
        <v>0</v>
      </c>
      <c r="D36" s="41">
        <f>ROUND(SUM('Monthly NII'!H8:'Monthly NII'!J8)-'Net Interest Income'!D8,2)</f>
        <v>0</v>
      </c>
      <c r="E36" s="41">
        <f>ROUND(SUM('Monthly NII'!K8:'Monthly NII'!M8)-'Net Interest Income'!E8,2)</f>
        <v>0</v>
      </c>
      <c r="F36" s="41">
        <f>ROUND(SUM('Monthly NII'!N8:'Monthly NII'!P8)-'Net Interest Income'!F8,2)</f>
        <v>0</v>
      </c>
      <c r="G36" s="41">
        <f>ROUND(SUM('Monthly NII'!Q8:'Monthly NII'!S8)-'Net Interest Income'!G8,2)</f>
        <v>0</v>
      </c>
      <c r="H36" s="41">
        <f>ROUND(SUM('Monthly NII'!T8:'Monthly NII'!V8)-'Net Interest Income'!H8,2)</f>
        <v>0</v>
      </c>
      <c r="I36" s="41">
        <f>ROUND(SUM('Monthly NII'!W8:'Monthly NII'!Y8)-'Net Interest Income'!I8,2)</f>
        <v>0</v>
      </c>
      <c r="J36" s="41">
        <f>ROUND(SUM('Monthly NII'!Z8:'Monthly NII'!AB8)-'Net Interest Income'!J8,2)</f>
        <v>0</v>
      </c>
      <c r="K36" s="41">
        <f>ROUND(SUM('Monthly NII'!AC8:'Monthly NII'!AE8)-'Net Interest Income'!K8,2)</f>
        <v>0</v>
      </c>
      <c r="L36" s="41">
        <f>ROUND(SUM('Monthly NII'!AF8:'Monthly NII'!AH8)-'Net Interest Income'!L8,2)</f>
        <v>0</v>
      </c>
      <c r="M36" s="41">
        <f>ROUND(SUM('Monthly NII'!AI8:'Monthly NII'!AK8)-'Net Interest Income'!M8,2)</f>
        <v>0</v>
      </c>
      <c r="N36" s="41">
        <f>ROUND(SUM('Monthly NII'!AL8:'Monthly NII'!AN8)-'Net Interest Income'!N8,2)</f>
        <v>0</v>
      </c>
      <c r="O36" s="41">
        <f>ROUND(SUM('Monthly NII'!AO8:'Monthly NII'!AQ8)-'Net Interest Income'!O8,2)</f>
        <v>0</v>
      </c>
    </row>
    <row r="37" spans="1:15" x14ac:dyDescent="0.2">
      <c r="A37" s="19" t="s">
        <v>83</v>
      </c>
      <c r="B37" s="41">
        <f>ROUND(SUM('Monthly NII'!B9:'Monthly NII'!D9)-'Net Interest Income'!B9,2)</f>
        <v>0</v>
      </c>
      <c r="C37" s="41">
        <f>ROUND(SUM('Monthly NII'!E9:'Monthly NII'!G9)-'Net Interest Income'!C9,2)</f>
        <v>0</v>
      </c>
      <c r="D37" s="41">
        <f>ROUND(SUM('Monthly NII'!H9:'Monthly NII'!J9)-'Net Interest Income'!D9,2)</f>
        <v>0</v>
      </c>
      <c r="E37" s="41">
        <f>ROUND(SUM('Monthly NII'!K9:'Monthly NII'!M9)-'Net Interest Income'!E9,2)</f>
        <v>0</v>
      </c>
      <c r="F37" s="41">
        <f>ROUND(SUM('Monthly NII'!N9:'Monthly NII'!P9)-'Net Interest Income'!F9,2)</f>
        <v>0</v>
      </c>
      <c r="G37" s="41">
        <f>ROUND(SUM('Monthly NII'!Q9:'Monthly NII'!S9)-'Net Interest Income'!G9,2)</f>
        <v>0</v>
      </c>
      <c r="H37" s="41">
        <f>ROUND(SUM('Monthly NII'!T9:'Monthly NII'!V9)-'Net Interest Income'!H9,2)</f>
        <v>0</v>
      </c>
      <c r="I37" s="41">
        <f>ROUND(SUM('Monthly NII'!W9:'Monthly NII'!Y9)-'Net Interest Income'!I9,2)</f>
        <v>0</v>
      </c>
      <c r="J37" s="41">
        <f>ROUND(SUM('Monthly NII'!Z9:'Monthly NII'!AB9)-'Net Interest Income'!J9,2)</f>
        <v>0</v>
      </c>
      <c r="K37" s="41">
        <f>ROUND(SUM('Monthly NII'!AC9:'Monthly NII'!AE9)-'Net Interest Income'!K9,2)</f>
        <v>0</v>
      </c>
      <c r="L37" s="41">
        <f>ROUND(SUM('Monthly NII'!AF9:'Monthly NII'!AH9)-'Net Interest Income'!L9,2)</f>
        <v>0</v>
      </c>
      <c r="M37" s="41">
        <f>ROUND(SUM('Monthly NII'!AI9:'Monthly NII'!AK9)-'Net Interest Income'!M9,2)</f>
        <v>0</v>
      </c>
      <c r="N37" s="41">
        <f>ROUND(SUM('Monthly NII'!AL9:'Monthly NII'!AN9)-'Net Interest Income'!N9,2)</f>
        <v>0</v>
      </c>
      <c r="O37" s="41">
        <f>ROUND(SUM('Monthly NII'!AO9:'Monthly NII'!AQ9)-'Net Interest Income'!O9,2)</f>
        <v>0</v>
      </c>
    </row>
    <row r="38" spans="1:15" x14ac:dyDescent="0.2">
      <c r="A38" s="19" t="s">
        <v>84</v>
      </c>
      <c r="B38" s="41">
        <f>ROUND(SUM('Monthly NII'!B10:'Monthly NII'!D10)-'Net Interest Income'!B10,2)</f>
        <v>0</v>
      </c>
      <c r="C38" s="41">
        <f>ROUND(SUM('Monthly NII'!E10:'Monthly NII'!G10)-'Net Interest Income'!C10,2)</f>
        <v>0</v>
      </c>
      <c r="D38" s="41">
        <f>ROUND(SUM('Monthly NII'!H10:'Monthly NII'!J10)-'Net Interest Income'!D10,2)</f>
        <v>0</v>
      </c>
      <c r="E38" s="41">
        <f>ROUND(SUM('Monthly NII'!K10:'Monthly NII'!M10)-'Net Interest Income'!E10,2)</f>
        <v>0</v>
      </c>
      <c r="F38" s="41">
        <f>ROUND(SUM('Monthly NII'!N10:'Monthly NII'!P10)-'Net Interest Income'!F10,2)</f>
        <v>0</v>
      </c>
      <c r="G38" s="41">
        <f>ROUND(SUM('Monthly NII'!Q10:'Monthly NII'!S10)-'Net Interest Income'!G10,2)</f>
        <v>0</v>
      </c>
      <c r="H38" s="41">
        <f>ROUND(SUM('Monthly NII'!T10:'Monthly NII'!V10)-'Net Interest Income'!H10,2)</f>
        <v>0</v>
      </c>
      <c r="I38" s="41">
        <f>ROUND(SUM('Monthly NII'!W10:'Monthly NII'!Y10)-'Net Interest Income'!I10,2)</f>
        <v>0</v>
      </c>
      <c r="J38" s="41">
        <f>ROUND(SUM('Monthly NII'!Z10:'Monthly NII'!AB10)-'Net Interest Income'!J10,2)</f>
        <v>0</v>
      </c>
      <c r="K38" s="41">
        <f>ROUND(SUM('Monthly NII'!AC10:'Monthly NII'!AE10)-'Net Interest Income'!K10,2)</f>
        <v>0</v>
      </c>
      <c r="L38" s="41">
        <f>ROUND(SUM('Monthly NII'!AF10:'Monthly NII'!AH10)-'Net Interest Income'!L10,2)</f>
        <v>0</v>
      </c>
      <c r="M38" s="41">
        <f>ROUND(SUM('Monthly NII'!AI10:'Monthly NII'!AK10)-'Net Interest Income'!M10,2)</f>
        <v>0</v>
      </c>
      <c r="N38" s="41">
        <f>ROUND(SUM('Monthly NII'!AL10:'Monthly NII'!AN10)-'Net Interest Income'!N10,2)</f>
        <v>0</v>
      </c>
      <c r="O38" s="41">
        <f>ROUND(SUM('Monthly NII'!AO10:'Monthly NII'!AQ10)-'Net Interest Income'!O10,2)</f>
        <v>0</v>
      </c>
    </row>
    <row r="39" spans="1:15" x14ac:dyDescent="0.2">
      <c r="A39" s="19" t="s">
        <v>85</v>
      </c>
      <c r="B39" s="41">
        <f>ROUND(SUM('Monthly NII'!B11:'Monthly NII'!D11)-'Net Interest Income'!B11,2)</f>
        <v>0</v>
      </c>
      <c r="C39" s="41">
        <f>ROUND(SUM('Monthly NII'!E11:'Monthly NII'!G11)-'Net Interest Income'!C11,2)</f>
        <v>0</v>
      </c>
      <c r="D39" s="41">
        <f>ROUND(SUM('Monthly NII'!H11:'Monthly NII'!J11)-'Net Interest Income'!D11,2)</f>
        <v>0</v>
      </c>
      <c r="E39" s="41">
        <f>ROUND(SUM('Monthly NII'!K11:'Monthly NII'!M11)-'Net Interest Income'!E11,2)</f>
        <v>0</v>
      </c>
      <c r="F39" s="41">
        <f>ROUND(SUM('Monthly NII'!N11:'Monthly NII'!P11)-'Net Interest Income'!F11,2)</f>
        <v>0</v>
      </c>
      <c r="G39" s="41">
        <f>ROUND(SUM('Monthly NII'!Q11:'Monthly NII'!S11)-'Net Interest Income'!G11,2)</f>
        <v>0</v>
      </c>
      <c r="H39" s="41">
        <f>ROUND(SUM('Monthly NII'!T11:'Monthly NII'!V11)-'Net Interest Income'!H11,2)</f>
        <v>0</v>
      </c>
      <c r="I39" s="41">
        <f>ROUND(SUM('Monthly NII'!W11:'Monthly NII'!Y11)-'Net Interest Income'!I11,2)</f>
        <v>0</v>
      </c>
      <c r="J39" s="41">
        <f>ROUND(SUM('Monthly NII'!Z11:'Monthly NII'!AB11)-'Net Interest Income'!J11,2)</f>
        <v>0</v>
      </c>
      <c r="K39" s="41">
        <f>ROUND(SUM('Monthly NII'!AC11:'Monthly NII'!AE11)-'Net Interest Income'!K11,2)</f>
        <v>0</v>
      </c>
      <c r="L39" s="41">
        <f>ROUND(SUM('Monthly NII'!AF11:'Monthly NII'!AH11)-'Net Interest Income'!L11,2)</f>
        <v>0</v>
      </c>
      <c r="M39" s="41">
        <f>ROUND(SUM('Monthly NII'!AI11:'Monthly NII'!AK11)-'Net Interest Income'!M11,2)</f>
        <v>0</v>
      </c>
      <c r="N39" s="41">
        <f>ROUND(SUM('Monthly NII'!AL11:'Monthly NII'!AN11)-'Net Interest Income'!N11,2)</f>
        <v>0</v>
      </c>
      <c r="O39" s="41">
        <f>ROUND(SUM('Monthly NII'!AO11:'Monthly NII'!AQ11)-'Net Interest Income'!O11,2)</f>
        <v>0</v>
      </c>
    </row>
    <row r="40" spans="1:15" x14ac:dyDescent="0.2">
      <c r="A40" s="19" t="s">
        <v>86</v>
      </c>
      <c r="B40" s="41">
        <f>ROUND(SUM('Monthly NII'!B12:'Monthly NII'!D12)-'Net Interest Income'!B12,2)</f>
        <v>0</v>
      </c>
      <c r="C40" s="41">
        <f>ROUND(SUM('Monthly NII'!E12:'Monthly NII'!G12)-'Net Interest Income'!C12,2)</f>
        <v>0</v>
      </c>
      <c r="D40" s="41">
        <f>ROUND(SUM('Monthly NII'!H12:'Monthly NII'!J12)-'Net Interest Income'!D12,2)</f>
        <v>0</v>
      </c>
      <c r="E40" s="41">
        <f>ROUND(SUM('Monthly NII'!K12:'Monthly NII'!M12)-'Net Interest Income'!E12,2)</f>
        <v>0</v>
      </c>
      <c r="F40" s="41">
        <f>ROUND(SUM('Monthly NII'!N12:'Monthly NII'!P12)-'Net Interest Income'!F12,2)</f>
        <v>0</v>
      </c>
      <c r="G40" s="41">
        <f>ROUND(SUM('Monthly NII'!Q12:'Monthly NII'!S12)-'Net Interest Income'!G12,2)</f>
        <v>0</v>
      </c>
      <c r="H40" s="41">
        <f>ROUND(SUM('Monthly NII'!T12:'Monthly NII'!V12)-'Net Interest Income'!H12,2)</f>
        <v>0</v>
      </c>
      <c r="I40" s="41">
        <f>ROUND(SUM('Monthly NII'!W12:'Monthly NII'!Y12)-'Net Interest Income'!I12,2)</f>
        <v>0</v>
      </c>
      <c r="J40" s="41">
        <f>ROUND(SUM('Monthly NII'!Z12:'Monthly NII'!AB12)-'Net Interest Income'!J12,2)</f>
        <v>0</v>
      </c>
      <c r="K40" s="41">
        <f>ROUND(SUM('Monthly NII'!AC12:'Monthly NII'!AE12)-'Net Interest Income'!K12,2)</f>
        <v>0</v>
      </c>
      <c r="L40" s="41">
        <f>ROUND(SUM('Monthly NII'!AF12:'Monthly NII'!AH12)-'Net Interest Income'!L12,2)</f>
        <v>0</v>
      </c>
      <c r="M40" s="41">
        <f>ROUND(SUM('Monthly NII'!AI12:'Monthly NII'!AK12)-'Net Interest Income'!M12,2)</f>
        <v>0</v>
      </c>
      <c r="N40" s="41">
        <f>ROUND(SUM('Monthly NII'!AL12:'Monthly NII'!AN12)-'Net Interest Income'!N12,2)</f>
        <v>0</v>
      </c>
      <c r="O40" s="41">
        <f>ROUND(SUM('Monthly NII'!AO12:'Monthly NII'!AQ12)-'Net Interest Income'!O12,2)</f>
        <v>0</v>
      </c>
    </row>
    <row r="41" spans="1:15" x14ac:dyDescent="0.2">
      <c r="A41" s="19" t="s">
        <v>87</v>
      </c>
      <c r="B41" s="41">
        <f>ROUND(SUM('Monthly NII'!B15:'Monthly NII'!D15)-'Net Interest Income'!B15,2)</f>
        <v>0</v>
      </c>
      <c r="C41" s="41">
        <f>ROUND(SUM('Monthly NII'!E15:'Monthly NII'!G15)-'Net Interest Income'!C15,2)</f>
        <v>0</v>
      </c>
      <c r="D41" s="41">
        <f>ROUND(SUM('Monthly NII'!H15:'Monthly NII'!J15)-'Net Interest Income'!D15,2)</f>
        <v>0</v>
      </c>
      <c r="E41" s="41">
        <f>ROUND(SUM('Monthly NII'!K15:'Monthly NII'!M15)-'Net Interest Income'!E15,2)</f>
        <v>0</v>
      </c>
      <c r="F41" s="41">
        <f>ROUND(SUM('Monthly NII'!N15:'Monthly NII'!P15)-'Net Interest Income'!F15,2)</f>
        <v>0</v>
      </c>
      <c r="G41" s="41">
        <f>ROUND(SUM('Monthly NII'!Q15:'Monthly NII'!S15)-'Net Interest Income'!G15,2)</f>
        <v>0</v>
      </c>
      <c r="H41" s="41">
        <f>ROUND(SUM('Monthly NII'!T15:'Monthly NII'!V15)-'Net Interest Income'!H15,2)</f>
        <v>0</v>
      </c>
      <c r="I41" s="41">
        <f>ROUND(SUM('Monthly NII'!W15:'Monthly NII'!Y15)-'Net Interest Income'!I15,2)</f>
        <v>0</v>
      </c>
      <c r="J41" s="41">
        <f>ROUND(SUM('Monthly NII'!Z15:'Monthly NII'!AB15)-'Net Interest Income'!J15,2)</f>
        <v>0</v>
      </c>
      <c r="K41" s="41">
        <f>ROUND(SUM('Monthly NII'!AC15:'Monthly NII'!AE15)-'Net Interest Income'!K15,2)</f>
        <v>0</v>
      </c>
      <c r="L41" s="41">
        <f>ROUND(SUM('Monthly NII'!AF15:'Monthly NII'!AH15)-'Net Interest Income'!L15,2)</f>
        <v>0</v>
      </c>
      <c r="M41" s="41">
        <f>ROUND(SUM('Monthly NII'!AI15:'Monthly NII'!AK15)-'Net Interest Income'!M15,2)</f>
        <v>0</v>
      </c>
      <c r="N41" s="41">
        <f>ROUND(SUM('Monthly NII'!AL15:'Monthly NII'!AN15)-'Net Interest Income'!N15,2)</f>
        <v>0</v>
      </c>
      <c r="O41" s="41">
        <f>ROUND(SUM('Monthly NII'!AO15:'Monthly NII'!AQ15)-'Net Interest Income'!O15,2)</f>
        <v>0</v>
      </c>
    </row>
    <row r="42" spans="1:15" x14ac:dyDescent="0.2">
      <c r="A42" s="19" t="s">
        <v>88</v>
      </c>
      <c r="B42" s="41">
        <f>ROUND(SUM('Monthly NII'!B16:'Monthly NII'!D16)-'Net Interest Income'!B16,2)</f>
        <v>0</v>
      </c>
      <c r="C42" s="41">
        <f>ROUND(SUM('Monthly NII'!E16:'Monthly NII'!G16)-'Net Interest Income'!C16,2)</f>
        <v>0</v>
      </c>
      <c r="D42" s="41">
        <f>ROUND(SUM('Monthly NII'!H16:'Monthly NII'!J16)-'Net Interest Income'!D16,2)</f>
        <v>0</v>
      </c>
      <c r="E42" s="41">
        <f>ROUND(SUM('Monthly NII'!K16:'Monthly NII'!M16)-'Net Interest Income'!E16,2)</f>
        <v>0</v>
      </c>
      <c r="F42" s="41">
        <f>ROUND(SUM('Monthly NII'!N16:'Monthly NII'!P16)-'Net Interest Income'!F16,2)</f>
        <v>0</v>
      </c>
      <c r="G42" s="41">
        <f>ROUND(SUM('Monthly NII'!Q16:'Monthly NII'!S16)-'Net Interest Income'!G16,2)</f>
        <v>0</v>
      </c>
      <c r="H42" s="41">
        <f>ROUND(SUM('Monthly NII'!T16:'Monthly NII'!V16)-'Net Interest Income'!H16,2)</f>
        <v>0</v>
      </c>
      <c r="I42" s="41">
        <f>ROUND(SUM('Monthly NII'!W16:'Monthly NII'!Y16)-'Net Interest Income'!I16,2)</f>
        <v>0</v>
      </c>
      <c r="J42" s="41">
        <f>ROUND(SUM('Monthly NII'!Z16:'Monthly NII'!AB16)-'Net Interest Income'!J16,2)</f>
        <v>0</v>
      </c>
      <c r="K42" s="41">
        <f>ROUND(SUM('Monthly NII'!AC16:'Monthly NII'!AE16)-'Net Interest Income'!K16,2)</f>
        <v>0</v>
      </c>
      <c r="L42" s="41">
        <f>ROUND(SUM('Monthly NII'!AF16:'Monthly NII'!AH16)-'Net Interest Income'!L16,2)</f>
        <v>0</v>
      </c>
      <c r="M42" s="41">
        <f>ROUND(SUM('Monthly NII'!AI16:'Monthly NII'!AK16)-'Net Interest Income'!M16,2)</f>
        <v>0</v>
      </c>
      <c r="N42" s="41">
        <f>ROUND(SUM('Monthly NII'!AL16:'Monthly NII'!AN16)-'Net Interest Income'!N16,2)</f>
        <v>0</v>
      </c>
      <c r="O42" s="41">
        <f>ROUND(SUM('Monthly NII'!AO16:'Monthly NII'!AQ16)-'Net Interest Income'!O16,2)</f>
        <v>0</v>
      </c>
    </row>
    <row r="43" spans="1:15" x14ac:dyDescent="0.2">
      <c r="A43" s="19" t="s">
        <v>89</v>
      </c>
      <c r="B43" s="41">
        <f>ROUND(SUM('Monthly NII'!B17:'Monthly NII'!D17)-'Net Interest Income'!B17,2)</f>
        <v>0</v>
      </c>
      <c r="C43" s="41">
        <f>ROUND(SUM('Monthly NII'!E17:'Monthly NII'!G17)-'Net Interest Income'!C17,2)</f>
        <v>0</v>
      </c>
      <c r="D43" s="41">
        <f>ROUND(SUM('Monthly NII'!H17:'Monthly NII'!J17)-'Net Interest Income'!D17,2)</f>
        <v>0</v>
      </c>
      <c r="E43" s="41">
        <f>ROUND(SUM('Monthly NII'!K17:'Monthly NII'!M17)-'Net Interest Income'!E17,2)</f>
        <v>0</v>
      </c>
      <c r="F43" s="41">
        <f>ROUND(SUM('Monthly NII'!N17:'Monthly NII'!P17)-'Net Interest Income'!F17,2)</f>
        <v>0</v>
      </c>
      <c r="G43" s="41">
        <f>ROUND(SUM('Monthly NII'!Q17:'Monthly NII'!S17)-'Net Interest Income'!G17,2)</f>
        <v>0</v>
      </c>
      <c r="H43" s="41">
        <f>ROUND(SUM('Monthly NII'!T17:'Monthly NII'!V17)-'Net Interest Income'!H17,2)</f>
        <v>0</v>
      </c>
      <c r="I43" s="41">
        <f>ROUND(SUM('Monthly NII'!W17:'Monthly NII'!Y17)-'Net Interest Income'!I17,2)</f>
        <v>0</v>
      </c>
      <c r="J43" s="41">
        <f>ROUND(SUM('Monthly NII'!Z17:'Monthly NII'!AB17)-'Net Interest Income'!J17,2)</f>
        <v>0</v>
      </c>
      <c r="K43" s="41">
        <f>ROUND(SUM('Monthly NII'!AC17:'Monthly NII'!AE17)-'Net Interest Income'!K17,2)</f>
        <v>0</v>
      </c>
      <c r="L43" s="41">
        <f>ROUND(SUM('Monthly NII'!AF17:'Monthly NII'!AH17)-'Net Interest Income'!L17,2)</f>
        <v>0</v>
      </c>
      <c r="M43" s="41">
        <f>ROUND(SUM('Monthly NII'!AI17:'Monthly NII'!AK17)-'Net Interest Income'!M17,2)</f>
        <v>0</v>
      </c>
      <c r="N43" s="41">
        <f>ROUND(SUM('Monthly NII'!AL17:'Monthly NII'!AN17)-'Net Interest Income'!N17,2)</f>
        <v>0</v>
      </c>
      <c r="O43" s="41">
        <f>ROUND(SUM('Monthly NII'!AO17:'Monthly NII'!AQ17)-'Net Interest Income'!O17,2)</f>
        <v>0</v>
      </c>
    </row>
    <row r="44" spans="1:15" x14ac:dyDescent="0.2">
      <c r="A44" s="19" t="s">
        <v>90</v>
      </c>
      <c r="B44" s="41">
        <f>ROUND(SUM('Monthly NII'!B18:'Monthly NII'!D18)-'Net Interest Income'!B18,2)</f>
        <v>0</v>
      </c>
      <c r="C44" s="41">
        <f>ROUND(SUM('Monthly NII'!E18:'Monthly NII'!G18)-'Net Interest Income'!C18,2)</f>
        <v>0</v>
      </c>
      <c r="D44" s="41">
        <f>ROUND(SUM('Monthly NII'!H18:'Monthly NII'!J18)-'Net Interest Income'!D18,2)</f>
        <v>0</v>
      </c>
      <c r="E44" s="41">
        <f>ROUND(SUM('Monthly NII'!K18:'Monthly NII'!M18)-'Net Interest Income'!E18,2)</f>
        <v>0</v>
      </c>
      <c r="F44" s="41">
        <f>ROUND(SUM('Monthly NII'!N18:'Monthly NII'!P18)-'Net Interest Income'!F18,2)</f>
        <v>0</v>
      </c>
      <c r="G44" s="41">
        <f>ROUND(SUM('Monthly NII'!Q18:'Monthly NII'!S18)-'Net Interest Income'!G18,2)</f>
        <v>0</v>
      </c>
      <c r="H44" s="41">
        <f>ROUND(SUM('Monthly NII'!T18:'Monthly NII'!V18)-'Net Interest Income'!H18,2)</f>
        <v>0</v>
      </c>
      <c r="I44" s="41">
        <f>ROUND(SUM('Monthly NII'!W18:'Monthly NII'!Y18)-'Net Interest Income'!I18,2)</f>
        <v>0</v>
      </c>
      <c r="J44" s="41">
        <f>ROUND(SUM('Monthly NII'!Z18:'Monthly NII'!AB18)-'Net Interest Income'!J18,2)</f>
        <v>0</v>
      </c>
      <c r="K44" s="41">
        <f>ROUND(SUM('Monthly NII'!AC18:'Monthly NII'!AE18)-'Net Interest Income'!K18,2)</f>
        <v>0</v>
      </c>
      <c r="L44" s="41">
        <f>ROUND(SUM('Monthly NII'!AF18:'Monthly NII'!AH18)-'Net Interest Income'!L18,2)</f>
        <v>0</v>
      </c>
      <c r="M44" s="41">
        <f>ROUND(SUM('Monthly NII'!AI18:'Monthly NII'!AK18)-'Net Interest Income'!M18,2)</f>
        <v>0</v>
      </c>
      <c r="N44" s="41">
        <f>ROUND(SUM('Monthly NII'!AL18:'Monthly NII'!AN18)-'Net Interest Income'!N18,2)</f>
        <v>0</v>
      </c>
      <c r="O44" s="41">
        <f>ROUND(SUM('Monthly NII'!AO18:'Monthly NII'!AQ18)-'Net Interest Income'!O18,2)</f>
        <v>0</v>
      </c>
    </row>
    <row r="45" spans="1:15" x14ac:dyDescent="0.2">
      <c r="A45" s="19" t="s">
        <v>91</v>
      </c>
      <c r="B45" s="41">
        <f>ROUND(SUM('Monthly NII'!B19:'Monthly NII'!D19)-'Net Interest Income'!B19,2)</f>
        <v>0</v>
      </c>
      <c r="C45" s="41">
        <f>ROUND(SUM('Monthly NII'!E19:'Monthly NII'!G19)-'Net Interest Income'!C19,2)</f>
        <v>0</v>
      </c>
      <c r="D45" s="41">
        <f>ROUND(SUM('Monthly NII'!H19:'Monthly NII'!J19)-'Net Interest Income'!D19,2)</f>
        <v>0</v>
      </c>
      <c r="E45" s="41">
        <f>ROUND(SUM('Monthly NII'!K19:'Monthly NII'!M19)-'Net Interest Income'!E19,2)</f>
        <v>0</v>
      </c>
      <c r="F45" s="41">
        <f>ROUND(SUM('Monthly NII'!N19:'Monthly NII'!P19)-'Net Interest Income'!F19,2)</f>
        <v>0</v>
      </c>
      <c r="G45" s="41">
        <f>ROUND(SUM('Monthly NII'!Q19:'Monthly NII'!S19)-'Net Interest Income'!G19,2)</f>
        <v>0</v>
      </c>
      <c r="H45" s="41">
        <f>ROUND(SUM('Monthly NII'!T19:'Monthly NII'!V19)-'Net Interest Income'!H19,2)</f>
        <v>0</v>
      </c>
      <c r="I45" s="41">
        <f>ROUND(SUM('Monthly NII'!W19:'Monthly NII'!Y19)-'Net Interest Income'!I19,2)</f>
        <v>0</v>
      </c>
      <c r="J45" s="41">
        <f>ROUND(SUM('Monthly NII'!Z19:'Monthly NII'!AB19)-'Net Interest Income'!J19,2)</f>
        <v>0</v>
      </c>
      <c r="K45" s="41">
        <f>ROUND(SUM('Monthly NII'!AC19:'Monthly NII'!AE19)-'Net Interest Income'!K19,2)</f>
        <v>0</v>
      </c>
      <c r="L45" s="41">
        <f>ROUND(SUM('Monthly NII'!AF19:'Monthly NII'!AH19)-'Net Interest Income'!L19,2)</f>
        <v>0</v>
      </c>
      <c r="M45" s="41">
        <f>ROUND(SUM('Monthly NII'!AI19:'Monthly NII'!AK19)-'Net Interest Income'!M19,2)</f>
        <v>0</v>
      </c>
      <c r="N45" s="41">
        <f>ROUND(SUM('Monthly NII'!AL19:'Monthly NII'!AN19)-'Net Interest Income'!N19,2)</f>
        <v>0</v>
      </c>
      <c r="O45" s="41">
        <f>ROUND(SUM('Monthly NII'!AO19:'Monthly NII'!AQ19)-'Net Interest Income'!O19,2)</f>
        <v>0</v>
      </c>
    </row>
    <row r="46" spans="1:15" x14ac:dyDescent="0.2">
      <c r="A46" s="19" t="s">
        <v>31</v>
      </c>
      <c r="B46" s="41">
        <f>ROUND(SUM('Monthly NII'!B21:'Monthly NII'!D21)-'Net Interest Income'!B21,2)</f>
        <v>0</v>
      </c>
      <c r="C46" s="41">
        <f>ROUND(SUM('Monthly NII'!E21:'Monthly NII'!G21)-'Net Interest Income'!C21,2)</f>
        <v>0</v>
      </c>
      <c r="D46" s="41">
        <f>ROUND(SUM('Monthly NII'!H21:'Monthly NII'!J21)-'Net Interest Income'!D21,2)</f>
        <v>0</v>
      </c>
      <c r="E46" s="41">
        <f>ROUND(SUM('Monthly NII'!K21:'Monthly NII'!M21)-'Net Interest Income'!E21,2)</f>
        <v>0</v>
      </c>
      <c r="F46" s="41">
        <f>ROUND(SUM('Monthly NII'!N21:'Monthly NII'!P21)-'Net Interest Income'!F21,2)</f>
        <v>0</v>
      </c>
      <c r="G46" s="41">
        <f>ROUND(SUM('Monthly NII'!Q21:'Monthly NII'!S21)-'Net Interest Income'!G21,2)</f>
        <v>0</v>
      </c>
      <c r="H46" s="41">
        <f>ROUND(SUM('Monthly NII'!T21:'Monthly NII'!V21)-'Net Interest Income'!H21,2)</f>
        <v>0</v>
      </c>
      <c r="I46" s="41">
        <f>ROUND(SUM('Monthly NII'!W21:'Monthly NII'!Y21)-'Net Interest Income'!I21,2)</f>
        <v>0</v>
      </c>
      <c r="J46" s="41">
        <f>ROUND(SUM('Monthly NII'!Z21:'Monthly NII'!AB21)-'Net Interest Income'!J21,2)</f>
        <v>0</v>
      </c>
      <c r="K46" s="41">
        <f>ROUND(SUM('Monthly NII'!AC21:'Monthly NII'!AE21)-'Net Interest Income'!K21,2)</f>
        <v>0</v>
      </c>
      <c r="L46" s="41">
        <f>ROUND(SUM('Monthly NII'!AF21:'Monthly NII'!AH21)-'Net Interest Income'!L21,2)</f>
        <v>0</v>
      </c>
      <c r="M46" s="41">
        <f>ROUND(SUM('Monthly NII'!AI21:'Monthly NII'!AK21)-'Net Interest Income'!M21,2)</f>
        <v>0</v>
      </c>
      <c r="N46" s="41">
        <f>ROUND(SUM('Monthly NII'!AL21:'Monthly NII'!AN21)-'Net Interest Income'!N21,2)</f>
        <v>0</v>
      </c>
      <c r="O46" s="41">
        <f>ROUND(SUM('Monthly NII'!AO21:'Monthly NII'!AQ21)-'Net Interest Income'!O21,2)</f>
        <v>0</v>
      </c>
    </row>
    <row r="47" spans="1:15" x14ac:dyDescent="0.2">
      <c r="A47" s="19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</row>
    <row r="48" spans="1:15" x14ac:dyDescent="0.2">
      <c r="A48" s="21" t="s">
        <v>127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spans="1:15" x14ac:dyDescent="0.2">
      <c r="A49" s="19" t="s">
        <v>80</v>
      </c>
      <c r="B49" s="43">
        <f>ROUND((('Net Interest Income'!B6*4/Balance!B6)-Rate!B6)*10000,2)</f>
        <v>-0.11</v>
      </c>
      <c r="C49" s="43">
        <f>ROUND((('Net Interest Income'!C6*4/Balance!C6)-Rate!C6)*10000,2)</f>
        <v>-0.36</v>
      </c>
      <c r="D49" s="43">
        <f>ROUND((('Net Interest Income'!D6*4/Balance!D6)-Rate!D6)*10000,2)</f>
        <v>0.08</v>
      </c>
      <c r="E49" s="43">
        <f>ROUND((('Net Interest Income'!E6*4/Balance!E6)-Rate!E6)*10000,2)</f>
        <v>0.41</v>
      </c>
      <c r="F49" s="43">
        <f>ROUND((('Net Interest Income'!F6*4/Balance!F6)-Rate!F6)*10000,2)</f>
        <v>-0.08</v>
      </c>
      <c r="G49" s="43">
        <f>ROUND((('Net Interest Income'!G6*4/Balance!G6)-Rate!G6)*10000,2)</f>
        <v>0.28000000000000003</v>
      </c>
      <c r="H49" s="43">
        <f>ROUND((('Net Interest Income'!H6*4/Balance!H6)-Rate!H6)*10000,2)</f>
        <v>0.27</v>
      </c>
      <c r="I49" s="43">
        <f>ROUND((('Net Interest Income'!I6*4/Balance!I6)-Rate!I6)*10000,2)</f>
        <v>-0.32</v>
      </c>
      <c r="J49" s="43">
        <f>ROUND((('Net Interest Income'!J6*4/Balance!J6)-Rate!J6)*10000,2)</f>
        <v>-0.39</v>
      </c>
      <c r="K49" s="43">
        <f>ROUND((('Net Interest Income'!K6*4/Balance!K6)-Rate!K6)*10000,2)</f>
        <v>0.43</v>
      </c>
      <c r="L49" s="43">
        <f>ROUND((('Net Interest Income'!L6*4/Balance!L6)-Rate!L6)*10000,2)</f>
        <v>0</v>
      </c>
      <c r="M49" s="43">
        <f>ROUND((('Net Interest Income'!M6*4/Balance!M6)-Rate!M6)*10000,2)</f>
        <v>0</v>
      </c>
      <c r="N49" s="43">
        <f>ROUND((('Net Interest Income'!N6*4/Balance!N6)-Rate!N6)*10000,2)</f>
        <v>0</v>
      </c>
      <c r="O49" s="43">
        <f>ROUND((('Net Interest Income'!O6*4/Balance!O6)-Rate!O6)*10000,2)</f>
        <v>0</v>
      </c>
    </row>
    <row r="50" spans="1:15" x14ac:dyDescent="0.2">
      <c r="A50" s="19" t="s">
        <v>81</v>
      </c>
      <c r="B50" s="43">
        <f>ROUND((('Net Interest Income'!B7*4/Balance!B7)-Rate!B7)*10000,2)</f>
        <v>-0.25</v>
      </c>
      <c r="C50" s="43">
        <f>ROUND((('Net Interest Income'!C7*4/Balance!C7)-Rate!C7)*10000,2)</f>
        <v>0</v>
      </c>
      <c r="D50" s="43">
        <f>ROUND((('Net Interest Income'!D7*4/Balance!D7)-Rate!D7)*10000,2)</f>
        <v>-0.15</v>
      </c>
      <c r="E50" s="43">
        <f>ROUND((('Net Interest Income'!E7*4/Balance!E7)-Rate!E7)*10000,2)</f>
        <v>7.0000000000000007E-2</v>
      </c>
      <c r="F50" s="43">
        <f>ROUND((('Net Interest Income'!F7*4/Balance!F7)-Rate!F7)*10000,2)</f>
        <v>0.12</v>
      </c>
      <c r="G50" s="43">
        <f>ROUND((('Net Interest Income'!G7*4/Balance!G7)-Rate!G7)*10000,2)</f>
        <v>0.8</v>
      </c>
      <c r="H50" s="43">
        <f>ROUND((('Net Interest Income'!H7*4/Balance!H7)-Rate!H7)*10000,2)</f>
        <v>0.4</v>
      </c>
      <c r="I50" s="43">
        <f>ROUND((('Net Interest Income'!I7*4/Balance!I7)-Rate!I7)*10000,2)</f>
        <v>-0.22</v>
      </c>
      <c r="J50" s="43">
        <f>ROUND((('Net Interest Income'!J7*4/Balance!J7)-Rate!J7)*10000,2)</f>
        <v>0.67</v>
      </c>
      <c r="K50" s="43">
        <f>ROUND((('Net Interest Income'!K7*4/Balance!K7)-Rate!K7)*10000,2)</f>
        <v>-0.6</v>
      </c>
      <c r="L50" s="43">
        <f>ROUND((('Net Interest Income'!L7*4/Balance!L7)-Rate!L7)*10000,2)</f>
        <v>0</v>
      </c>
      <c r="M50" s="43">
        <f>ROUND((('Net Interest Income'!M7*4/Balance!M7)-Rate!M7)*10000,2)</f>
        <v>0</v>
      </c>
      <c r="N50" s="43">
        <f>ROUND((('Net Interest Income'!N7*4/Balance!N7)-Rate!N7)*10000,2)</f>
        <v>0</v>
      </c>
      <c r="O50" s="43">
        <f>ROUND((('Net Interest Income'!O7*4/Balance!O7)-Rate!O7)*10000,2)</f>
        <v>0</v>
      </c>
    </row>
    <row r="51" spans="1:15" x14ac:dyDescent="0.2">
      <c r="A51" s="19" t="s">
        <v>82</v>
      </c>
      <c r="B51" s="43">
        <f>ROUND((('Net Interest Income'!B8*4/Balance!B8)-Rate!B8)*10000,2)</f>
        <v>0.2</v>
      </c>
      <c r="C51" s="43">
        <f>ROUND((('Net Interest Income'!C8*4/Balance!C8)-Rate!C8)*10000,2)</f>
        <v>-0.76</v>
      </c>
      <c r="D51" s="43">
        <f>ROUND((('Net Interest Income'!D8*4/Balance!D8)-Rate!D8)*10000,2)</f>
        <v>-0.05</v>
      </c>
      <c r="E51" s="43">
        <f>ROUND((('Net Interest Income'!E8*4/Balance!E8)-Rate!E8)*10000,2)</f>
        <v>-0.47</v>
      </c>
      <c r="F51" s="43">
        <f>ROUND((('Net Interest Income'!F8*4/Balance!F8)-Rate!F8)*10000,2)</f>
        <v>0.09</v>
      </c>
      <c r="G51" s="43">
        <f>ROUND((('Net Interest Income'!G8*4/Balance!G8)-Rate!G8)*10000,2)</f>
        <v>-0.34</v>
      </c>
      <c r="H51" s="43">
        <f>ROUND((('Net Interest Income'!H8*4/Balance!H8)-Rate!H8)*10000,2)</f>
        <v>0.66</v>
      </c>
      <c r="I51" s="43">
        <f>ROUND((('Net Interest Income'!I8*4/Balance!I8)-Rate!I8)*10000,2)</f>
        <v>-0.41</v>
      </c>
      <c r="J51" s="43">
        <f>ROUND((('Net Interest Income'!J8*4/Balance!J8)-Rate!J8)*10000,2)</f>
        <v>0.01</v>
      </c>
      <c r="K51" s="43">
        <f>ROUND((('Net Interest Income'!K8*4/Balance!K8)-Rate!K8)*10000,2)</f>
        <v>0.46</v>
      </c>
      <c r="L51" s="43">
        <f>ROUND((('Net Interest Income'!L8*4/Balance!L8)-Rate!L8)*10000,2)</f>
        <v>0</v>
      </c>
      <c r="M51" s="43">
        <f>ROUND((('Net Interest Income'!M8*4/Balance!M8)-Rate!M8)*10000,2)</f>
        <v>0</v>
      </c>
      <c r="N51" s="43">
        <f>ROUND((('Net Interest Income'!N8*4/Balance!N8)-Rate!N8)*10000,2)</f>
        <v>0</v>
      </c>
      <c r="O51" s="43">
        <f>ROUND((('Net Interest Income'!O8*4/Balance!O8)-Rate!O8)*10000,2)</f>
        <v>0</v>
      </c>
    </row>
    <row r="52" spans="1:15" x14ac:dyDescent="0.2">
      <c r="A52" s="19" t="s">
        <v>83</v>
      </c>
      <c r="B52" s="43">
        <f>ROUND((('Net Interest Income'!B9*4/Balance!B9)-Rate!B9)*10000,2)</f>
        <v>0.43</v>
      </c>
      <c r="C52" s="43">
        <f>ROUND((('Net Interest Income'!C9*4/Balance!C9)-Rate!C9)*10000,2)</f>
        <v>0.38</v>
      </c>
      <c r="D52" s="43">
        <f>ROUND((('Net Interest Income'!D9*4/Balance!D9)-Rate!D9)*10000,2)</f>
        <v>0.28000000000000003</v>
      </c>
      <c r="E52" s="43">
        <f>ROUND((('Net Interest Income'!E9*4/Balance!E9)-Rate!E9)*10000,2)</f>
        <v>-0.39</v>
      </c>
      <c r="F52" s="43">
        <f>ROUND((('Net Interest Income'!F9*4/Balance!F9)-Rate!F9)*10000,2)</f>
        <v>0.44</v>
      </c>
      <c r="G52" s="43">
        <f>ROUND((('Net Interest Income'!G9*4/Balance!G9)-Rate!G9)*10000,2)</f>
        <v>-0.35</v>
      </c>
      <c r="H52" s="43">
        <f>ROUND((('Net Interest Income'!H9*4/Balance!H9)-Rate!H9)*10000,2)</f>
        <v>-0.31</v>
      </c>
      <c r="I52" s="43">
        <f>ROUND((('Net Interest Income'!I9*4/Balance!I9)-Rate!I9)*10000,2)</f>
        <v>0.09</v>
      </c>
      <c r="J52" s="43">
        <f>ROUND((('Net Interest Income'!J9*4/Balance!J9)-Rate!J9)*10000,2)</f>
        <v>-0.28000000000000003</v>
      </c>
      <c r="K52" s="43">
        <f>ROUND((('Net Interest Income'!K9*4/Balance!K9)-Rate!K9)*10000,2)</f>
        <v>0.49</v>
      </c>
      <c r="L52" s="43">
        <f>ROUND((('Net Interest Income'!L9*4/Balance!L9)-Rate!L9)*10000,2)</f>
        <v>0</v>
      </c>
      <c r="M52" s="43">
        <f>ROUND((('Net Interest Income'!M9*4/Balance!M9)-Rate!M9)*10000,2)</f>
        <v>0</v>
      </c>
      <c r="N52" s="43">
        <f>ROUND((('Net Interest Income'!N9*4/Balance!N9)-Rate!N9)*10000,2)</f>
        <v>0</v>
      </c>
      <c r="O52" s="43">
        <f>ROUND((('Net Interest Income'!O9*4/Balance!O9)-Rate!O9)*10000,2)</f>
        <v>0</v>
      </c>
    </row>
    <row r="53" spans="1:15" x14ac:dyDescent="0.2">
      <c r="A53" s="19" t="s">
        <v>84</v>
      </c>
      <c r="B53" s="43">
        <f>ROUND((('Net Interest Income'!B10*4/Balance!B10)-Rate!B10)*10000,2)</f>
        <v>0.45</v>
      </c>
      <c r="C53" s="43">
        <f>ROUND((('Net Interest Income'!C10*4/Balance!C10)-Rate!C10)*10000,2)</f>
        <v>0.02</v>
      </c>
      <c r="D53" s="43">
        <f>ROUND((('Net Interest Income'!D10*4/Balance!D10)-Rate!D10)*10000,2)</f>
        <v>-0.5</v>
      </c>
      <c r="E53" s="43">
        <f>ROUND((('Net Interest Income'!E10*4/Balance!E10)-Rate!E10)*10000,2)</f>
        <v>-0.11</v>
      </c>
      <c r="F53" s="43">
        <f>ROUND((('Net Interest Income'!F10*4/Balance!F10)-Rate!F10)*10000,2)</f>
        <v>0.22</v>
      </c>
      <c r="G53" s="43">
        <f>ROUND((('Net Interest Income'!G10*4/Balance!G10)-Rate!G10)*10000,2)</f>
        <v>-0.15</v>
      </c>
      <c r="H53" s="43">
        <f>ROUND((('Net Interest Income'!H10*4/Balance!H10)-Rate!H10)*10000,2)</f>
        <v>-0.54</v>
      </c>
      <c r="I53" s="43">
        <f>ROUND((('Net Interest Income'!I10*4/Balance!I10)-Rate!I10)*10000,2)</f>
        <v>0.47</v>
      </c>
      <c r="J53" s="43">
        <f>ROUND((('Net Interest Income'!J10*4/Balance!J10)-Rate!J10)*10000,2)</f>
        <v>0.4</v>
      </c>
      <c r="K53" s="43">
        <f>ROUND((('Net Interest Income'!K10*4/Balance!K10)-Rate!K10)*10000,2)</f>
        <v>0.12</v>
      </c>
      <c r="L53" s="43">
        <f>ROUND((('Net Interest Income'!L10*4/Balance!L10)-Rate!L10)*10000,2)</f>
        <v>0</v>
      </c>
      <c r="M53" s="43">
        <f>ROUND((('Net Interest Income'!M10*4/Balance!M10)-Rate!M10)*10000,2)</f>
        <v>0</v>
      </c>
      <c r="N53" s="43">
        <f>ROUND((('Net Interest Income'!N10*4/Balance!N10)-Rate!N10)*10000,2)</f>
        <v>0</v>
      </c>
      <c r="O53" s="43">
        <f>ROUND((('Net Interest Income'!O10*4/Balance!O10)-Rate!O10)*10000,2)</f>
        <v>0</v>
      </c>
    </row>
    <row r="54" spans="1:15" x14ac:dyDescent="0.2">
      <c r="A54" s="19" t="s">
        <v>85</v>
      </c>
      <c r="B54" s="43">
        <f>ROUND((('Net Interest Income'!B11*4/Balance!B11)-Rate!B11)*10000,2)</f>
        <v>-0.77</v>
      </c>
      <c r="C54" s="43">
        <f>ROUND((('Net Interest Income'!C11*4/Balance!C11)-Rate!C11)*10000,2)</f>
        <v>0.41</v>
      </c>
      <c r="D54" s="43">
        <f>ROUND((('Net Interest Income'!D11*4/Balance!D11)-Rate!D11)*10000,2)</f>
        <v>0.01</v>
      </c>
      <c r="E54" s="43">
        <f>ROUND((('Net Interest Income'!E11*4/Balance!E11)-Rate!E11)*10000,2)</f>
        <v>-0.16</v>
      </c>
      <c r="F54" s="43">
        <f>ROUND((('Net Interest Income'!F11*4/Balance!F11)-Rate!F11)*10000,2)</f>
        <v>1.23</v>
      </c>
      <c r="G54" s="43">
        <f>ROUND((('Net Interest Income'!G11*4/Balance!G11)-Rate!G11)*10000,2)</f>
        <v>-0.91</v>
      </c>
      <c r="H54" s="43">
        <f>ROUND((('Net Interest Income'!H11*4/Balance!H11)-Rate!H11)*10000,2)</f>
        <v>0.13</v>
      </c>
      <c r="I54" s="43">
        <f>ROUND((('Net Interest Income'!I11*4/Balance!I11)-Rate!I11)*10000,2)</f>
        <v>0.2</v>
      </c>
      <c r="J54" s="43">
        <f>ROUND((('Net Interest Income'!J11*4/Balance!J11)-Rate!J11)*10000,2)</f>
        <v>0.87</v>
      </c>
      <c r="K54" s="43">
        <f>ROUND((('Net Interest Income'!K11*4/Balance!K11)-Rate!K11)*10000,2)</f>
        <v>-0.04</v>
      </c>
      <c r="L54" s="43">
        <f>ROUND((('Net Interest Income'!L11*4/Balance!L11)-Rate!L11)*10000,2)</f>
        <v>0</v>
      </c>
      <c r="M54" s="43">
        <f>ROUND((('Net Interest Income'!M11*4/Balance!M11)-Rate!M11)*10000,2)</f>
        <v>0</v>
      </c>
      <c r="N54" s="43">
        <f>ROUND((('Net Interest Income'!N11*4/Balance!N11)-Rate!N11)*10000,2)</f>
        <v>0</v>
      </c>
      <c r="O54" s="43">
        <f>ROUND((('Net Interest Income'!O11*4/Balance!O11)-Rate!O11)*10000,2)</f>
        <v>0</v>
      </c>
    </row>
    <row r="55" spans="1:15" x14ac:dyDescent="0.2">
      <c r="A55" s="19" t="s">
        <v>86</v>
      </c>
      <c r="B55" s="43">
        <f>ROUND((('Net Interest Income'!B12*4/Balance!B12)-Rate!B12)*10000,2)</f>
        <v>0.51</v>
      </c>
      <c r="C55" s="43">
        <f>ROUND((('Net Interest Income'!C12*4/Balance!C12)-Rate!C12)*10000,2)</f>
        <v>-0.01</v>
      </c>
      <c r="D55" s="43">
        <f>ROUND((('Net Interest Income'!D12*4/Balance!D12)-Rate!D12)*10000,2)</f>
        <v>-0.42</v>
      </c>
      <c r="E55" s="43">
        <f>ROUND((('Net Interest Income'!E12*4/Balance!E12)-Rate!E12)*10000,2)</f>
        <v>0.34</v>
      </c>
      <c r="F55" s="43">
        <f>ROUND((('Net Interest Income'!F12*4/Balance!F12)-Rate!F12)*10000,2)</f>
        <v>0.39</v>
      </c>
      <c r="G55" s="43">
        <f>ROUND((('Net Interest Income'!G12*4/Balance!G12)-Rate!G12)*10000,2)</f>
        <v>-0.35</v>
      </c>
      <c r="H55" s="43">
        <f>ROUND((('Net Interest Income'!H12*4/Balance!H12)-Rate!H12)*10000,2)</f>
        <v>-0.18</v>
      </c>
      <c r="I55" s="43">
        <f>ROUND((('Net Interest Income'!I12*4/Balance!I12)-Rate!I12)*10000,2)</f>
        <v>0.34</v>
      </c>
      <c r="J55" s="43">
        <f>ROUND((('Net Interest Income'!J12*4/Balance!J12)-Rate!J12)*10000,2)</f>
        <v>-0.08</v>
      </c>
      <c r="K55" s="43">
        <f>ROUND((('Net Interest Income'!K12*4/Balance!K12)-Rate!K12)*10000,2)</f>
        <v>-0.3</v>
      </c>
      <c r="L55" s="43">
        <f>ROUND((('Net Interest Income'!L12*4/Balance!L12)-Rate!L12)*10000,2)</f>
        <v>0</v>
      </c>
      <c r="M55" s="43">
        <f>ROUND((('Net Interest Income'!M12*4/Balance!M12)-Rate!M12)*10000,2)</f>
        <v>0</v>
      </c>
      <c r="N55" s="43">
        <f>ROUND((('Net Interest Income'!N12*4/Balance!N12)-Rate!N12)*10000,2)</f>
        <v>0</v>
      </c>
      <c r="O55" s="43">
        <f>ROUND((('Net Interest Income'!O12*4/Balance!O12)-Rate!O12)*10000,2)</f>
        <v>0</v>
      </c>
    </row>
    <row r="56" spans="1:15" x14ac:dyDescent="0.2">
      <c r="A56" s="19" t="s">
        <v>87</v>
      </c>
      <c r="B56" s="43">
        <f>ROUND((('Net Interest Income'!B15*4/Balance!B15)-Rate!B15)*10000,2)</f>
        <v>0.42</v>
      </c>
      <c r="C56" s="43">
        <f>ROUND((('Net Interest Income'!C15*4/Balance!C15)-Rate!C15)*10000,2)</f>
        <v>-0.2</v>
      </c>
      <c r="D56" s="43">
        <f>ROUND((('Net Interest Income'!D15*4/Balance!D15)-Rate!D15)*10000,2)</f>
        <v>0.47</v>
      </c>
      <c r="E56" s="43">
        <f>ROUND((('Net Interest Income'!E15*4/Balance!E15)-Rate!E15)*10000,2)</f>
        <v>-0.46</v>
      </c>
      <c r="F56" s="43">
        <f>ROUND((('Net Interest Income'!F15*4/Balance!F15)-Rate!F15)*10000,2)</f>
        <v>0.21</v>
      </c>
      <c r="G56" s="43">
        <f>ROUND((('Net Interest Income'!G15*4/Balance!G15)-Rate!G15)*10000,2)</f>
        <v>0.38</v>
      </c>
      <c r="H56" s="43">
        <f>ROUND((('Net Interest Income'!H15*4/Balance!H15)-Rate!H15)*10000,2)</f>
        <v>0.01</v>
      </c>
      <c r="I56" s="43">
        <f>ROUND((('Net Interest Income'!I15*4/Balance!I15)-Rate!I15)*10000,2)</f>
        <v>0.21</v>
      </c>
      <c r="J56" s="43">
        <f>ROUND((('Net Interest Income'!J15*4/Balance!J15)-Rate!J15)*10000,2)</f>
        <v>-0.55000000000000004</v>
      </c>
      <c r="K56" s="43">
        <f>ROUND((('Net Interest Income'!K15*4/Balance!K15)-Rate!K15)*10000,2)</f>
        <v>0.36</v>
      </c>
      <c r="L56" s="43">
        <f>ROUND((('Net Interest Income'!L15*4/Balance!L15)-Rate!L15)*10000,2)</f>
        <v>0</v>
      </c>
      <c r="M56" s="43">
        <f>ROUND((('Net Interest Income'!M15*4/Balance!M15)-Rate!M15)*10000,2)</f>
        <v>0</v>
      </c>
      <c r="N56" s="43">
        <f>ROUND((('Net Interest Income'!N15*4/Balance!N15)-Rate!N15)*10000,2)</f>
        <v>0</v>
      </c>
      <c r="O56" s="43">
        <f>ROUND((('Net Interest Income'!O15*4/Balance!O15)-Rate!O15)*10000,2)</f>
        <v>0</v>
      </c>
    </row>
    <row r="57" spans="1:15" x14ac:dyDescent="0.2">
      <c r="A57" s="19" t="s">
        <v>88</v>
      </c>
      <c r="B57" s="43">
        <f>ROUND((('Net Interest Income'!B16*4/Balance!B16)-Rate!B16)*10000,2)</f>
        <v>-0.75</v>
      </c>
      <c r="C57" s="43">
        <f>ROUND((('Net Interest Income'!C16*4/Balance!C16)-Rate!C16)*10000,2)</f>
        <v>0.2</v>
      </c>
      <c r="D57" s="43">
        <f>ROUND((('Net Interest Income'!D16*4/Balance!D16)-Rate!D16)*10000,2)</f>
        <v>1.34</v>
      </c>
      <c r="E57" s="43">
        <f>ROUND((('Net Interest Income'!E16*4/Balance!E16)-Rate!E16)*10000,2)</f>
        <v>-0.4</v>
      </c>
      <c r="F57" s="43">
        <f>ROUND((('Net Interest Income'!F16*4/Balance!F16)-Rate!F16)*10000,2)</f>
        <v>0.33</v>
      </c>
      <c r="G57" s="43">
        <f>ROUND((('Net Interest Income'!G16*4/Balance!G16)-Rate!G16)*10000,2)</f>
        <v>0.34</v>
      </c>
      <c r="H57" s="43">
        <f>ROUND((('Net Interest Income'!H16*4/Balance!H16)-Rate!H16)*10000,2)</f>
        <v>-1.83</v>
      </c>
      <c r="I57" s="43">
        <f>ROUND((('Net Interest Income'!I16*4/Balance!I16)-Rate!I16)*10000,2)</f>
        <v>-0.4</v>
      </c>
      <c r="J57" s="43">
        <f>ROUND((('Net Interest Income'!J16*4/Balance!J16)-Rate!J16)*10000,2)</f>
        <v>1.71</v>
      </c>
      <c r="K57" s="43">
        <f>ROUND((('Net Interest Income'!K16*4/Balance!K16)-Rate!K16)*10000,2)</f>
        <v>-3.05</v>
      </c>
      <c r="L57" s="43">
        <f>ROUND((('Net Interest Income'!L16*4/Balance!L16)-Rate!L16)*10000,2)</f>
        <v>0</v>
      </c>
      <c r="M57" s="43">
        <f>ROUND((('Net Interest Income'!M16*4/Balance!M16)-Rate!M16)*10000,2)</f>
        <v>0</v>
      </c>
      <c r="N57" s="43">
        <f>ROUND((('Net Interest Income'!N16*4/Balance!N16)-Rate!N16)*10000,2)</f>
        <v>0</v>
      </c>
      <c r="O57" s="43">
        <f>ROUND((('Net Interest Income'!O16*4/Balance!O16)-Rate!O16)*10000,2)</f>
        <v>0</v>
      </c>
    </row>
    <row r="58" spans="1:15" x14ac:dyDescent="0.2">
      <c r="A58" s="19" t="s">
        <v>89</v>
      </c>
      <c r="B58" s="43">
        <f>ROUND((('Net Interest Income'!B17*4/Balance!B17)-Rate!B17)*10000,2)</f>
        <v>0.06</v>
      </c>
      <c r="C58" s="43">
        <f>ROUND((('Net Interest Income'!C17*4/Balance!C17)-Rate!C17)*10000,2)</f>
        <v>0.24</v>
      </c>
      <c r="D58" s="43">
        <f>ROUND((('Net Interest Income'!D17*4/Balance!D17)-Rate!D17)*10000,2)</f>
        <v>-1.28</v>
      </c>
      <c r="E58" s="43">
        <f>ROUND((('Net Interest Income'!E17*4/Balance!E17)-Rate!E17)*10000,2)</f>
        <v>-0.06</v>
      </c>
      <c r="F58" s="43">
        <f>ROUND((('Net Interest Income'!F17*4/Balance!F17)-Rate!F17)*10000,2)</f>
        <v>0.54</v>
      </c>
      <c r="G58" s="43">
        <f>ROUND((('Net Interest Income'!G17*4/Balance!G17)-Rate!G17)*10000,2)</f>
        <v>-0.88</v>
      </c>
      <c r="H58" s="43">
        <f>ROUND((('Net Interest Income'!H17*4/Balance!H17)-Rate!H17)*10000,2)</f>
        <v>1.05</v>
      </c>
      <c r="I58" s="43">
        <f>ROUND((('Net Interest Income'!I17*4/Balance!I17)-Rate!I17)*10000,2)</f>
        <v>0.39</v>
      </c>
      <c r="J58" s="43">
        <f>ROUND((('Net Interest Income'!J17*4/Balance!J17)-Rate!J17)*10000,2)</f>
        <v>-0.01</v>
      </c>
      <c r="K58" s="43">
        <f>ROUND((('Net Interest Income'!K17*4/Balance!K17)-Rate!K17)*10000,2)</f>
        <v>0.01</v>
      </c>
      <c r="L58" s="43">
        <f>ROUND((('Net Interest Income'!L17*4/Balance!L17)-Rate!L17)*10000,2)</f>
        <v>0</v>
      </c>
      <c r="M58" s="43">
        <f>ROUND((('Net Interest Income'!M17*4/Balance!M17)-Rate!M17)*10000,2)</f>
        <v>0</v>
      </c>
      <c r="N58" s="43">
        <f>ROUND((('Net Interest Income'!N17*4/Balance!N17)-Rate!N17)*10000,2)</f>
        <v>0</v>
      </c>
      <c r="O58" s="43">
        <f>ROUND((('Net Interest Income'!O17*4/Balance!O17)-Rate!O17)*10000,2)</f>
        <v>0</v>
      </c>
    </row>
    <row r="59" spans="1:15" x14ac:dyDescent="0.2">
      <c r="A59" s="19" t="s">
        <v>90</v>
      </c>
      <c r="B59" s="43">
        <f>ROUND((('Net Interest Income'!B18*4/Balance!B18)-Rate!B18)*10000,2)</f>
        <v>-2.4300000000000002</v>
      </c>
      <c r="C59" s="43">
        <f>ROUND((('Net Interest Income'!C18*4/Balance!C18)-Rate!C18)*10000,2)</f>
        <v>3.43</v>
      </c>
      <c r="D59" s="43">
        <f>ROUND((('Net Interest Income'!D18*4/Balance!D18)-Rate!D18)*10000,2)</f>
        <v>-1.08</v>
      </c>
      <c r="E59" s="43">
        <f>ROUND((('Net Interest Income'!E18*4/Balance!E18)-Rate!E18)*10000,2)</f>
        <v>-0.5</v>
      </c>
      <c r="F59" s="43">
        <f>ROUND((('Net Interest Income'!F18*4/Balance!F18)-Rate!F18)*10000,2)</f>
        <v>-9.44</v>
      </c>
      <c r="G59" s="43">
        <f>ROUND((('Net Interest Income'!G18*4/Balance!G18)-Rate!G18)*10000,2)</f>
        <v>2.86</v>
      </c>
      <c r="H59" s="43">
        <f>ROUND((('Net Interest Income'!H18*4/Balance!H18)-Rate!H18)*10000,2)</f>
        <v>0.69</v>
      </c>
      <c r="I59" s="43">
        <f>ROUND((('Net Interest Income'!I18*4/Balance!I18)-Rate!I18)*10000,2)</f>
        <v>-0.47</v>
      </c>
      <c r="J59" s="43">
        <f>ROUND((('Net Interest Income'!J18*4/Balance!J18)-Rate!J18)*10000,2)</f>
        <v>-1.29</v>
      </c>
      <c r="K59" s="43">
        <f>ROUND((('Net Interest Income'!K18*4/Balance!K18)-Rate!K18)*10000,2)</f>
        <v>9.99</v>
      </c>
      <c r="L59" s="43">
        <f>ROUND((('Net Interest Income'!L18*4/Balance!L18)-Rate!L18)*10000,2)</f>
        <v>0</v>
      </c>
      <c r="M59" s="43">
        <f>ROUND((('Net Interest Income'!M18*4/Balance!M18)-Rate!M18)*10000,2)</f>
        <v>0</v>
      </c>
      <c r="N59" s="43">
        <f>ROUND((('Net Interest Income'!N18*4/Balance!N18)-Rate!N18)*10000,2)</f>
        <v>0</v>
      </c>
      <c r="O59" s="43">
        <f>ROUND((('Net Interest Income'!O18*4/Balance!O18)-Rate!O18)*10000,2)</f>
        <v>0</v>
      </c>
    </row>
    <row r="60" spans="1:15" x14ac:dyDescent="0.2">
      <c r="A60" s="19" t="s">
        <v>91</v>
      </c>
      <c r="B60" s="43">
        <f>ROUND((('Net Interest Income'!B19*4/Balance!B19)-Rate!B19)*10000,2)</f>
        <v>-0.48</v>
      </c>
      <c r="C60" s="43">
        <f>ROUND((('Net Interest Income'!C19*4/Balance!C19)-Rate!C19)*10000,2)</f>
        <v>-0.1</v>
      </c>
      <c r="D60" s="43">
        <f>ROUND((('Net Interest Income'!D19*4/Balance!D19)-Rate!D19)*10000,2)</f>
        <v>0.33</v>
      </c>
      <c r="E60" s="43">
        <f>ROUND((('Net Interest Income'!E19*4/Balance!E19)-Rate!E19)*10000,2)</f>
        <v>0.19</v>
      </c>
      <c r="F60" s="43">
        <f>ROUND((('Net Interest Income'!F19*4/Balance!F19)-Rate!F19)*10000,2)</f>
        <v>-0.12</v>
      </c>
      <c r="G60" s="43">
        <f>ROUND((('Net Interest Income'!G19*4/Balance!G19)-Rate!G19)*10000,2)</f>
        <v>-0.12</v>
      </c>
      <c r="H60" s="43">
        <f>ROUND((('Net Interest Income'!H19*4/Balance!H19)-Rate!H19)*10000,2)</f>
        <v>-0.13</v>
      </c>
      <c r="I60" s="43">
        <f>ROUND((('Net Interest Income'!I19*4/Balance!I19)-Rate!I19)*10000,2)</f>
        <v>0.09</v>
      </c>
      <c r="J60" s="43">
        <f>ROUND((('Net Interest Income'!J19*4/Balance!J19)-Rate!J19)*10000,2)</f>
        <v>0.49</v>
      </c>
      <c r="K60" s="43">
        <f>ROUND((('Net Interest Income'!K19*4/Balance!K19)-Rate!K19)*10000,2)</f>
        <v>-0.28999999999999998</v>
      </c>
      <c r="L60" s="43">
        <f>ROUND((('Net Interest Income'!L19*4/Balance!L19)-Rate!L19)*10000,2)</f>
        <v>0</v>
      </c>
      <c r="M60" s="43">
        <f>ROUND((('Net Interest Income'!M19*4/Balance!M19)-Rate!M19)*10000,2)</f>
        <v>0</v>
      </c>
      <c r="N60" s="43">
        <f>ROUND((('Net Interest Income'!N19*4/Balance!N19)-Rate!N19)*10000,2)</f>
        <v>0</v>
      </c>
      <c r="O60" s="43">
        <f>ROUND((('Net Interest Income'!O19*4/Balance!O19)-Rate!O19)*10000,2)</f>
        <v>0</v>
      </c>
    </row>
    <row r="61" spans="1:15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1:15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1:15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1:15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1:15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5" x14ac:dyDescent="0.2"/>
  <cols>
    <col min="1" max="1" width="48" customWidth="1"/>
    <col min="2" max="14" width="12" customWidth="1"/>
  </cols>
  <sheetData>
    <row r="1" spans="1:14" ht="18" x14ac:dyDescent="0.2">
      <c r="A1" s="23" t="s">
        <v>128</v>
      </c>
    </row>
    <row r="2" spans="1:14" ht="28" customHeight="1" x14ac:dyDescent="0.2">
      <c r="A2" s="25" t="s">
        <v>129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spans="1:14" x14ac:dyDescent="0.2">
      <c r="A4" s="45" t="s">
        <v>130</v>
      </c>
      <c r="B4" s="45" t="s">
        <v>131</v>
      </c>
      <c r="C4" s="46" t="s">
        <v>132</v>
      </c>
      <c r="D4" s="46" t="s">
        <v>133</v>
      </c>
      <c r="E4" s="46" t="s">
        <v>134</v>
      </c>
      <c r="F4" s="46" t="s">
        <v>135</v>
      </c>
      <c r="G4" s="46" t="s">
        <v>136</v>
      </c>
      <c r="H4" s="46" t="s">
        <v>137</v>
      </c>
      <c r="I4" s="46" t="s">
        <v>138</v>
      </c>
      <c r="J4" s="46" t="s">
        <v>139</v>
      </c>
      <c r="K4" s="46" t="s">
        <v>140</v>
      </c>
      <c r="L4" s="46" t="s">
        <v>141</v>
      </c>
      <c r="M4" s="46" t="s">
        <v>142</v>
      </c>
      <c r="N4" s="46" t="s">
        <v>143</v>
      </c>
    </row>
    <row r="5" spans="1:14" x14ac:dyDescent="0.2">
      <c r="A5" s="19" t="s">
        <v>144</v>
      </c>
      <c r="B5" s="49">
        <v>4.33</v>
      </c>
      <c r="C5" s="50">
        <v>4.3049999999999997</v>
      </c>
      <c r="D5" s="50">
        <v>4.2799999999999994</v>
      </c>
      <c r="E5" s="50">
        <v>4.254999999999999</v>
      </c>
      <c r="F5" s="50">
        <v>4.2299999999999986</v>
      </c>
      <c r="G5" s="50">
        <v>4.2049999999999983</v>
      </c>
      <c r="H5" s="50">
        <v>4.1799999999999979</v>
      </c>
      <c r="I5" s="50">
        <v>4.1549999999999976</v>
      </c>
      <c r="J5" s="50">
        <v>4.1299999999999972</v>
      </c>
      <c r="K5" s="50">
        <v>4.1049999999999969</v>
      </c>
      <c r="L5" s="50">
        <v>4.0799999999999965</v>
      </c>
      <c r="M5" s="50">
        <v>4.0549999999999962</v>
      </c>
      <c r="N5" s="50">
        <v>4.0299999999999958</v>
      </c>
    </row>
    <row r="6" spans="1:14" x14ac:dyDescent="0.2">
      <c r="A6" s="19" t="s">
        <v>145</v>
      </c>
      <c r="B6" s="49">
        <v>3.96</v>
      </c>
      <c r="C6" s="50">
        <v>3.9116666666666666</v>
      </c>
      <c r="D6" s="50">
        <v>3.8633333333333333</v>
      </c>
      <c r="E6" s="50">
        <v>3.8149999999999999</v>
      </c>
      <c r="F6" s="50">
        <v>3.7666666666666666</v>
      </c>
      <c r="G6" s="50">
        <v>3.7183333333333333</v>
      </c>
      <c r="H6" s="50">
        <v>3.67</v>
      </c>
      <c r="I6" s="50">
        <v>3.6216666666666666</v>
      </c>
      <c r="J6" s="50">
        <v>3.5733333333333333</v>
      </c>
      <c r="K6" s="50">
        <v>3.5249999999999999</v>
      </c>
      <c r="L6" s="50">
        <v>3.4766666666666666</v>
      </c>
      <c r="M6" s="50">
        <v>3.4283333333333332</v>
      </c>
      <c r="N6" s="50">
        <v>3.38</v>
      </c>
    </row>
    <row r="7" spans="1:14" x14ac:dyDescent="0.2">
      <c r="A7" s="19" t="s">
        <v>146</v>
      </c>
      <c r="B7" s="49">
        <v>4.38</v>
      </c>
      <c r="C7" s="50">
        <v>4.378333333333333</v>
      </c>
      <c r="D7" s="50">
        <v>4.376666666666666</v>
      </c>
      <c r="E7" s="50">
        <v>4.3749999999999991</v>
      </c>
      <c r="F7" s="50">
        <v>4.3733333333333322</v>
      </c>
      <c r="G7" s="50">
        <v>4.3716666666666653</v>
      </c>
      <c r="H7" s="50">
        <v>4.3699999999999983</v>
      </c>
      <c r="I7" s="50">
        <v>4.3683333333333314</v>
      </c>
      <c r="J7" s="50">
        <v>4.3666666666666645</v>
      </c>
      <c r="K7" s="50">
        <v>4.3649999999999975</v>
      </c>
      <c r="L7" s="50">
        <v>4.3633333333333306</v>
      </c>
      <c r="M7" s="50">
        <v>4.3616666666666637</v>
      </c>
      <c r="N7" s="50">
        <v>4.3599999999999968</v>
      </c>
    </row>
    <row r="8" spans="1:14" x14ac:dyDescent="0.2">
      <c r="A8" s="19" t="s">
        <v>147</v>
      </c>
      <c r="B8" s="49">
        <v>7.5</v>
      </c>
      <c r="C8" s="50">
        <v>7.4749999999999996</v>
      </c>
      <c r="D8" s="50">
        <v>7.4499999999999993</v>
      </c>
      <c r="E8" s="50">
        <v>7.4249999999999989</v>
      </c>
      <c r="F8" s="50">
        <v>7.3999999999999986</v>
      </c>
      <c r="G8" s="50">
        <v>7.3749999999999982</v>
      </c>
      <c r="H8" s="50">
        <v>7.3499999999999979</v>
      </c>
      <c r="I8" s="50">
        <v>7.3249999999999975</v>
      </c>
      <c r="J8" s="50">
        <v>7.2999999999999972</v>
      </c>
      <c r="K8" s="50">
        <v>7.2749999999999968</v>
      </c>
      <c r="L8" s="50">
        <v>7.2499999999999964</v>
      </c>
      <c r="M8" s="50">
        <v>7.2249999999999961</v>
      </c>
      <c r="N8" s="50">
        <v>7.1999999999999957</v>
      </c>
    </row>
    <row r="9" spans="1:14" x14ac:dyDescent="0.2">
      <c r="A9" s="19" t="s">
        <v>148</v>
      </c>
      <c r="B9" s="49">
        <v>327.01100000000002</v>
      </c>
      <c r="C9" s="50">
        <v>326.95300000000003</v>
      </c>
      <c r="D9" s="50">
        <v>326.89500000000004</v>
      </c>
      <c r="E9" s="50">
        <v>326.83700000000005</v>
      </c>
      <c r="F9" s="50">
        <v>326.77900000000005</v>
      </c>
      <c r="G9" s="50">
        <v>326.72100000000006</v>
      </c>
      <c r="H9" s="50">
        <v>326.66300000000007</v>
      </c>
      <c r="I9" s="50">
        <v>326.60500000000008</v>
      </c>
      <c r="J9" s="50">
        <v>326.54700000000008</v>
      </c>
      <c r="K9" s="50">
        <v>326.48900000000009</v>
      </c>
      <c r="L9" s="50">
        <v>326.4310000000001</v>
      </c>
      <c r="M9" s="50">
        <v>326.3730000000001</v>
      </c>
      <c r="N9" s="50">
        <v>326.31500000000011</v>
      </c>
    </row>
    <row r="10" spans="1:14" x14ac:dyDescent="0.2">
      <c r="A10" s="19" t="s">
        <v>149</v>
      </c>
      <c r="B10" s="49">
        <v>6.8174999999999999</v>
      </c>
      <c r="C10" s="50">
        <v>6.815833333333333</v>
      </c>
      <c r="D10" s="50">
        <v>6.814166666666666</v>
      </c>
      <c r="E10" s="50">
        <v>6.8124999999999991</v>
      </c>
      <c r="F10" s="50">
        <v>6.8108333333333322</v>
      </c>
      <c r="G10" s="50">
        <v>6.8091666666666653</v>
      </c>
      <c r="H10" s="50">
        <v>6.8074999999999983</v>
      </c>
      <c r="I10" s="50">
        <v>6.8058333333333314</v>
      </c>
      <c r="J10" s="50">
        <v>6.8041666666666645</v>
      </c>
      <c r="K10" s="50">
        <v>6.8024999999999975</v>
      </c>
      <c r="L10" s="50">
        <v>6.8008333333333306</v>
      </c>
      <c r="M10" s="50">
        <v>6.7991666666666637</v>
      </c>
      <c r="N10" s="50">
        <v>6.7974999999999968</v>
      </c>
    </row>
    <row r="11" spans="1:14" x14ac:dyDescent="0.2">
      <c r="A11" s="19" t="s">
        <v>150</v>
      </c>
      <c r="B11" s="49">
        <v>4.0999999999999996</v>
      </c>
      <c r="C11" s="50">
        <v>4.0999999999999996</v>
      </c>
      <c r="D11" s="50">
        <v>4.0999999999999996</v>
      </c>
      <c r="E11" s="50">
        <v>4.0999999999999996</v>
      </c>
      <c r="F11" s="50">
        <v>4.0999999999999996</v>
      </c>
      <c r="G11" s="50">
        <v>4.0999999999999996</v>
      </c>
      <c r="H11" s="50">
        <v>4.0999999999999996</v>
      </c>
      <c r="I11" s="50">
        <v>4.0999999999999996</v>
      </c>
      <c r="J11" s="50">
        <v>4.0999999999999996</v>
      </c>
      <c r="K11" s="50">
        <v>4.0999999999999996</v>
      </c>
      <c r="L11" s="50">
        <v>4.0999999999999996</v>
      </c>
      <c r="M11" s="50">
        <v>4.0999999999999996</v>
      </c>
      <c r="N11" s="50">
        <v>4.0999999999999996</v>
      </c>
    </row>
    <row r="12" spans="1:14" x14ac:dyDescent="0.2">
      <c r="A12" s="19" t="s">
        <v>151</v>
      </c>
      <c r="B12" s="51">
        <v>158478</v>
      </c>
      <c r="C12" s="52">
        <v>158505</v>
      </c>
      <c r="D12" s="52">
        <v>158532</v>
      </c>
      <c r="E12" s="52">
        <v>158559</v>
      </c>
      <c r="F12" s="52">
        <v>158586</v>
      </c>
      <c r="G12" s="52">
        <v>158613</v>
      </c>
      <c r="H12" s="52">
        <v>158640</v>
      </c>
      <c r="I12" s="52">
        <v>158667</v>
      </c>
      <c r="J12" s="52">
        <v>158694</v>
      </c>
      <c r="K12" s="52">
        <v>158721</v>
      </c>
      <c r="L12" s="52">
        <v>158748</v>
      </c>
      <c r="M12" s="52">
        <v>158775</v>
      </c>
      <c r="N12" s="52">
        <v>158802</v>
      </c>
    </row>
    <row r="13" spans="1:14" x14ac:dyDescent="0.2">
      <c r="A13" s="19" t="s">
        <v>152</v>
      </c>
      <c r="B13" s="49">
        <v>1.1037999999999999</v>
      </c>
      <c r="C13" s="50">
        <v>1.1206166666666666</v>
      </c>
      <c r="D13" s="50">
        <v>1.1374333333333333</v>
      </c>
      <c r="E13" s="50">
        <v>1.15425</v>
      </c>
      <c r="F13" s="50">
        <v>1.1710666666666667</v>
      </c>
      <c r="G13" s="50">
        <v>1.1878833333333334</v>
      </c>
      <c r="H13" s="50">
        <v>1.2047000000000001</v>
      </c>
      <c r="I13" s="50">
        <v>1.2215166666666668</v>
      </c>
      <c r="J13" s="50">
        <v>1.2383333333333335</v>
      </c>
      <c r="K13" s="50">
        <v>1.2551500000000002</v>
      </c>
      <c r="L13" s="50">
        <v>1.2719666666666669</v>
      </c>
      <c r="M13" s="50">
        <v>1.2887833333333336</v>
      </c>
      <c r="N13" s="50">
        <v>1.3056000000000003</v>
      </c>
    </row>
    <row r="14" spans="1:14" x14ac:dyDescent="0.2">
      <c r="A14" s="19" t="s">
        <v>153</v>
      </c>
      <c r="B14" s="49">
        <v>21.16</v>
      </c>
      <c r="C14" s="50"/>
      <c r="D14" s="50">
        <v>21.072499999999998</v>
      </c>
      <c r="E14" s="50"/>
      <c r="F14" s="50"/>
      <c r="G14" s="50">
        <v>20.984999999999999</v>
      </c>
      <c r="H14" s="50"/>
      <c r="I14" s="50"/>
      <c r="J14" s="50">
        <v>20.897500000000001</v>
      </c>
      <c r="K14" s="50"/>
      <c r="L14" s="50"/>
      <c r="M14" s="50">
        <v>20.810000000000002</v>
      </c>
      <c r="N14" s="50"/>
    </row>
    <row r="15" spans="1:14" x14ac:dyDescent="0.2">
      <c r="A15" s="19" t="s">
        <v>154</v>
      </c>
      <c r="B15" s="53">
        <f>B14</f>
        <v>21.16</v>
      </c>
      <c r="C15" s="54">
        <f t="shared" ref="C15:N15" si="0">IF(ISNUMBER(C14),C14,B15)</f>
        <v>21.16</v>
      </c>
      <c r="D15" s="54">
        <f t="shared" si="0"/>
        <v>21.072499999999998</v>
      </c>
      <c r="E15" s="54">
        <f t="shared" si="0"/>
        <v>21.072499999999998</v>
      </c>
      <c r="F15" s="54">
        <f t="shared" si="0"/>
        <v>21.072499999999998</v>
      </c>
      <c r="G15" s="54">
        <f t="shared" si="0"/>
        <v>20.984999999999999</v>
      </c>
      <c r="H15" s="54">
        <f t="shared" si="0"/>
        <v>20.984999999999999</v>
      </c>
      <c r="I15" s="54">
        <f t="shared" si="0"/>
        <v>20.984999999999999</v>
      </c>
      <c r="J15" s="54">
        <f t="shared" si="0"/>
        <v>20.897500000000001</v>
      </c>
      <c r="K15" s="54">
        <f t="shared" si="0"/>
        <v>20.897500000000001</v>
      </c>
      <c r="L15" s="54">
        <f t="shared" si="0"/>
        <v>20.897500000000001</v>
      </c>
      <c r="M15" s="54">
        <f t="shared" si="0"/>
        <v>20.810000000000002</v>
      </c>
      <c r="N15" s="54">
        <f t="shared" si="0"/>
        <v>20.810000000000002</v>
      </c>
    </row>
    <row r="17" spans="1:2" x14ac:dyDescent="0.2">
      <c r="A17" s="48" t="s">
        <v>155</v>
      </c>
      <c r="B17" s="48"/>
    </row>
    <row r="18" spans="1:2" x14ac:dyDescent="0.2">
      <c r="A18" s="19" t="s">
        <v>156</v>
      </c>
      <c r="B18" s="38">
        <f>'Monthly EOP Balance'!AF11/'Monthly EOP Balance'!AF15</f>
        <v>0.13987656480347818</v>
      </c>
    </row>
    <row r="19" spans="1:2" x14ac:dyDescent="0.2">
      <c r="A19" s="19" t="s">
        <v>157</v>
      </c>
      <c r="B19" s="55">
        <v>5.0000000000000001E-3</v>
      </c>
    </row>
    <row r="20" spans="1:2" x14ac:dyDescent="0.2">
      <c r="A20" s="19" t="s">
        <v>158</v>
      </c>
      <c r="B20" s="38">
        <f>'Monthly Rate'!AE15/(B5/100)</f>
        <v>0.7467151258190905</v>
      </c>
    </row>
    <row r="21" spans="1:2" x14ac:dyDescent="0.2">
      <c r="A21" s="19" t="s">
        <v>159</v>
      </c>
      <c r="B21" s="38">
        <f>'Monthly Rate'!AE6-(B15/100)</f>
        <v>-3.4857580628510076E-2</v>
      </c>
    </row>
    <row r="22" spans="1:2" x14ac:dyDescent="0.2">
      <c r="A22" s="19" t="s">
        <v>160</v>
      </c>
      <c r="B22" s="38">
        <f>'Monthly Rate'!AE7-(B10/100)</f>
        <v>2.7031446303912243E-2</v>
      </c>
    </row>
    <row r="23" spans="1:2" x14ac:dyDescent="0.2">
      <c r="A23" s="19" t="s">
        <v>161</v>
      </c>
      <c r="B23" s="38">
        <f>'Monthly Rate'!AE8-(B8/100)</f>
        <v>-9.2749295169906737E-3</v>
      </c>
    </row>
    <row r="24" spans="1:2" x14ac:dyDescent="0.2">
      <c r="A24" s="19" t="s">
        <v>162</v>
      </c>
      <c r="B24" s="38">
        <f>'Monthly Rate'!AE10-(B6/100)</f>
        <v>-6.7413153951738775E-3</v>
      </c>
    </row>
    <row r="25" spans="1:2" x14ac:dyDescent="0.2">
      <c r="A25" s="19" t="s">
        <v>163</v>
      </c>
      <c r="B25" s="38">
        <f>'Monthly Rate'!AE11-(B5/100)</f>
        <v>1.8326007187082216E-3</v>
      </c>
    </row>
    <row r="26" spans="1:2" x14ac:dyDescent="0.2">
      <c r="A26" s="19" t="s">
        <v>164</v>
      </c>
      <c r="B26" s="38">
        <f>'Monthly Rate'!AE16-(B6/100)</f>
        <v>1.168010338770599E-2</v>
      </c>
    </row>
    <row r="27" spans="1:2" x14ac:dyDescent="0.2">
      <c r="A27" s="19" t="s">
        <v>165</v>
      </c>
      <c r="B27" s="38">
        <f>'Monthly Rate'!AE17-(B6/100)-(B13/100)</f>
        <v>1.4394057687132068E-2</v>
      </c>
    </row>
    <row r="28" spans="1:2" x14ac:dyDescent="0.2">
      <c r="A28" s="19" t="s">
        <v>166</v>
      </c>
      <c r="B28" s="38">
        <f>'Monthly Rate'!AE18-(B5/100)</f>
        <v>-2.7357695957487188E-2</v>
      </c>
    </row>
    <row r="30" spans="1:2" ht="36" customHeight="1" x14ac:dyDescent="0.2">
      <c r="A30" s="25" t="s">
        <v>167</v>
      </c>
    </row>
    <row r="31" spans="1:2" ht="36" customHeight="1" x14ac:dyDescent="0.2">
      <c r="A31" s="25" t="s">
        <v>168</v>
      </c>
    </row>
    <row r="32" spans="1:2" ht="36" customHeight="1" x14ac:dyDescent="0.2">
      <c r="A32" s="2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Balance</vt:lpstr>
      <vt:lpstr>Rate</vt:lpstr>
      <vt:lpstr>Net Interest Income</vt:lpstr>
      <vt:lpstr>Notes &amp; Sources</vt:lpstr>
      <vt:lpstr>Quarter-End Anchors</vt:lpstr>
      <vt:lpstr>Monthly EOP Balance</vt:lpstr>
      <vt:lpstr>Monthly Avg Balance</vt:lpstr>
      <vt:lpstr>Monthly NII</vt:lpstr>
      <vt:lpstr>Monthly Rate</vt:lpstr>
      <vt:lpstr>Monthly Checks</vt:lpstr>
      <vt:lpstr>Forecast 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Box</cp:lastModifiedBy>
  <dcterms:created xsi:type="dcterms:W3CDTF">2026-10-07T01:45:41Z</dcterms:created>
  <dcterms:modified xsi:type="dcterms:W3CDTF">2026-10-24T08:03:24Z</dcterms:modified>
</cp:coreProperties>
</file>