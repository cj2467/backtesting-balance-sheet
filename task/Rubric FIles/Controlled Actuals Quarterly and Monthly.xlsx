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acc6cecf0d400b" /></Relationships>
</file>

<file path=xl/workbook.xml><?xml version="1.0" encoding="utf-8"?>
<x:workbook xmlns:x="http://schemas.openxmlformats.org/spreadsheetml/2006/main">
  <x:sheets>
    <x:sheet xmlns:r="http://schemas.openxmlformats.org/officeDocument/2006/relationships" name="Balance" sheetId="1" r:id="Ra475cd7497404e24"/>
    <x:sheet xmlns:r="http://schemas.openxmlformats.org/officeDocument/2006/relationships" name="Rate" sheetId="2" r:id="Rc6967b41f1d84f10"/>
    <x:sheet xmlns:r="http://schemas.openxmlformats.org/officeDocument/2006/relationships" name="Net Interest Income" sheetId="3" r:id="R099012e79d974a47"/>
    <x:sheet xmlns:r="http://schemas.openxmlformats.org/officeDocument/2006/relationships" name="Notes &amp; Sources" sheetId="4" r:id="Rbbe20819c75b4f12"/>
    <x:sheet xmlns:r="http://schemas.openxmlformats.org/officeDocument/2006/relationships" name="Quarter-End Anchors" sheetId="5" r:id="R584a1c605efb4563"/>
    <x:sheet xmlns:r="http://schemas.openxmlformats.org/officeDocument/2006/relationships" name="Monthly EOP Balance" sheetId="6" r:id="Rc5975ded10cc4632"/>
    <x:sheet xmlns:r="http://schemas.openxmlformats.org/officeDocument/2006/relationships" name="Monthly Avg Balance" sheetId="7" r:id="Ref73f194790a4775"/>
    <x:sheet xmlns:r="http://schemas.openxmlformats.org/officeDocument/2006/relationships" name="Monthly NII" sheetId="8" r:id="R050fd97117204651"/>
    <x:sheet xmlns:r="http://schemas.openxmlformats.org/officeDocument/2006/relationships" name="Monthly Rate" sheetId="9" r:id="Ra7342d5f9629488f"/>
    <x:sheet xmlns:r="http://schemas.openxmlformats.org/officeDocument/2006/relationships" name="Monthly Checks" sheetId="10" r:id="R1cb95ff0f1c646e1"/>
  </x:sheets>
</x:workbook>
</file>

<file path=xl/sharedStrings.xml><?xml version="1.0" encoding="utf-8"?>
<x:sst xmlns:x="http://schemas.openxmlformats.org/spreadsheetml/2006/main">
  <x:si>
    <x:t xml:space="preserve">Capital One — Average Balance by line item ($mm)</x:t>
  </x:si>
  <x:si>
    <x:t xml:space="preserve">AVERAGE balance over the quarter, not period-end — will not tie to the balance sheet. Column header is the quarter-end date. (D) = Q4 derived as (FY avg x12 − 9M avg x9)/3. Source: COF 10-Q/10-K average balance table.</x:t>
  </x:si>
  <x:si>
    <x:t xml:space="preserve">Line item (as disclosed)</x:t>
  </x:si>
  <x:si>
    <x:t xml:space="preserve">2023-03-31</x:t>
  </x:si>
  <x:si>
    <x:t xml:space="preserve">2023-06-30</x:t>
  </x:si>
  <x:si>
    <x:t xml:space="preserve">2023-09-30</x:t>
  </x:si>
  <x:si>
    <x:t xml:space="preserve">2023-12-31 (D)</x:t>
  </x:si>
  <x:si>
    <x:t xml:space="preserve">2024-03-31</x:t>
  </x:si>
  <x:si>
    <x:t xml:space="preserve">2024-06-30</x:t>
  </x:si>
  <x:si>
    <x:t xml:space="preserve">2024-09-30</x:t>
  </x:si>
  <x:si>
    <x:t xml:space="preserve">2024-12-31 (D)</x:t>
  </x:si>
  <x:si>
    <x:t xml:space="preserve">2025-03-31</x:t>
  </x:si>
  <x:si>
    <x:t xml:space="preserve">2025-06-30</x:t>
  </x:si>
  <x:si>
    <x:t xml:space="preserve">2025-09-30</x:t>
  </x:si>
  <x:si>
    <x:t xml:space="preserve">2025-12-31 (D)</x:t>
  </x:si>
  <x:si>
    <x:t xml:space="preserve">2026-03-31</x:t>
  </x:si>
  <x:si>
    <x:t xml:space="preserve">2026-06-30</x:t>
  </x:si>
  <x:si>
    <x:t xml:space="preserve">INTEREST-EARNING ASSETS</x:t>
  </x:si>
  <x:si>
    <x:t xml:space="preserve">  Credit card</x:t>
  </x:si>
  <x:si>
    <x:t xml:space="preserve">  Consumer banking</x:t>
  </x:si>
  <x:si>
    <x:t xml:space="preserve">  Commercial banking</x:t>
  </x:si>
  <x:si>
    <x:t xml:space="preserve">  Total loans (incl. HFS)</x:t>
  </x:si>
  <x:si>
    <x:t xml:space="preserve">  Investment securities</x:t>
  </x:si>
  <x:si>
    <x:t xml:space="preserve">  Cash equivalents and other</x:t>
  </x:si>
  <x:si>
    <x:t xml:space="preserve">  Total interest-earning assets</x:t>
  </x:si>
  <x:si>
    <x:t xml:space="preserve">INTEREST-BEARING LIABILITIES</x:t>
  </x:si>
  <x:si>
    <x:t xml:space="preserve">  Interest-bearing deposits</x:t>
  </x:si>
  <x:si>
    <x:t xml:space="preserve">  Securitized debt obligations</x:t>
  </x:si>
  <x:si>
    <x:t xml:space="preserve">  Senior and subordinated notes</x:t>
  </x:si>
  <x:si>
    <x:t xml:space="preserve">  Other borrowings</x:t>
  </x:si>
  <x:si>
    <x:t xml:space="preserve">  Total interest-bearing liabilities</x:t>
  </x:si>
  <x:si>
    <x:t xml:space="preserve">Net earning assets (assets − liabilities)</x:t>
  </x:si>
  <x:si>
    <x:t xml:space="preserve">Capital One — Average Yield / Rate by line item (annualised)</x:t>
  </x:si>
  <x:si>
    <x:t xml:space="preserve">Annualised yield on assets and cost of funds on liabilities, as disclosed. (D) = Q4 recomputed as derived interest / derived balance x4; rates cannot be derived by subtraction. Stored as fractions.</x:t>
  </x:si>
  <x:si>
    <x:t xml:space="preserve">Net interest spread (asset yield − funding cost)</x:t>
  </x:si>
  <x:si>
    <x:t xml:space="preserve">Net interest margin (NII / avg earning assets)</x:t>
  </x:si>
  <x:si>
    <x:t xml:space="preserve">Capital One — Interest Income / Expense by line item ($mm, quarterly)</x:t>
  </x:si>
  <x:si>
    <x:t xml:space="preserve">Interest income on assets, interest expense on liabilities, as disclosed (expense shown positive). NII = total interest income − total interest expense. (D) = Q4 derived as FY − 9M; interest is additive so this is exact.</x:t>
  </x:si>
  <x:si>
    <x:t xml:space="preserve">NET INTEREST INCOME</x:t>
  </x:si>
  <x:si>
    <x:t xml:space="preserve">CHECK: NII vs income statement (flows.csv)</x:t>
  </x:si>
  <x:si>
    <x:t xml:space="preserve">  Income statement NII (XBRL)</x:t>
  </x:si>
  <x:si>
    <x:t xml:space="preserve">  Difference</x:t>
  </x:si>
  <x:si>
    <x:t xml:space="preserve">Blue = as disclosed. Green = from the XBRL income statement (independent source). Black = formula. Difference should be zero: the MD&amp;A average-balance table and the income statement must agree on NII.</x:t>
  </x:si>
  <x:si>
    <x:t xml:space="preserve">Balance / Rate / Net Interest Income — Capital One</x:t>
  </x:si>
  <x:si>
    <x:t xml:space="preserve">ON "GL ACCOUNTS"</x:t>
  </x:si>
  <x:si>
    <x:t xml:space="preserve">SEC filings do not expose a general ledger. These rows are the line items Capital One discloses in its average-balance table — the finest account-level granularity available externally. They are groupings, not GL account numbers.</x:t>
  </x:si>
  <x:si>
    <x:t xml:space="preserve">WHAT EACH TABLE HOLDS</x:t>
  </x:si>
  <x:si>
    <x:t xml:space="preserve">Balance — AVERAGE balance over the quarter, in $mm. Not period-end; it will not tie to the balance sheet.</x:t>
  </x:si>
  <x:si>
    <x:t xml:space="preserve">Rate — annualised yield (assets) and cost of funds (liabilities), stored as fractions and displayed as percentages.</x:t>
  </x:si>
  <x:si>
    <x:t xml:space="preserve">Net Interest Income — interest income on assets and interest expense on liabilities, with NII computed as the difference of the totals.</x:t>
  </x:si>
  <x:si>
    <x:t xml:space="preserve">SOURCE</x:t>
  </x:si>
  <x:si>
    <x:t xml:space="preserve">Capital One Financial Corp (CIK 0000927628), Forms 10-Q and 10-K, MD&amp;A table 'Average Balances, Net Interest Income and Net Interest Margin'. These MD&amp;A tables are NOT XBRL-tagged, so values are parsed from the rendered HTML.</x:t>
  </x:si>
  <x:si>
    <x:t xml:space="preserve">Q4 DERIVATION, AND WHY IT IS SOUND</x:t>
  </x:si>
  <x:si>
    <x:t xml:space="preserve">No 3-month Q4 average-balance table is published: the 10-K table is annual and the 10-Q tables are 3/6/9-month. Q4 columns are marked (D).</x:t>
  </x:si>
  <x:si>
    <x:t xml:space="preserve">Two identities were tested against the actual data, both passing 48 of 48 cases: interest is additive (6M = Q1 + Q2), and average balances weight by months (6M avg = (Q1 avg x3 + Q2 avg x3) / 6).</x:t>
  </x:si>
  <x:si>
    <x:t xml:space="preserve">Therefore: Q4 interest = FY − 9M (exact). Q4 balance = (FY avg x12 − 9M avg x9) / 3. Q4 rate is RECOMPUTED from the derived interest and balance, never subtracted — rates do not subtract.</x:t>
  </x:si>
  <x:si>
    <x:t xml:space="preserve">VALIDATION</x:t>
  </x:si>
  <x:si>
    <x:t xml:space="preserve">The Net Interest Income sheet cross-checks its computed NII against the income statement extracted independently from XBRL. The two come from different places in the filing by different methods, so agreement is meaningful.</x:t>
  </x:si>
  <x:si>
    <x:t xml:space="preserve">CONVENTIONS</x:t>
  </x:si>
  <x:si>
    <x:t xml:space="preserve">Blue = as disclosed in the filing. Green = independent XBRL source. Black = live formula. Yellow = check cell, should read zero.</x:t>
  </x:si>
</x:sst>
</file>

<file path=xl/styles.xml><?xml version="1.0" encoding="utf-8"?>
<x:styleSheet xmlns:x="http://schemas.openxmlformats.org/spreadsheetml/2006/main">
  <x:numFmts count="9">
    <x:numFmt numFmtId="164" formatCode="General"/>
    <x:numFmt numFmtId="165" formatCode="\$#,##0;&quot;($&quot;#,##0\);\-"/>
    <x:numFmt numFmtId="166" formatCode="0.00%;\(0.00%\);\-"/>
    <x:numFmt numFmtId="167" formatCode="#,##0.0;\(#,##0.0\);\-"/>
    <x:numFmt numFmtId="200" formatCode="mmm-yy"/>
    <x:numFmt numFmtId="201" formatCode="$#,##0;($#,##0);-"/>
    <x:numFmt numFmtId="202" formatCode="$#,##0.0;($#,##0.0);-"/>
    <x:numFmt numFmtId="203" formatCode="0.00%"/>
    <x:numFmt numFmtId="204" formatCode="0.00;[Red](0.00);0.00"/>
  </x:numFmts>
  <x:fonts count="16">
    <x:font>
      <x:sz val="11"/>
      <x:color theme="1"/>
      <x:name val="Calibri"/>
    </x:font>
    <x:font>
      <x:sz val="10"/>
      <x:name val="Arial"/>
    </x:font>
    <x:font>
      <x:sz val="10"/>
      <x:name val="Arial"/>
    </x:font>
    <x:font>
      <x:sz val="10"/>
      <x:name val="Arial"/>
    </x:font>
    <x:font>
      <x:b/>
      <x:sz val="12"/>
      <x:name val="Arial"/>
    </x:font>
    <x:font>
      <x:i/>
      <x:sz val="9"/>
      <x:color rgb="FF595959"/>
      <x:name val="Arial"/>
    </x:font>
    <x:font>
      <x:b/>
      <x:sz val="10"/>
      <x:name val="Arial"/>
    </x:font>
    <x:font>
      <x:b/>
      <x:sz val="10"/>
      <x:name val="Arial"/>
    </x:font>
    <x:font>
      <x:sz val="10"/>
      <x:name val="Arial"/>
    </x:font>
    <x:font>
      <x:sz val="10"/>
      <x:color rgb="FF0000FF"/>
      <x:name val="Arial"/>
    </x:font>
    <x:font>
      <x:sz val="10"/>
      <x:color rgb="FF008000"/>
      <x:name val="Arial"/>
    </x:font>
    <x:font>
      <x:sz val="10"/>
      <x:color rgb="FF000000"/>
      <x:name val="Arial"/>
    </x:font>
    <x:font>
      <x:b/>
      <x:sz val="10"/>
      <x:color rgb="FF000000"/>
      <x:name val="Arial"/>
    </x:font>
    <x:font>
      <x:b/>
      <x:sz val="14"/>
      <x:color rgb="FF000000"/>
      <x:name val="Arial"/>
    </x:font>
    <x:font>
      <x:i/>
      <x:sz val="9"/>
      <x:color rgb="FF666666"/>
      <x:name val="Arial"/>
    </x:font>
    <x:font>
      <x:b/>
      <x:sz val="10"/>
      <x:color rgb="FF008000"/>
      <x:name val="Arial"/>
    </x:font>
  </x:fonts>
  <x:fills count="7">
    <x:fill>
      <x:patternFill patternType="none"/>
    </x:fill>
    <x:fill>
      <x:patternFill patternType="gray125"/>
    </x:fill>
    <x:fill>
      <x:patternFill patternType="solid">
        <x:fgColor rgb="FFD9E1F2"/>
      </x:patternFill>
    </x:fill>
    <x:fill>
      <x:patternFill patternType="solid">
        <x:fgColor rgb="FFFFF2CC"/>
      </x:patternFill>
    </x:fill>
    <x:fill>
      <x:patternFill patternType="solid">
        <x:fgColor rgb="FFD9E2F3"/>
      </x:patternFill>
    </x:fill>
    <x:fill>
      <x:patternFill patternType="solid">
        <x:fgColor rgb="FFFFF2CC"/>
      </x:patternFill>
    </x:fill>
    <x:fill>
      <x:patternFill patternType="solid">
        <x:fgColor rgb="FFE2F0D9"/>
      </x:patternFill>
    </x:fill>
  </x:fills>
  <x:borders count="4">
    <x:border diagonalUp="0" diagonalDown="0"/>
    <x:border diagonalUp="0" diagonalDown="0">
      <x:top style="thin">
        <x:color rgb="FFBFBFBF"/>
      </x:top>
    </x:border>
    <x:border diagonalUp="0" diagonalDown="0">
      <x:bottom style="thin">
        <x:color rgb="FFA6A6A6"/>
      </x:bottom>
    </x:border>
    <x:border diagonalUp="0" diagonalDown="0">
      <x:bottom style="thin">
        <x:color rgb="FFD9D9D9"/>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58">
    <x:xf numFmtId="164" fontId="0" fillId="0" borderId="0" xfId="0" applyFont="0" applyBorder="0" applyAlignment="0">
      <x:alignment horizontal="general" vertical="bottom" wrapText="0"/>
    </x:xf>
    <x:xf numFmtId="164" fontId="4" fillId="0" borderId="0" xfId="0" applyFont="1" applyBorder="0" applyAlignment="0">
      <x:alignment horizontal="general" vertical="bottom" wrapText="0"/>
    </x:xf>
    <x:xf numFmtId="164" fontId="5" fillId="0" borderId="0" xfId="0" applyFont="1" applyBorder="0" applyAlignment="1">
      <x:alignment horizontal="general" vertical="bottom" wrapText="1"/>
    </x:xf>
    <x:xf numFmtId="164" fontId="6" fillId="0" borderId="0" xfId="0" applyFont="1" applyBorder="0" applyAlignment="0">
      <x:alignment horizontal="general" vertical="bottom" wrapText="0"/>
    </x:xf>
    <x:xf numFmtId="164" fontId="6" fillId="2" borderId="0" xfId="0" applyFont="1" applyBorder="0" applyAlignment="1">
      <x:alignment horizontal="center" vertical="bottom" wrapText="0"/>
    </x:xf>
    <x:xf numFmtId="164" fontId="7" fillId="0" borderId="0" xfId="0" applyFont="1" applyBorder="0" applyAlignment="0">
      <x:alignment horizontal="general" vertical="bottom" wrapText="0"/>
    </x:xf>
    <x:xf numFmtId="164" fontId="8" fillId="0" borderId="0" xfId="0" applyFont="1" applyBorder="0" applyAlignment="0">
      <x:alignment horizontal="general" vertical="bottom" wrapText="0"/>
    </x:xf>
    <x:xf numFmtId="165" fontId="9" fillId="0" borderId="0" xfId="0" applyFont="1" applyBorder="0" applyAlignment="0">
      <x:alignment horizontal="general" vertical="bottom" wrapText="0"/>
    </x:xf>
    <x:xf numFmtId="165" fontId="6" fillId="0" borderId="1" xfId="0" applyFont="1" applyBorder="1" applyAlignment="0">
      <x:alignment horizontal="general" vertical="bottom" wrapText="0"/>
    </x:xf>
    <x:xf numFmtId="165" fontId="6" fillId="0" borderId="0" xfId="0" applyFont="1" applyBorder="0" applyAlignment="0">
      <x:alignment horizontal="general" vertical="bottom" wrapText="0"/>
    </x:xf>
    <x:xf numFmtId="166" fontId="9" fillId="0" borderId="0" xfId="0" applyFont="1" applyBorder="0" applyAlignment="0">
      <x:alignment horizontal="general" vertical="bottom" wrapText="0"/>
    </x:xf>
    <x:xf numFmtId="166" fontId="6" fillId="0" borderId="1" xfId="0" applyFont="1" applyBorder="1" applyAlignment="0">
      <x:alignment horizontal="general" vertical="bottom" wrapText="0"/>
    </x:xf>
    <x:xf numFmtId="166" fontId="6" fillId="0" borderId="0" xfId="0" applyFont="1" applyBorder="0" applyAlignment="0">
      <x:alignment horizontal="general" vertical="bottom" wrapText="0"/>
    </x:xf>
    <x:xf numFmtId="165" fontId="10" fillId="0" borderId="0" xfId="0" applyFont="1" applyBorder="0" applyAlignment="0">
      <x:alignment horizontal="general" vertical="bottom" wrapText="0"/>
    </x:xf>
    <x:xf numFmtId="167" fontId="6" fillId="3" borderId="0" xfId="0" applyFont="1" applyBorder="0" applyAlignment="0">
      <x:alignment horizontal="general" vertical="bottom" wrapText="0"/>
    </x:xf>
    <x:xf numFmtId="164" fontId="5" fillId="0" borderId="0" xfId="0" applyFont="1" applyBorder="0" applyAlignment="0">
      <x:alignment horizontal="general" vertical="bottom" wrapText="0"/>
    </x:xf>
    <x:xf numFmtId="164" fontId="4" fillId="0" borderId="0" xfId="0" applyFont="1" applyBorder="0" applyAlignment="1">
      <x:alignment horizontal="general" vertical="top" wrapText="1"/>
    </x:xf>
    <x:xf numFmtId="164" fontId="5" fillId="0" borderId="0" xfId="0" applyFont="1" applyBorder="0" applyAlignment="1">
      <x:alignment horizontal="general" vertical="top" wrapText="1"/>
    </x:xf>
    <x:xf numFmtId="164" fontId="7" fillId="0" borderId="0" xfId="0" applyFont="1" applyBorder="0" applyAlignment="1">
      <x:alignment horizontal="general" vertical="top" wrapText="1"/>
    </x:xf>
    <x:xf numFmtId="164" fontId="8" fillId="0" borderId="0" xfId="0" applyFont="1" applyBorder="0" applyAlignment="1">
      <x:alignment horizontal="general" vertical="top" wrapText="1"/>
    </x:xf>
    <x:xf numFmtId="164" fontId="11" fillId="0" borderId="0" xfId="0" applyNumberFormat="1" applyFont="1" applyFill="1" applyBorder="1" applyAlignment="1">
      <x:alignment horizontal="general" vertical="bottom" wrapText="0"/>
    </x:xf>
    <x:xf numFmtId="164" fontId="11" fillId="4" borderId="0" xfId="0" applyNumberFormat="1" applyFont="1" applyFill="1" applyBorder="1" applyAlignment="1">
      <x:alignment horizontal="general" vertical="bottom" wrapText="0"/>
    </x:xf>
    <x:xf numFmtId="164" fontId="12" fillId="4" borderId="0" xfId="0" applyNumberFormat="1" applyFont="1" applyFill="1" applyBorder="1" applyAlignment="1">
      <x:alignment horizontal="general" vertical="bottom" wrapText="0"/>
    </x:xf>
    <x:xf numFmtId="164" fontId="12" fillId="4" borderId="0" xfId="0" applyNumberFormat="1" applyFont="1" applyFill="1" applyBorder="1" applyAlignment="1">
      <x:alignment horizontal="center" vertical="bottom" wrapText="0"/>
    </x:xf>
    <x:xf numFmtId="164" fontId="12" fillId="4" borderId="0" xfId="0" applyNumberFormat="1" applyFont="1" applyFill="1" applyBorder="1" applyAlignment="1">
      <x:alignment horizontal="center" vertical="center" wrapText="0"/>
    </x:xf>
    <x:xf numFmtId="164" fontId="12" fillId="0" borderId="0" xfId="0" applyNumberFormat="1" applyFont="1" applyFill="1" applyBorder="1" applyAlignment="1">
      <x:alignment horizontal="general" vertical="bottom" wrapText="0"/>
    </x:xf>
    <x:xf numFmtId="164" fontId="12" fillId="0" borderId="2" xfId="0" applyNumberFormat="1" applyFont="1" applyFill="1" applyBorder="1" applyAlignment="1">
      <x:alignment horizontal="general" vertical="bottom" wrapText="0"/>
    </x:xf>
    <x:xf numFmtId="164" fontId="12" fillId="4" borderId="2" xfId="0" applyNumberFormat="1" applyFont="1" applyFill="1" applyBorder="1" applyAlignment="1">
      <x:alignment horizontal="center" vertical="center" wrapText="0"/>
    </x:xf>
    <x:xf numFmtId="164" fontId="13" fillId="0" borderId="0" xfId="0" applyNumberFormat="1" applyFont="1" applyFill="1" applyBorder="1" applyAlignment="1">
      <x:alignment horizontal="general" vertical="bottom" wrapText="0"/>
    </x:xf>
    <x:xf numFmtId="164" fontId="14" fillId="0" borderId="0" xfId="0" applyNumberFormat="1" applyFont="1" applyFill="1" applyBorder="1" applyAlignment="1">
      <x:alignment horizontal="general" vertical="bottom" wrapText="0"/>
    </x:xf>
    <x:xf numFmtId="164" fontId="14" fillId="0" borderId="0" xfId="0" applyNumberFormat="1" applyFont="1" applyFill="1" applyBorder="1" applyAlignment="1">
      <x:alignment horizontal="general" vertical="bottom" wrapText="1"/>
    </x:xf>
    <x:xf numFmtId="200" fontId="12" fillId="4" borderId="2" xfId="0" applyNumberFormat="1" applyFont="1" applyFill="1" applyBorder="1" applyAlignment="1">
      <x:alignment horizontal="center" vertical="center" wrapText="0"/>
    </x:xf>
    <x:xf numFmtId="164" fontId="12" fillId="0" borderId="3" xfId="0" applyNumberFormat="1" applyFont="1" applyFill="1" applyBorder="1" applyAlignment="1">
      <x:alignment horizontal="general" vertical="bottom" wrapText="0"/>
    </x:xf>
    <x:xf numFmtId="164" fontId="9" fillId="0" borderId="0" xfId="0" applyNumberFormat="1" applyFont="1" applyFill="1" applyBorder="1" applyAlignment="1">
      <x:alignment horizontal="general" vertical="bottom" wrapText="0"/>
    </x:xf>
    <x:xf numFmtId="201" fontId="11" fillId="0" borderId="0" xfId="0" applyNumberFormat="1" applyFont="1" applyFill="1" applyBorder="1" applyAlignment="1">
      <x:alignment horizontal="general" vertical="bottom" wrapText="0"/>
    </x:xf>
    <x:xf numFmtId="201" fontId="12" fillId="0" borderId="2" xfId="0" applyNumberFormat="1" applyFont="1" applyFill="1" applyBorder="1" applyAlignment="1">
      <x:alignment horizontal="general" vertical="bottom" wrapText="0"/>
    </x:xf>
    <x:xf numFmtId="201" fontId="12" fillId="0" borderId="3" xfId="0" applyNumberFormat="1" applyFont="1" applyFill="1" applyBorder="1" applyAlignment="1">
      <x:alignment horizontal="general" vertical="bottom" wrapText="0"/>
    </x:xf>
    <x:xf numFmtId="201" fontId="9" fillId="0" borderId="0" xfId="0" applyNumberFormat="1" applyFont="1" applyFill="1" applyBorder="1" applyAlignment="1">
      <x:alignment horizontal="general" vertical="bottom" wrapText="0"/>
    </x:xf>
    <x:xf numFmtId="201" fontId="10" fillId="0" borderId="0" xfId="0" applyNumberFormat="1" applyFont="1" applyFill="1" applyBorder="1" applyAlignment="1">
      <x:alignment horizontal="general" vertical="bottom" wrapText="0"/>
    </x:xf>
    <x:xf numFmtId="201" fontId="15" fillId="0" borderId="2" xfId="0" applyNumberFormat="1" applyFont="1" applyFill="1" applyBorder="1" applyAlignment="1">
      <x:alignment horizontal="general" vertical="bottom" wrapText="0"/>
    </x:xf>
    <x:xf numFmtId="201" fontId="15" fillId="0" borderId="3" xfId="0" applyNumberFormat="1" applyFont="1" applyFill="1" applyBorder="1" applyAlignment="1">
      <x:alignment horizontal="general" vertical="bottom" wrapText="0"/>
    </x:xf>
    <x:xf numFmtId="201" fontId="12" fillId="0" borderId="0" xfId="0" applyNumberFormat="1" applyFont="1" applyFill="1" applyBorder="1" applyAlignment="1">
      <x:alignment horizontal="general" vertical="bottom" wrapText="0"/>
    </x:xf>
    <x:xf numFmtId="202" fontId="11" fillId="0" borderId="0" xfId="0" applyNumberFormat="1" applyFont="1" applyFill="1" applyBorder="1" applyAlignment="1">
      <x:alignment horizontal="general" vertical="bottom" wrapText="0"/>
    </x:xf>
    <x:xf numFmtId="202" fontId="10" fillId="0" borderId="0" xfId="0" applyNumberFormat="1" applyFont="1" applyFill="1" applyBorder="1" applyAlignment="1">
      <x:alignment horizontal="general" vertical="bottom" wrapText="0"/>
    </x:xf>
    <x:xf numFmtId="202" fontId="12" fillId="0" borderId="0" xfId="0" applyNumberFormat="1" applyFont="1" applyFill="1" applyBorder="1" applyAlignment="1">
      <x:alignment horizontal="general" vertical="bottom" wrapText="0"/>
    </x:xf>
    <x:xf numFmtId="202" fontId="12" fillId="0" borderId="3" xfId="0" applyNumberFormat="1" applyFont="1" applyFill="1" applyBorder="1" applyAlignment="1">
      <x:alignment horizontal="general" vertical="bottom" wrapText="0"/>
    </x:xf>
    <x:xf numFmtId="202" fontId="12" fillId="0" borderId="2" xfId="0" applyNumberFormat="1" applyFont="1" applyFill="1" applyBorder="1" applyAlignment="1">
      <x:alignment horizontal="general" vertical="bottom" wrapText="0"/>
    </x:xf>
    <x:xf numFmtId="203" fontId="11" fillId="0" borderId="0" xfId="0" applyNumberFormat="1" applyFont="1" applyFill="1" applyBorder="1" applyAlignment="1">
      <x:alignment horizontal="general" vertical="bottom" wrapText="0"/>
    </x:xf>
    <x:xf numFmtId="203" fontId="10" fillId="0" borderId="0" xfId="0" applyNumberFormat="1" applyFont="1" applyFill="1" applyBorder="1" applyAlignment="1">
      <x:alignment horizontal="general" vertical="bottom" wrapText="0"/>
    </x:xf>
    <x:xf numFmtId="203" fontId="12" fillId="0" borderId="0" xfId="0" applyNumberFormat="1" applyFont="1" applyFill="1" applyBorder="1" applyAlignment="1">
      <x:alignment horizontal="general" vertical="bottom" wrapText="0"/>
    </x:xf>
    <x:xf numFmtId="203" fontId="12" fillId="0" borderId="3" xfId="0" applyNumberFormat="1" applyFont="1" applyFill="1" applyBorder="1" applyAlignment="1">
      <x:alignment horizontal="general" vertical="bottom" wrapText="0"/>
    </x:xf>
    <x:xf numFmtId="203" fontId="12" fillId="0" borderId="2" xfId="0" applyNumberFormat="1" applyFont="1" applyFill="1" applyBorder="1" applyAlignment="1">
      <x:alignment horizontal="general" vertical="bottom" wrapText="0"/>
    </x:xf>
    <x:xf numFmtId="204" fontId="11" fillId="0" borderId="0" xfId="0" applyNumberFormat="1" applyFont="1" applyFill="1" applyBorder="1" applyAlignment="1">
      <x:alignment horizontal="general" vertical="bottom" wrapText="0"/>
    </x:xf>
    <x:xf numFmtId="204" fontId="12" fillId="0" borderId="0" xfId="0" applyNumberFormat="1" applyFont="1" applyFill="1" applyBorder="1" applyAlignment="1">
      <x:alignment horizontal="general" vertical="bottom" wrapText="0"/>
    </x:xf>
    <x:xf numFmtId="204" fontId="11" fillId="5" borderId="0" xfId="0" applyNumberFormat="1" applyFont="1" applyFill="1" applyBorder="1" applyAlignment="1">
      <x:alignment horizontal="general" vertical="bottom" wrapText="0"/>
    </x:xf>
    <x:xf numFmtId="204" fontId="12" fillId="5" borderId="0" xfId="0" applyNumberFormat="1" applyFont="1" applyFill="1" applyBorder="1" applyAlignment="1">
      <x:alignment horizontal="general" vertical="bottom" wrapText="0"/>
    </x:xf>
    <x:xf numFmtId="204" fontId="11" fillId="6" borderId="0" xfId="0" applyNumberFormat="1" applyFont="1" applyFill="1" applyBorder="1" applyAlignment="1">
      <x:alignment horizontal="general" vertical="bottom" wrapText="0"/>
    </x:xf>
    <x:xf numFmtId="164" fontId="0" fillId="0" borderId="0" xfId="0" applyNumberFormat="1" applyFont="1" applyFill="1" applyBorder="1" applyAlignment="1">
      <x:alignment horizontal="general" vertical="bottom" wrapText="1"/>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CCFFFF"/>
      <x:rgbColor rgb="FF660066"/>
      <x:rgbColor rgb="FFFF8080"/>
      <x:rgbColor rgb="FF0066CC"/>
      <x:rgbColor rgb="FFD9E1F2"/>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595959"/>
      <x:rgbColor rgb="FF969696"/>
      <x:rgbColor rgb="FF003366"/>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f67df6eb8ee4748" /><Relationship Type="http://schemas.openxmlformats.org/officeDocument/2006/relationships/theme" Target="/xl/theme/theme1.xml" Id="Ra82602a42e904b70" /><Relationship Type="http://schemas.openxmlformats.org/officeDocument/2006/relationships/sharedStrings" Target="/xl/sharedStrings.xml" Id="R694c57cd4ba24d12" /><Relationship Type="http://schemas.openxmlformats.org/officeDocument/2006/relationships/worksheet" Target="/xl/worksheets/sheet1.xml" Id="Ra475cd7497404e24" /><Relationship Type="http://schemas.openxmlformats.org/officeDocument/2006/relationships/worksheet" Target="/xl/worksheets/sheet2.xml" Id="Rc6967b41f1d84f10" /><Relationship Type="http://schemas.openxmlformats.org/officeDocument/2006/relationships/worksheet" Target="/xl/worksheets/sheet3.xml" Id="R099012e79d974a47" /><Relationship Type="http://schemas.openxmlformats.org/officeDocument/2006/relationships/worksheet" Target="/xl/worksheets/sheet4.xml" Id="Rbbe20819c75b4f12" /><Relationship Type="http://schemas.openxmlformats.org/officeDocument/2006/relationships/worksheet" Target="/xl/worksheets/sheet5.xml" Id="R584a1c605efb4563" /><Relationship Type="http://schemas.openxmlformats.org/officeDocument/2006/relationships/worksheet" Target="/xl/worksheets/sheet6.xml" Id="Rc5975ded10cc4632" /><Relationship Type="http://schemas.openxmlformats.org/officeDocument/2006/relationships/worksheet" Target="/xl/worksheets/sheet7.xml" Id="Ref73f194790a4775" /><Relationship Type="http://schemas.openxmlformats.org/officeDocument/2006/relationships/worksheet" Target="/xl/worksheets/sheet8.xml" Id="R050fd97117204651" /><Relationship Type="http://schemas.openxmlformats.org/officeDocument/2006/relationships/worksheet" Target="/xl/worksheets/sheet9.xml" Id="Ra7342d5f9629488f" /><Relationship Type="http://schemas.openxmlformats.org/officeDocument/2006/relationships/worksheet" Target="/xl/worksheets/sheet10.xml" Id="R1cb95ff0f1c646e1"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pane xSplit="1" ySplit="4" topLeftCell="B5" activePane="bottomRight" state="frozen"/>
    </x:sheetView>
  </x:sheetViews>
  <x:sheetFormatPr defaultColWidth="8.6796875" defaultRowHeight="15"/>
  <x:cols>
    <x:col min="1" max="1" width="38" hidden="0" customWidth="1"/>
    <x:col min="2" max="15" width="13" hidden="0" customWidth="1"/>
  </x:cols>
  <x:sheetData>
    <x:row r="1" ht="15" hidden="0">
      <x:c r="A1" s="1" t="s">
        <x:v>0</x:v>
      </x:c>
    </x:row>
    <x:row r="2" ht="27.75" hidden="0" customHeight="1">
      <x:c r="A2" s="2" t="s">
        <x:v>1</x:v>
      </x:c>
    </x:row>
    <x:row r="4" ht="15" hidden="0">
      <x:c r="A4" s="3" t="s">
        <x:v>2</x:v>
      </x:c>
      <x:c r="B4" s="4" t="s">
        <x:v>3</x:v>
      </x:c>
      <x:c r="C4" s="4" t="s">
        <x:v>4</x:v>
      </x:c>
      <x:c r="D4" s="4" t="s">
        <x:v>5</x:v>
      </x:c>
      <x:c r="E4" s="4" t="s">
        <x:v>6</x:v>
      </x:c>
      <x:c r="F4" s="4" t="s">
        <x:v>7</x:v>
      </x:c>
      <x:c r="G4" s="4" t="s">
        <x:v>8</x:v>
      </x:c>
      <x:c r="H4" s="4" t="s">
        <x:v>9</x:v>
      </x:c>
      <x:c r="I4" s="4" t="s">
        <x:v>10</x:v>
      </x:c>
      <x:c r="J4" s="4" t="s">
        <x:v>11</x:v>
      </x:c>
      <x:c r="K4" s="4" t="s">
        <x:v>12</x:v>
      </x:c>
      <x:c r="L4" s="4" t="s">
        <x:v>13</x:v>
      </x:c>
      <x:c r="M4" s="4" t="s">
        <x:v>14</x:v>
      </x:c>
      <x:c r="N4" s="4" t="s">
        <x:v>15</x:v>
      </x:c>
      <x:c r="O4" s="4" t="s">
        <x:v>16</x:v>
      </x:c>
    </x:row>
    <x:row r="5" ht="15" hidden="0">
      <x:c r="A5" s="5" t="s">
        <x:v>17</x:v>
      </x:c>
    </x:row>
    <x:row r="6" ht="15" hidden="0">
      <x:c r="A6" s="6" t="s">
        <x:v>18</x:v>
      </x:c>
      <x:c r="B6" s="7" t="n">
        <x:v>134669</x:v>
      </x:c>
      <x:c r="C6" s="7" t="n">
        <x:v>138762</x:v>
      </x:c>
      <x:c r="D6" s="7" t="n">
        <x:v>144053</x:v>
      </x:c>
      <x:c r="E6" s="7" t="n">
        <x:v>149112</x:v>
      </x:c>
      <x:c r="F6" s="7" t="n">
        <x:v>150049</x:v>
      </x:c>
      <x:c r="G6" s="7" t="n">
        <x:v>150866</x:v>
      </x:c>
      <x:c r="H6" s="7" t="n">
        <x:v>154160</x:v>
      </x:c>
      <x:c r="I6" s="7" t="n">
        <x:v>157360</x:v>
      </x:c>
      <x:c r="J6" s="7" t="n">
        <x:v>156408</x:v>
      </x:c>
      <x:c r="K6" s="7" t="n">
        <x:v>209693</x:v>
      </x:c>
      <x:c r="L6" s="7" t="n">
        <x:v>269175</x:v>
      </x:c>
      <x:c r="M6" s="7" t="n">
        <x:v>272720</x:v>
      </x:c>
      <x:c r="N6" s="7" t="n">
        <x:v>270975</x:v>
      </x:c>
      <x:c r="O6" s="7" t="n">
        <x:v>271197</x:v>
      </x:c>
    </x:row>
    <x:row r="7" ht="15" hidden="0">
      <x:c r="A7" s="6" t="s">
        <x:v>19</x:v>
      </x:c>
      <x:c r="B7" s="7" t="n">
        <x:v>79000</x:v>
      </x:c>
      <x:c r="C7" s="7" t="n">
        <x:v>77699</x:v>
      </x:c>
      <x:c r="D7" s="7" t="n">
        <x:v>77154</x:v>
      </x:c>
      <x:c r="E7" s="7" t="n">
        <x:v>76224</x:v>
      </x:c>
      <x:c r="F7" s="7" t="n">
        <x:v>75091</x:v>
      </x:c>
      <x:c r="G7" s="7" t="n">
        <x:v>75386</x:v>
      </x:c>
      <x:c r="H7" s="7" t="n">
        <x:v>76182</x:v>
      </x:c>
      <x:c r="I7" s="7" t="n">
        <x:v>77231</x:v>
      </x:c>
      <x:c r="J7" s="7" t="n">
        <x:v>78480</x:v>
      </x:c>
      <x:c r="K7" s="7" t="n">
        <x:v>80095</x:v>
      </x:c>
      <x:c r="L7" s="7" t="n">
        <x:v>82295</x:v>
      </x:c>
      <x:c r="M7" s="7" t="n">
        <x:v>83988</x:v>
      </x:c>
      <x:c r="N7" s="7" t="n">
        <x:v>85701</x:v>
      </x:c>
      <x:c r="O7" s="7" t="n">
        <x:v>88583</x:v>
      </x:c>
    </x:row>
    <x:row r="8" ht="15" hidden="0">
      <x:c r="A8" s="6" t="s">
        <x:v>20</x:v>
      </x:c>
      <x:c r="B8" s="7" t="n">
        <x:v>94446</x:v>
      </x:c>
      <x:c r="C8" s="7" t="n">
        <x:v>93874</x:v>
      </x:c>
      <x:c r="D8" s="7" t="n">
        <x:v>92254</x:v>
      </x:c>
      <x:c r="E8" s="7" t="n">
        <x:v>91385</x:v>
      </x:c>
      <x:c r="F8" s="7" t="n">
        <x:v>90423</x:v>
      </x:c>
      <x:c r="G8" s="7" t="n">
        <x:v>89571</x:v>
      </x:c>
      <x:c r="H8" s="7" t="n">
        <x:v>88373</x:v>
      </x:c>
      <x:c r="I8" s="7" t="n">
        <x:v>87672</x:v>
      </x:c>
      <x:c r="J8" s="7" t="n">
        <x:v>87884</x:v>
      </x:c>
      <x:c r="K8" s="7" t="n">
        <x:v>88749</x:v>
      </x:c>
      <x:c r="L8" s="7" t="n">
        <x:v>88904</x:v>
      </x:c>
      <x:c r="M8" s="7" t="n">
        <x:v>89192</x:v>
      </x:c>
      <x:c r="N8" s="7" t="n">
        <x:v>90064</x:v>
      </x:c>
      <x:c r="O8" s="7" t="n">
        <x:v>91082</x:v>
      </x:c>
    </x:row>
    <x:row r="9" ht="15" hidden="0">
      <x:c r="A9" s="6" t="s">
        <x:v>21</x:v>
      </x:c>
      <x:c r="B9" s="7" t="n">
        <x:v>308115</x:v>
      </x:c>
      <x:c r="C9" s="7" t="n">
        <x:v>310335</x:v>
      </x:c>
      <x:c r="D9" s="7" t="n">
        <x:v>313461</x:v>
      </x:c>
      <x:c r="E9" s="7" t="n">
        <x:v>316721</x:v>
      </x:c>
      <x:c r="F9" s="7" t="n">
        <x:v>315563</x:v>
      </x:c>
      <x:c r="G9" s="7" t="n">
        <x:v>315823</x:v>
      </x:c>
      <x:c r="H9" s="7" t="n">
        <x:v>318715</x:v>
      </x:c>
      <x:c r="I9" s="7" t="n">
        <x:v>322263</x:v>
      </x:c>
      <x:c r="J9" s="7" t="n">
        <x:v>322772</x:v>
      </x:c>
      <x:c r="K9" s="7" t="n">
        <x:v>378537</x:v>
      </x:c>
      <x:c r="L9" s="7" t="n">
        <x:v>440374</x:v>
      </x:c>
      <x:c r="M9" s="7" t="n">
        <x:v>445900</x:v>
      </x:c>
      <x:c r="N9" s="7" t="n">
        <x:v>446740</x:v>
      </x:c>
      <x:c r="O9" s="7" t="n">
        <x:v>450862</x:v>
      </x:c>
    </x:row>
    <x:row r="10" ht="15" hidden="0">
      <x:c r="A10" s="6" t="s">
        <x:v>22</x:v>
      </x:c>
      <x:c r="B10" s="7" t="n">
        <x:v>89960</x:v>
      </x:c>
      <x:c r="C10" s="7" t="n">
        <x:v>89994</x:v>
      </x:c>
      <x:c r="D10" s="7" t="n">
        <x:v>87845</x:v>
      </x:c>
      <x:c r="E10" s="7" t="n">
        <x:v>88643</x:v>
      </x:c>
      <x:c r="F10" s="7" t="n">
        <x:v>88581</x:v>
      </x:c>
      <x:c r="G10" s="7" t="n">
        <x:v>89501</x:v>
      </x:c>
      <x:c r="H10" s="7" t="n">
        <x:v>90644</x:v>
      </x:c>
      <x:c r="I10" s="7" t="n">
        <x:v>92260</x:v>
      </x:c>
      <x:c r="J10" s="7" t="n">
        <x:v>92659</x:v>
      </x:c>
      <x:c r="K10" s="7" t="n">
        <x:v>93024</x:v>
      </x:c>
      <x:c r="L10" s="7" t="n">
        <x:v>96186</x:v>
      </x:c>
      <x:c r="M10" s="7" t="n">
        <x:v>97330</x:v>
      </x:c>
      <x:c r="N10" s="7" t="n">
        <x:v>97803</x:v>
      </x:c>
      <x:c r="O10" s="7" t="n">
        <x:v>99339</x:v>
      </x:c>
    </x:row>
    <x:row r="11" ht="15" hidden="0">
      <x:c r="A11" s="6" t="s">
        <x:v>23</x:v>
      </x:c>
      <x:c r="B11" s="7" t="n">
        <x:v>37124</x:v>
      </x:c>
      <x:c r="C11" s="7" t="n">
        <x:v>38810</x:v>
      </x:c>
      <x:c r="D11" s="7" t="n">
        <x:v>42226</x:v>
      </x:c>
      <x:c r="E11" s="7" t="n">
        <x:v>41625</x:v>
      </x:c>
      <x:c r="F11" s="7" t="n">
        <x:v>43659</x:v>
      </x:c>
      <x:c r="G11" s="7" t="n">
        <x:v>45584</x:v>
      </x:c>
      <x:c r="H11" s="7" t="n">
        <x:v>45125</x:v>
      </x:c>
      <x:c r="I11" s="7" t="n">
        <x:v>46167</x:v>
      </x:c>
      <x:c r="J11" s="7" t="n">
        <x:v>47340</x:v>
      </x:c>
      <x:c r="K11" s="7" t="n">
        <x:v>53368</x:v>
      </x:c>
      <x:c r="L11" s="7" t="n">
        <x:v>56687</x:v>
      </x:c>
      <x:c r="M11" s="7" t="n">
        <x:v>61127</x:v>
      </x:c>
      <x:c r="N11" s="7" t="n">
        <x:v>72630</x:v>
      </x:c>
      <x:c r="O11" s="7" t="n">
        <x:v>67382</x:v>
      </x:c>
    </x:row>
    <x:row r="12" ht="15" hidden="0">
      <x:c r="A12" s="3" t="s">
        <x:v>24</x:v>
      </x:c>
      <x:c r="B12" s="8" t="n">
        <x:v>435199</x:v>
      </x:c>
      <x:c r="C12" s="8" t="n">
        <x:v>439139</x:v>
      </x:c>
      <x:c r="D12" s="8" t="n">
        <x:v>443532</x:v>
      </x:c>
      <x:c r="E12" s="8" t="n">
        <x:v>446989</x:v>
      </x:c>
      <x:c r="F12" s="8" t="n">
        <x:v>447803</x:v>
      </x:c>
      <x:c r="G12" s="8" t="n">
        <x:v>450908</x:v>
      </x:c>
      <x:c r="H12" s="8" t="n">
        <x:v>454484</x:v>
      </x:c>
      <x:c r="I12" s="8" t="n">
        <x:v>460690</x:v>
      </x:c>
      <x:c r="J12" s="8" t="n">
        <x:v>462771</x:v>
      </x:c>
      <x:c r="K12" s="8" t="n">
        <x:v>524929</x:v>
      </x:c>
      <x:c r="L12" s="8" t="n">
        <x:v>593247</x:v>
      </x:c>
      <x:c r="M12" s="8" t="n">
        <x:v>604357</x:v>
      </x:c>
      <x:c r="N12" s="8" t="n">
        <x:v>617173</x:v>
      </x:c>
      <x:c r="O12" s="8" t="n">
        <x:v>617583</x:v>
      </x:c>
    </x:row>
    <x:row r="14" ht="15" hidden="0">
      <x:c r="A14" s="5" t="s">
        <x:v>25</x:v>
      </x:c>
    </x:row>
    <x:row r="15" ht="15" hidden="0">
      <x:c r="A15" s="6" t="s">
        <x:v>26</x:v>
      </x:c>
      <x:c r="B15" s="7" t="n">
        <x:v>308788</x:v>
      </x:c>
      <x:c r="C15" s="7" t="n">
        <x:v>313207</x:v>
      </x:c>
      <x:c r="D15" s="7" t="n">
        <x:v>316032</x:v>
      </x:c>
      <x:c r="E15" s="7" t="n">
        <x:v>316842</x:v>
      </x:c>
      <x:c r="F15" s="7" t="n">
        <x:v>318450</x:v>
      </x:c>
      <x:c r="G15" s="7" t="n">
        <x:v>322581</x:v>
      </x:c>
      <x:c r="H15" s="7" t="n">
        <x:v>324509</x:v>
      </x:c>
      <x:c r="I15" s="7" t="n">
        <x:v>331620</x:v>
      </x:c>
      <x:c r="J15" s="7" t="n">
        <x:v>337840</x:v>
      </x:c>
      <x:c r="K15" s="7" t="n">
        <x:v>387139</x:v>
      </x:c>
      <x:c r="L15" s="7" t="n">
        <x:v>439527</x:v>
      </x:c>
      <x:c r="M15" s="7" t="n">
        <x:v>443213</x:v>
      </x:c>
      <x:c r="N15" s="7" t="n">
        <x:v>451957</x:v>
      </x:c>
      <x:c r="O15" s="7" t="n">
        <x:v>458130</x:v>
      </x:c>
    </x:row>
    <x:row r="16" ht="15" hidden="0">
      <x:c r="A16" s="6" t="s">
        <x:v>27</x:v>
      </x:c>
      <x:c r="B16" s="7" t="n">
        <x:v>17251</x:v>
      </x:c>
      <x:c r="C16" s="7" t="n">
        <x:v>17771</x:v>
      </x:c>
      <x:c r="D16" s="7" t="n">
        <x:v>17649</x:v>
      </x:c>
      <x:c r="E16" s="7" t="n">
        <x:v>18026</x:v>
      </x:c>
      <x:c r="F16" s="7" t="n">
        <x:v>17836</x:v>
      </x:c>
      <x:c r="G16" s="7" t="n">
        <x:v>17452</x:v>
      </x:c>
      <x:c r="H16" s="7" t="n">
        <x:v>15833</x:v>
      </x:c>
      <x:c r="I16" s="7" t="n">
        <x:v>14920</x:v>
      </x:c>
      <x:c r="J16" s="7" t="n">
        <x:v>13731</x:v>
      </x:c>
      <x:c r="K16" s="7" t="n">
        <x:v>13043</x:v>
      </x:c>
      <x:c r="L16" s="7" t="n">
        <x:v>12919</x:v>
      </x:c>
      <x:c r="M16" s="7" t="n">
        <x:v>12668</x:v>
      </x:c>
      <x:c r="N16" s="7" t="n">
        <x:v>12476</x:v>
      </x:c>
      <x:c r="O16" s="7" t="n">
        <x:v>10190</x:v>
      </x:c>
    </x:row>
    <x:row r="17" ht="15" hidden="0">
      <x:c r="A17" s="6" t="s">
        <x:v>28</x:v>
      </x:c>
      <x:c r="B17" s="7" t="n">
        <x:v>30136</x:v>
      </x:c>
      <x:c r="C17" s="7" t="n">
        <x:v>30161</x:v>
      </x:c>
      <x:c r="D17" s="7" t="n">
        <x:v>31522</x:v>
      </x:c>
      <x:c r="E17" s="7" t="n">
        <x:v>32603</x:v>
      </x:c>
      <x:c r="F17" s="7" t="n">
        <x:v>32211</x:v>
      </x:c>
      <x:c r="G17" s="7" t="n">
        <x:v>30978</x:v>
      </x:c>
      <x:c r="H17" s="7" t="n">
        <x:v>32041</x:v>
      </x:c>
      <x:c r="I17" s="7" t="n">
        <x:v>30884</x:v>
      </x:c>
      <x:c r="J17" s="7" t="n">
        <x:v>30331</x:v>
      </x:c>
      <x:c r="K17" s="7" t="n">
        <x:v>32872</x:v>
      </x:c>
      <x:c r="L17" s="7" t="n">
        <x:v>36272</x:v>
      </x:c>
      <x:c r="M17" s="7" t="n">
        <x:v>36528</x:v>
      </x:c>
      <x:c r="N17" s="7" t="n">
        <x:v>37846</x:v>
      </x:c>
      <x:c r="O17" s="7" t="n">
        <x:v>37498</x:v>
      </x:c>
    </x:row>
    <x:row r="18" ht="15" hidden="0">
      <x:c r="A18" s="6" t="s">
        <x:v>29</x:v>
      </x:c>
      <x:c r="B18" s="7" t="n">
        <x:v>2335</x:v>
      </x:c>
      <x:c r="C18" s="7" t="n">
        <x:v>2419</x:v>
      </x:c>
      <x:c r="D18" s="7" t="n">
        <x:v>2473</x:v>
      </x:c>
      <x:c r="E18" s="7" t="n">
        <x:v>2346</x:v>
      </x:c>
      <x:c r="F18" s="7" t="n">
        <x:v>2373</x:v>
      </x:c>
      <x:c r="G18" s="7" t="n">
        <x:v>2502</x:v>
      </x:c>
      <x:c r="H18" s="7" t="n">
        <x:v>2389</x:v>
      </x:c>
      <x:c r="I18" s="7" t="n">
        <x:v>2430</x:v>
      </x:c>
      <x:c r="J18" s="7" t="n">
        <x:v>2312</x:v>
      </x:c>
      <x:c r="K18" s="7" t="n">
        <x:v>2872</x:v>
      </x:c>
      <x:c r="L18" s="7" t="n">
        <x:v>3120</x:v>
      </x:c>
      <x:c r="M18" s="7" t="n">
        <x:v>3751</x:v>
      </x:c>
      <x:c r="N18" s="7" t="n">
        <x:v>4238</x:v>
      </x:c>
      <x:c r="O18" s="7" t="n">
        <x:v>3838</x:v>
      </x:c>
    </x:row>
    <x:row r="19" ht="15" hidden="0">
      <x:c r="A19" s="3" t="s">
        <x:v>30</x:v>
      </x:c>
      <x:c r="B19" s="8" t="n">
        <x:v>358510</x:v>
      </x:c>
      <x:c r="C19" s="8" t="n">
        <x:v>363558</x:v>
      </x:c>
      <x:c r="D19" s="8" t="n">
        <x:v>367676</x:v>
      </x:c>
      <x:c r="E19" s="8" t="n">
        <x:v>369817</x:v>
      </x:c>
      <x:c r="F19" s="8" t="n">
        <x:v>370870</x:v>
      </x:c>
      <x:c r="G19" s="8" t="n">
        <x:v>373513</x:v>
      </x:c>
      <x:c r="H19" s="8" t="n">
        <x:v>374772</x:v>
      </x:c>
      <x:c r="I19" s="8" t="n">
        <x:v>379854</x:v>
      </x:c>
      <x:c r="J19" s="8" t="n">
        <x:v>384214</x:v>
      </x:c>
      <x:c r="K19" s="8" t="n">
        <x:v>435926</x:v>
      </x:c>
      <x:c r="L19" s="8" t="n">
        <x:v>491838</x:v>
      </x:c>
      <x:c r="M19" s="8" t="n">
        <x:v>496160</x:v>
      </x:c>
      <x:c r="N19" s="8" t="n">
        <x:v>506517</x:v>
      </x:c>
      <x:c r="O19" s="8" t="n">
        <x:v>509656</x:v>
      </x:c>
    </x:row>
    <x:row r="21" ht="15" hidden="0">
      <x:c r="A21" s="3" t="s">
        <x:v>31</x:v>
      </x:c>
      <x:c r="B21" s="9" t="n">
        <x:f aca="0">B12-B19</x:f>
        <x:v>76689</x:v>
      </x:c>
      <x:c r="C21" s="9" t="n">
        <x:f aca="0">C12-C19</x:f>
        <x:v>75581</x:v>
      </x:c>
      <x:c r="D21" s="9" t="n">
        <x:f aca="0">D12-D19</x:f>
        <x:v>75856</x:v>
      </x:c>
      <x:c r="E21" s="9" t="n">
        <x:f aca="0">E12-E19</x:f>
        <x:v>77172</x:v>
      </x:c>
      <x:c r="F21" s="9" t="n">
        <x:f aca="0">F12-F19</x:f>
        <x:v>76933</x:v>
      </x:c>
      <x:c r="G21" s="9" t="n">
        <x:f aca="0">G12-G19</x:f>
        <x:v>77395</x:v>
      </x:c>
      <x:c r="H21" s="9" t="n">
        <x:f aca="0">H12-H19</x:f>
        <x:v>79712</x:v>
      </x:c>
      <x:c r="I21" s="9" t="n">
        <x:f aca="0">I12-I19</x:f>
        <x:v>80836</x:v>
      </x:c>
      <x:c r="J21" s="9" t="n">
        <x:f aca="0">J12-J19</x:f>
        <x:v>78557</x:v>
      </x:c>
      <x:c r="K21" s="9" t="n">
        <x:f aca="0">K12-K19</x:f>
        <x:v>89003</x:v>
      </x:c>
      <x:c r="L21" s="9" t="n">
        <x:f aca="0">L12-L19</x:f>
        <x:v>101409</x:v>
      </x:c>
      <x:c r="M21" s="9" t="n">
        <x:f aca="0">M12-M19</x:f>
        <x:v>108197</x:v>
      </x:c>
      <x:c r="N21" s="9" t="n">
        <x:f aca="0">N12-N19</x:f>
        <x:v>110656</x:v>
      </x:c>
      <x:c r="O21" s="9" t="n">
        <x:f aca="0">O12-O19</x:f>
        <x:v>107927</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pane xSplit="1" ySplit="4" topLeftCell="B5" activePane="bottomRight" state="frozen"/>
    </x:sheetView>
  </x:sheetViews>
  <x:sheetFormatPr defaultColWidth="8.6796875" defaultRowHeight="15"/>
  <x:cols>
    <x:col min="1" max="1" width="38" hidden="0" customWidth="1"/>
    <x:col min="2" max="15" width="13" hidden="0" customWidth="1"/>
  </x:cols>
  <x:sheetData>
    <x:row r="1" ht="15" hidden="0">
      <x:c r="A1" s="1" t="s">
        <x:v>32</x:v>
      </x:c>
    </x:row>
    <x:row r="2" ht="27.75" hidden="0" customHeight="1">
      <x:c r="A2" s="2" t="s">
        <x:v>33</x:v>
      </x:c>
    </x:row>
    <x:row r="4" ht="15" hidden="0">
      <x:c r="A4" s="3" t="s">
        <x:v>2</x:v>
      </x:c>
      <x:c r="B4" s="4" t="s">
        <x:v>3</x:v>
      </x:c>
      <x:c r="C4" s="4" t="s">
        <x:v>4</x:v>
      </x:c>
      <x:c r="D4" s="4" t="s">
        <x:v>5</x:v>
      </x:c>
      <x:c r="E4" s="4" t="s">
        <x:v>6</x:v>
      </x:c>
      <x:c r="F4" s="4" t="s">
        <x:v>7</x:v>
      </x:c>
      <x:c r="G4" s="4" t="s">
        <x:v>8</x:v>
      </x:c>
      <x:c r="H4" s="4" t="s">
        <x:v>9</x:v>
      </x:c>
      <x:c r="I4" s="4" t="s">
        <x:v>10</x:v>
      </x:c>
      <x:c r="J4" s="4" t="s">
        <x:v>11</x:v>
      </x:c>
      <x:c r="K4" s="4" t="s">
        <x:v>12</x:v>
      </x:c>
      <x:c r="L4" s="4" t="s">
        <x:v>13</x:v>
      </x:c>
      <x:c r="M4" s="4" t="s">
        <x:v>14</x:v>
      </x:c>
      <x:c r="N4" s="4" t="s">
        <x:v>15</x:v>
      </x:c>
      <x:c r="O4" s="4" t="s">
        <x:v>16</x:v>
      </x:c>
    </x:row>
    <x:row r="5" ht="15" hidden="0">
      <x:c r="A5" s="5" t="s">
        <x:v>17</x:v>
      </x:c>
    </x:row>
    <x:row r="6" ht="15" hidden="0">
      <x:c r="A6" s="6" t="s">
        <x:v>18</x:v>
      </x:c>
      <x:c r="B6" s="10" t="n">
        <x:v>0.1798</x:v>
      </x:c>
      <x:c r="C6" s="10" t="n">
        <x:v>0.1817</x:v>
      </x:c>
      <x:c r="D6" s="10" t="n">
        <x:v>0.1902</x:v>
      </x:c>
      <x:c r="E6" s="10" t="n">
        <x:v>0.1894</x:v>
      </x:c>
      <x:c r="F6" s="10" t="n">
        <x:v>0.1884</x:v>
      </x:c>
      <x:c r="G6" s="10" t="n">
        <x:v>0.1879</x:v>
      </x:c>
      <x:c r="H6" s="10" t="n">
        <x:v>0.1966</x:v>
      </x:c>
      <x:c r="I6" s="10" t="n">
        <x:v>0.1905</x:v>
      </x:c>
      <x:c r="J6" s="10" t="n">
        <x:v>0.1854</x:v>
      </x:c>
      <x:c r="K6" s="10" t="n">
        <x:v>0.1794</x:v>
      </x:c>
      <x:c r="L6" s="10" t="n">
        <x:v>0.1799</x:v>
      </x:c>
      <x:c r="M6" s="10" t="n">
        <x:v>0.1767</x:v>
      </x:c>
      <x:c r="N6" s="10" t="n">
        <x:v>0.1717</x:v>
      </x:c>
      <x:c r="O6" s="10" t="n">
        <x:v>0.1721</x:v>
      </x:c>
    </x:row>
    <x:row r="7" ht="15" hidden="0">
      <x:c r="A7" s="6" t="s">
        <x:v>19</x:v>
      </x:c>
      <x:c r="B7" s="10" t="n">
        <x:v>0.074</x:v>
      </x:c>
      <x:c r="C7" s="10" t="n">
        <x:v>0.0765</x:v>
      </x:c>
      <x:c r="D7" s="10" t="n">
        <x:v>0.0797</x:v>
      </x:c>
      <x:c r="E7" s="10" t="n">
        <x:v>0.0817</x:v>
      </x:c>
      <x:c r="F7" s="10" t="n">
        <x:v>0.0833</x:v>
      </x:c>
      <x:c r="G7" s="10" t="n">
        <x:v>0.0854</x:v>
      </x:c>
      <x:c r="H7" s="10" t="n">
        <x:v>0.0888</x:v>
      </x:c>
      <x:c r="I7" s="10" t="n">
        <x:v>0.0904</x:v>
      </x:c>
      <x:c r="J7" s="10" t="n">
        <x:v>0.0903</x:v>
      </x:c>
      <x:c r="K7" s="10" t="n">
        <x:v>0.093</x:v>
      </x:c>
      <x:c r="L7" s="10" t="n">
        <x:v>0.0952</x:v>
      </x:c>
      <x:c r="M7" s="10" t="n">
        <x:v>0.0958</x:v>
      </x:c>
      <x:c r="N7" s="10" t="n">
        <x:v>0.0943</x:v>
      </x:c>
      <x:c r="O7" s="10" t="n">
        <x:v>0.0957</x:v>
      </x:c>
    </x:row>
    <x:row r="8" ht="15" hidden="0">
      <x:c r="A8" s="6" t="s">
        <x:v>20</x:v>
      </x:c>
      <x:c r="B8" s="10" t="n">
        <x:v>0.063</x:v>
      </x:c>
      <x:c r="C8" s="10" t="n">
        <x:v>0.0674</x:v>
      </x:c>
      <x:c r="D8" s="10" t="n">
        <x:v>0.0712</x:v>
      </x:c>
      <x:c r="E8" s="10" t="n">
        <x:v>0.0724</x:v>
      </x:c>
      <x:c r="F8" s="10" t="n">
        <x:v>0.0713</x:v>
      </x:c>
      <x:c r="G8" s="10" t="n">
        <x:v>0.0722</x:v>
      </x:c>
      <x:c r="H8" s="10" t="n">
        <x:v>0.0724</x:v>
      </x:c>
      <x:c r="I8" s="10" t="n">
        <x:v>0.0672</x:v>
      </x:c>
      <x:c r="J8" s="10" t="n">
        <x:v>0.0629</x:v>
      </x:c>
      <x:c r="K8" s="10" t="n">
        <x:v>0.064</x:v>
      </x:c>
      <x:c r="L8" s="10" t="n">
        <x:v>0.0642</x:v>
      </x:c>
      <x:c r="M8" s="10" t="n">
        <x:v>0.0608</x:v>
      </x:c>
      <x:c r="N8" s="10" t="n">
        <x:v>0.0568</x:v>
      </x:c>
      <x:c r="O8" s="10" t="n">
        <x:v>0.0575</x:v>
      </x:c>
    </x:row>
    <x:row r="9" ht="15" hidden="0">
      <x:c r="A9" s="6" t="s">
        <x:v>21</x:v>
      </x:c>
      <x:c r="B9" s="10" t="n">
        <x:v>0.1132</x:v>
      </x:c>
      <x:c r="C9" s="10" t="n">
        <x:v>0.1167</x:v>
      </x:c>
      <x:c r="D9" s="10" t="n">
        <x:v>0.1237</x:v>
      </x:c>
      <x:c r="E9" s="10" t="n">
        <x:v>0.1255</x:v>
      </x:c>
      <x:c r="F9" s="10" t="n">
        <x:v>0.1257</x:v>
      </x:c>
      <x:c r="G9" s="10" t="n">
        <x:v>0.1266</x:v>
      </x:c>
      <x:c r="H9" s="10" t="n">
        <x:v>0.1324</x:v>
      </x:c>
      <x:c r="I9" s="10" t="n">
        <x:v>0.1295</x:v>
      </x:c>
      <x:c r="J9" s="10" t="n">
        <x:v>0.1259</x:v>
      </x:c>
      <x:c r="K9" s="10" t="n">
        <x:v>0.1315</x:v>
      </x:c>
      <x:c r="L9" s="10" t="n">
        <x:v>0.1383</x:v>
      </x:c>
      <x:c r="M9" s="10" t="n">
        <x:v>0.1362</x:v>
      </x:c>
      <x:c r="N9" s="10" t="n">
        <x:v>0.1319</x:v>
      </x:c>
      <x:c r="O9" s="10" t="n">
        <x:v>0.1323</x:v>
      </x:c>
    </x:row>
    <x:row r="10" ht="15" hidden="0">
      <x:c r="A10" s="6" t="s">
        <x:v>22</x:v>
      </x:c>
      <x:c r="B10" s="10" t="n">
        <x:v>0.0273</x:v>
      </x:c>
      <x:c r="C10" s="10" t="n">
        <x:v>0.0284</x:v>
      </x:c>
      <x:c r="D10" s="10" t="n">
        <x:v>0.0286</x:v>
      </x:c>
      <x:c r="E10" s="10" t="n">
        <x:v>0.0302</x:v>
      </x:c>
      <x:c r="F10" s="10" t="n">
        <x:v>0.031</x:v>
      </x:c>
      <x:c r="G10" s="10" t="n">
        <x:v>0.0313</x:v>
      </x:c>
      <x:c r="H10" s="10" t="n">
        <x:v>0.0324</x:v>
      </x:c>
      <x:c r="I10" s="10" t="n">
        <x:v>0.0326</x:v>
      </x:c>
      <x:c r="J10" s="10" t="n">
        <x:v>0.0332</x:v>
      </x:c>
      <x:c r="K10" s="10" t="n">
        <x:v>0.0337</x:v>
      </x:c>
      <x:c r="L10" s="10" t="n">
        <x:v>0.0342</x:v>
      </x:c>
      <x:c r="M10" s="10" t="n">
        <x:v>0.0346</x:v>
      </x:c>
      <x:c r="N10" s="10" t="n">
        <x:v>0.034</x:v>
      </x:c>
      <x:c r="O10" s="10" t="n">
        <x:v>0.0342</x:v>
      </x:c>
    </x:row>
    <x:row r="11" ht="15" hidden="0">
      <x:c r="A11" s="6" t="s">
        <x:v>23</x:v>
      </x:c>
      <x:c r="B11" s="10" t="n">
        <x:v>0.0449</x:v>
      </x:c>
      <x:c r="C11" s="10" t="n">
        <x:v>0.0484</x:v>
      </x:c>
      <x:c r="D11" s="10" t="n">
        <x:v>0.0521</x:v>
      </x:c>
      <x:c r="E11" s="10" t="n">
        <x:v>0.0521</x:v>
      </x:c>
      <x:c r="F11" s="10" t="n">
        <x:v>0.0521</x:v>
      </x:c>
      <x:c r="G11" s="10" t="n">
        <x:v>0.0516</x:v>
      </x:c>
      <x:c r="H11" s="10" t="n">
        <x:v>0.0514</x:v>
      </x:c>
      <x:c r="I11" s="10" t="n">
        <x:v>0.0459</x:v>
      </x:c>
      <x:c r="J11" s="10" t="n">
        <x:v>0.0414</x:v>
      </x:c>
      <x:c r="K11" s="10" t="n">
        <x:v>0.0446</x:v>
      </x:c>
      <x:c r="L11" s="10" t="n">
        <x:v>0.0502</x:v>
      </x:c>
      <x:c r="M11" s="10" t="n">
        <x:v>0.0432</x:v>
      </x:c>
      <x:c r="N11" s="10" t="n">
        <x:v>0.0366</x:v>
      </x:c>
      <x:c r="O11" s="10" t="n">
        <x:v>0.037</x:v>
      </x:c>
    </x:row>
    <x:row r="12" ht="15" hidden="0">
      <x:c r="A12" s="3" t="s">
        <x:v>24</x:v>
      </x:c>
      <x:c r="B12" s="11" t="n">
        <x:v>0.0896</x:v>
      </x:c>
      <x:c r="C12" s="11" t="n">
        <x:v>0.0926</x:v>
      </x:c>
      <x:c r="D12" s="11" t="n">
        <x:v>0.0981</x:v>
      </x:c>
      <x:c r="E12" s="11" t="n">
        <x:v>0.0997</x:v>
      </x:c>
      <x:c r="F12" s="11" t="n">
        <x:v>0.0998</x:v>
      </x:c>
      <x:c r="G12" s="11" t="n">
        <x:v>0.1001</x:v>
      </x:c>
      <x:c r="H12" s="11" t="n">
        <x:v>0.1044</x:v>
      </x:c>
      <x:c r="I12" s="11" t="n">
        <x:v>0.1017</x:v>
      </x:c>
      <x:c r="J12" s="11" t="n">
        <x:v>0.0987</x:v>
      </x:c>
      <x:c r="K12" s="11" t="n">
        <x:v>0.1054</x:v>
      </x:c>
      <x:c r="L12" s="11" t="n">
        <x:v>0.113</x:v>
      </x:c>
      <x:c r="M12" s="11" t="n">
        <x:v>0.1104</x:v>
      </x:c>
      <x:c r="N12" s="11" t="n">
        <x:v>0.1052</x:v>
      </x:c>
      <x:c r="O12" s="11" t="n">
        <x:v>0.1061</x:v>
      </x:c>
    </x:row>
    <x:row r="14" ht="15" hidden="0">
      <x:c r="A14" s="5" t="s">
        <x:v>25</x:v>
      </x:c>
    </x:row>
    <x:row r="15" ht="15" hidden="0">
      <x:c r="A15" s="6" t="s">
        <x:v>26</x:v>
      </x:c>
      <x:c r="B15" s="10" t="n">
        <x:v>0.024</x:v>
      </x:c>
      <x:c r="C15" s="10" t="n">
        <x:v>0.0291</x:v>
      </x:c>
      <x:c r="D15" s="10" t="n">
        <x:v>0.033</x:v>
      </x:c>
      <x:c r="E15" s="10" t="n">
        <x:v>0.0347</x:v>
      </x:c>
      <x:c r="F15" s="10" t="n">
        <x:v>0.0353</x:v>
      </x:c>
      <x:c r="G15" s="10" t="n">
        <x:v>0.0356</x:v>
      </x:c>
      <x:c r="H15" s="10" t="n">
        <x:v>0.0363</x:v>
      </x:c>
      <x:c r="I15" s="10" t="n">
        <x:v>0.0345</x:v>
      </x:c>
      <x:c r="J15" s="10" t="n">
        <x:v>0.0322</x:v>
      </x:c>
      <x:c r="K15" s="10" t="n">
        <x:v>0.0322</x:v>
      </x:c>
      <x:c r="L15" s="10" t="n">
        <x:v>0.0327</x:v>
      </x:c>
      <x:c r="M15" s="10" t="n">
        <x:v>0.0315</x:v>
      </x:c>
      <x:c r="N15" s="10" t="n">
        <x:v>0.03</x:v>
      </x:c>
      <x:c r="O15" s="10" t="n">
        <x:v>0.0291</x:v>
      </x:c>
    </x:row>
    <x:row r="16" ht="15" hidden="0">
      <x:c r="A16" s="6" t="s">
        <x:v>27</x:v>
      </x:c>
      <x:c r="B16" s="10" t="n">
        <x:v>0.049</x:v>
      </x:c>
      <x:c r="C16" s="10" t="n">
        <x:v>0.0531</x:v>
      </x:c>
      <x:c r="D16" s="10" t="n">
        <x:v>0.0563</x:v>
      </x:c>
      <x:c r="E16" s="10" t="n">
        <x:v>0.0584</x:v>
      </x:c>
      <x:c r="F16" s="10" t="n">
        <x:v>0.0585</x:v>
      </x:c>
      <x:c r="G16" s="10" t="n">
        <x:v>0.0591</x:v>
      </x:c>
      <x:c r="H16" s="10" t="n">
        <x:v>0.0593</x:v>
      </x:c>
      <x:c r="I16" s="10" t="n">
        <x:v>0.055</x:v>
      </x:c>
      <x:c r="J16" s="10" t="n">
        <x:v>0.0511</x:v>
      </x:c>
      <x:c r="K16" s="10" t="n">
        <x:v>0.0506</x:v>
      </x:c>
      <x:c r="L16" s="10" t="n">
        <x:v>0.0511</x:v>
      </x:c>
      <x:c r="M16" s="10" t="n">
        <x:v>0.0489</x:v>
      </x:c>
      <x:c r="N16" s="10" t="n">
        <x:v>0.0452</x:v>
      </x:c>
      <x:c r="O16" s="10" t="n">
        <x:v>0.0459</x:v>
      </x:c>
    </x:row>
    <x:row r="17" ht="15" hidden="0">
      <x:c r="A17" s="6" t="s">
        <x:v>28</x:v>
      </x:c>
      <x:c r="B17" s="10" t="n">
        <x:v>0.0649</x:v>
      </x:c>
      <x:c r="C17" s="10" t="n">
        <x:v>0.07</x:v>
      </x:c>
      <x:c r="D17" s="10" t="n">
        <x:v>0.0736</x:v>
      </x:c>
      <x:c r="E17" s="10" t="n">
        <x:v>0.0746</x:v>
      </x:c>
      <x:c r="F17" s="10" t="n">
        <x:v>0.0752</x:v>
      </x:c>
      <x:c r="G17" s="10" t="n">
        <x:v>0.0764</x:v>
      </x:c>
      <x:c r="H17" s="10" t="n">
        <x:v>0.0743</x:v>
      </x:c>
      <x:c r="I17" s="10" t="n">
        <x:v>0.0699</x:v>
      </x:c>
      <x:c r="J17" s="10" t="n">
        <x:v>0.0666</x:v>
      </x:c>
      <x:c r="K17" s="10" t="n">
        <x:v>0.0651</x:v>
      </x:c>
      <x:c r="L17" s="10" t="n">
        <x:v>0.0641</x:v>
      </x:c>
      <x:c r="M17" s="10" t="n">
        <x:v>0.0602</x:v>
      </x:c>
      <x:c r="N17" s="10" t="n">
        <x:v>0.0563</x:v>
      </x:c>
      <x:c r="O17" s="10" t="n">
        <x:v>0.057</x:v>
      </x:c>
    </x:row>
    <x:row r="18" ht="15" hidden="0">
      <x:c r="A18" s="6" t="s">
        <x:v>29</x:v>
      </x:c>
      <x:c r="B18" s="10" t="n">
        <x:v>0.0208</x:v>
      </x:c>
      <x:c r="C18" s="10" t="n">
        <x:v>0.0195</x:v>
      </x:c>
      <x:c r="D18" s="10" t="n">
        <x:v>0.0179</x:v>
      </x:c>
      <x:c r="E18" s="10" t="n">
        <x:v>0.0171</x:v>
      </x:c>
      <x:c r="F18" s="10" t="n">
        <x:v>0.0178</x:v>
      </x:c>
      <x:c r="G18" s="10" t="n">
        <x:v>0.0173</x:v>
      </x:c>
      <x:c r="H18" s="10" t="n">
        <x:v>0.015</x:v>
      </x:c>
      <x:c r="I18" s="10" t="n">
        <x:v>0.0198</x:v>
      </x:c>
      <x:c r="J18" s="10" t="n">
        <x:v>0.0157</x:v>
      </x:c>
      <x:c r="K18" s="10" t="n">
        <x:v>0.0185</x:v>
      </x:c>
      <x:c r="L18" s="10" t="n">
        <x:v>0.0204</x:v>
      </x:c>
      <x:c r="M18" s="10" t="n">
        <x:v>0.0245</x:v>
      </x:c>
      <x:c r="N18" s="10" t="n">
        <x:v>0.0244</x:v>
      </x:c>
      <x:c r="O18" s="10" t="n">
        <x:v>0.023</x:v>
      </x:c>
    </x:row>
    <x:row r="19" ht="15" hidden="0">
      <x:c r="A19" s="3" t="s">
        <x:v>30</x:v>
      </x:c>
      <x:c r="B19" s="11" t="n">
        <x:v>0.0287</x:v>
      </x:c>
      <x:c r="C19" s="11" t="n">
        <x:v>0.0336</x:v>
      </x:c>
      <x:c r="D19" s="11" t="n">
        <x:v>0.0375</x:v>
      </x:c>
      <x:c r="E19" s="11" t="n">
        <x:v>0.0392</x:v>
      </x:c>
      <x:c r="F19" s="11" t="n">
        <x:v>0.0398</x:v>
      </x:c>
      <x:c r="G19" s="11" t="n">
        <x:v>0.04</x:v>
      </x:c>
      <x:c r="H19" s="11" t="n">
        <x:v>0.0404</x:v>
      </x:c>
      <x:c r="I19" s="11" t="n">
        <x:v>0.0381</x:v>
      </x:c>
      <x:c r="J19" s="11" t="n">
        <x:v>0.0354</x:v>
      </x:c>
      <x:c r="K19" s="11" t="n">
        <x:v>0.0352</x:v>
      </x:c>
      <x:c r="L19" s="11" t="n">
        <x:v>0.0355</x:v>
      </x:c>
      <x:c r="M19" s="11" t="n">
        <x:v>0.034</x:v>
      </x:c>
      <x:c r="N19" s="11" t="n">
        <x:v>0.0323</x:v>
      </x:c>
      <x:c r="O19" s="11" t="n">
        <x:v>0.0315</x:v>
      </x:c>
    </x:row>
    <x:row r="21" ht="15" hidden="0">
      <x:c r="A21" s="3" t="s">
        <x:v>34</x:v>
      </x:c>
      <x:c r="B21" s="12" t="n">
        <x:f aca="0">B12-B19</x:f>
        <x:v>0.060899999999999996</x:v>
      </x:c>
      <x:c r="C21" s="12" t="n">
        <x:f aca="0">C12-C19</x:f>
        <x:v>0.059000000000000004</x:v>
      </x:c>
      <x:c r="D21" s="12" t="n">
        <x:f aca="0">D12-D19</x:f>
        <x:v>0.06060000000000001</x:v>
      </x:c>
      <x:c r="E21" s="12" t="n">
        <x:f aca="0">E12-E19</x:f>
        <x:v>0.0605</x:v>
      </x:c>
      <x:c r="F21" s="12" t="n">
        <x:f aca="0">F12-F19</x:f>
        <x:v>0.06</x:v>
      </x:c>
      <x:c r="G21" s="12" t="n">
        <x:f aca="0">G12-G19</x:f>
        <x:v>0.060099999999999994</x:v>
      </x:c>
      <x:c r="H21" s="12" t="n">
        <x:f aca="0">H12-H19</x:f>
        <x:v>0.064</x:v>
      </x:c>
      <x:c r="I21" s="12" t="n">
        <x:f aca="0">I12-I19</x:f>
        <x:v>0.06359999999999999</x:v>
      </x:c>
      <x:c r="J21" s="12" t="n">
        <x:f aca="0">J12-J19</x:f>
        <x:v>0.0633</x:v>
      </x:c>
      <x:c r="K21" s="12" t="n">
        <x:f aca="0">K12-K19</x:f>
        <x:v>0.07019999999999998</x:v>
      </x:c>
      <x:c r="L21" s="12" t="n">
        <x:f aca="0">L12-L19</x:f>
        <x:v>0.07750000000000001</x:v>
      </x:c>
      <x:c r="M21" s="12" t="n">
        <x:f aca="0">M12-M19</x:f>
        <x:v>0.0764</x:v>
      </x:c>
      <x:c r="N21" s="12" t="n">
        <x:f aca="0">N12-N19</x:f>
        <x:v>0.07289999999999999</x:v>
      </x:c>
      <x:c r="O21" s="12" t="n">
        <x:f aca="0">O12-O19</x:f>
        <x:v>0.0746</x:v>
      </x:c>
    </x:row>
    <x:row r="22" ht="15" hidden="0">
      <x:c r="A22" s="3" t="s">
        <x:v>35</x:v>
      </x:c>
      <x:c r="B22" s="12" t="n">
        <x:f aca="0">IFERROR(('Net Interest Income'!B21*4)/Balance!B12,"")</x:f>
        <x:v>0.06604794588222859</x:v>
      </x:c>
      <x:c r="C22" s="12" t="n">
        <x:f aca="0">IFERROR(('Net Interest Income'!C21*4)/Balance!C12,"")</x:f>
        <x:v>0.0647904194343932</x:v>
      </x:c>
      <x:c r="D22" s="12" t="n">
        <x:f aca="0">IFERROR(('Net Interest Income'!D21*4)/Balance!D12,"")</x:f>
        <x:v>0.06694443692901526</x:v>
      </x:c>
      <x:c r="E22" s="12" t="n">
        <x:f aca="0">IFERROR(('Net Interest Income'!E21*4)/Balance!E12,"")</x:f>
        <x:v>0.067285772133095</x:v>
      </x:c>
      <x:c r="F22" s="12" t="n">
        <x:f aca="0">IFERROR(('Net Interest Income'!F21*4)/Balance!F12,"")</x:f>
        <x:v>0.06688655502531247</x:v>
      </x:c>
      <x:c r="G22" s="12" t="n">
        <x:f aca="0">IFERROR(('Net Interest Income'!G21*4)/Balance!G12,"")</x:f>
        <x:v>0.06694048453343032</x:v>
      </x:c>
      <x:c r="H22" s="12" t="n">
        <x:f aca="0">IFERROR(('Net Interest Income'!H21*4)/Balance!H12,"")</x:f>
        <x:v>0.07107840980100509</x:v>
      </x:c>
      <x:c r="I22" s="12" t="n">
        <x:f aca="0">IFERROR(('Net Interest Income'!I21*4)/Balance!I12,"")</x:f>
        <x:v>0.07031192341921899</x:v>
      </x:c>
      <x:c r="J22" s="12" t="n">
        <x:f aca="0">IFERROR(('Net Interest Income'!J21*4)/Balance!J12,"")</x:f>
        <x:v>0.06926103839696092</x:v>
      </x:c>
      <x:c r="K22" s="12" t="n">
        <x:f aca="0">IFERROR(('Net Interest Income'!K21*4)/Balance!K12,"")</x:f>
        <x:v>0.07616268104829416</x:v>
      </x:c>
      <x:c r="L22" s="12" t="n">
        <x:f aca="0">IFERROR(('Net Interest Income'!L21*4)/Balance!L12,"")</x:f>
        <x:v>0.08363464122026744</x:v>
      </x:c>
      <x:c r="M22" s="12" t="n">
        <x:f aca="0">IFERROR(('Net Interest Income'!M21*4)/Balance!M12,"")</x:f>
        <x:v>0.08250752452606655</x:v>
      </x:c>
      <x:c r="N22" s="12" t="n">
        <x:f aca="0">IFERROR(('Net Interest Income'!N21*4)/Balance!N12,"")</x:f>
        <x:v>0.07871374800906715</x:v>
      </x:c>
      <x:c r="O22" s="12" t="n">
        <x:f aca="0">IFERROR(('Net Interest Income'!O21*4)/Balance!O12,"")</x:f>
        <x:v>0.08014469310197982</x:v>
      </x:c>
    </x:row>
  </x:sheetData>
  <x:pageMargins left="0.7" right="0.7" top="0.75" bottom="0.75" header="0.3" footer="0.3"/>
</x:worksheet>
</file>

<file path=xl/worksheets/sheet3.xml><?xml version="1.0" encoding="utf-8"?>
<x:worksheet xmlns:x="http://schemas.openxmlformats.org/spreadsheetml/2006/main">
  <x:sheetViews>
    <x:sheetView showGridLines="1" workbookViewId="0">
      <x:pane xSplit="1" ySplit="4" topLeftCell="B5" activePane="bottomRight" state="frozen"/>
    </x:sheetView>
  </x:sheetViews>
  <x:sheetFormatPr defaultColWidth="8.6796875" defaultRowHeight="15"/>
  <x:cols>
    <x:col min="1" max="1" width="38" hidden="0" customWidth="1"/>
    <x:col min="2" max="15" width="13" hidden="0" customWidth="1"/>
  </x:cols>
  <x:sheetData>
    <x:row r="1" ht="15" hidden="0">
      <x:c r="A1" s="1" t="s">
        <x:v>36</x:v>
      </x:c>
    </x:row>
    <x:row r="2" ht="27.75" hidden="0" customHeight="1">
      <x:c r="A2" s="2" t="s">
        <x:v>37</x:v>
      </x:c>
    </x:row>
    <x:row r="4" ht="15" hidden="0">
      <x:c r="A4" s="3" t="s">
        <x:v>2</x:v>
      </x:c>
      <x:c r="B4" s="4" t="s">
        <x:v>3</x:v>
      </x:c>
      <x:c r="C4" s="4" t="s">
        <x:v>4</x:v>
      </x:c>
      <x:c r="D4" s="4" t="s">
        <x:v>5</x:v>
      </x:c>
      <x:c r="E4" s="4" t="s">
        <x:v>6</x:v>
      </x:c>
      <x:c r="F4" s="4" t="s">
        <x:v>7</x:v>
      </x:c>
      <x:c r="G4" s="4" t="s">
        <x:v>8</x:v>
      </x:c>
      <x:c r="H4" s="4" t="s">
        <x:v>9</x:v>
      </x:c>
      <x:c r="I4" s="4" t="s">
        <x:v>10</x:v>
      </x:c>
      <x:c r="J4" s="4" t="s">
        <x:v>11</x:v>
      </x:c>
      <x:c r="K4" s="4" t="s">
        <x:v>12</x:v>
      </x:c>
      <x:c r="L4" s="4" t="s">
        <x:v>13</x:v>
      </x:c>
      <x:c r="M4" s="4" t="s">
        <x:v>14</x:v>
      </x:c>
      <x:c r="N4" s="4" t="s">
        <x:v>15</x:v>
      </x:c>
      <x:c r="O4" s="4" t="s">
        <x:v>16</x:v>
      </x:c>
    </x:row>
    <x:row r="5" ht="15" hidden="0">
      <x:c r="A5" s="5" t="s">
        <x:v>17</x:v>
      </x:c>
    </x:row>
    <x:row r="6" ht="15" hidden="0">
      <x:c r="A6" s="6" t="s">
        <x:v>18</x:v>
      </x:c>
      <x:c r="B6" s="7" t="n">
        <x:v>6053</x:v>
      </x:c>
      <x:c r="C6" s="7" t="n">
        <x:v>6302</x:v>
      </x:c>
      <x:c r="D6" s="7" t="n">
        <x:v>6850</x:v>
      </x:c>
      <x:c r="E6" s="7" t="n">
        <x:v>7062</x:v>
      </x:c>
      <x:c r="F6" s="7" t="n">
        <x:v>7067</x:v>
      </x:c>
      <x:c r="G6" s="7" t="n">
        <x:v>7088</x:v>
      </x:c>
      <x:c r="H6" s="7" t="n">
        <x:v>7578</x:v>
      </x:c>
      <x:c r="I6" s="7" t="n">
        <x:v>7493</x:v>
      </x:c>
      <x:c r="J6" s="7" t="n">
        <x:v>7248</x:v>
      </x:c>
      <x:c r="K6" s="7" t="n">
        <x:v>9407</x:v>
      </x:c>
      <x:c r="L6" s="7" t="n">
        <x:v>12109</x:v>
      </x:c>
      <x:c r="M6" s="7" t="n">
        <x:v>12049</x:v>
      </x:c>
      <x:c r="N6" s="7" t="n">
        <x:v>11633</x:v>
      </x:c>
      <x:c r="O6" s="7" t="n">
        <x:v>11670</x:v>
      </x:c>
    </x:row>
    <x:row r="7" ht="15" hidden="0">
      <x:c r="A7" s="6" t="s">
        <x:v>19</x:v>
      </x:c>
      <x:c r="B7" s="7" t="n">
        <x:v>1461</x:v>
      </x:c>
      <x:c r="C7" s="7" t="n">
        <x:v>1486</x:v>
      </x:c>
      <x:c r="D7" s="7" t="n">
        <x:v>1537</x:v>
      </x:c>
      <x:c r="E7" s="7" t="n">
        <x:v>1557</x:v>
      </x:c>
      <x:c r="F7" s="7" t="n">
        <x:v>1564</x:v>
      </x:c>
      <x:c r="G7" s="7" t="n">
        <x:v>1611</x:v>
      </x:c>
      <x:c r="H7" s="7" t="n">
        <x:v>1692</x:v>
      </x:c>
      <x:c r="I7" s="7" t="n">
        <x:v>1745</x:v>
      </x:c>
      <x:c r="J7" s="7" t="n">
        <x:v>1773</x:v>
      </x:c>
      <x:c r="K7" s="7" t="n">
        <x:v>1861</x:v>
      </x:c>
      <x:c r="L7" s="7" t="n">
        <x:v>1958</x:v>
      </x:c>
      <x:c r="M7" s="7" t="n">
        <x:v>2012</x:v>
      </x:c>
      <x:c r="N7" s="7" t="n">
        <x:v>2020</x:v>
      </x:c>
      <x:c r="O7" s="7" t="n">
        <x:v>2121</x:v>
      </x:c>
    </x:row>
    <x:row r="8" ht="15" hidden="0">
      <x:c r="A8" s="6" t="s">
        <x:v>20</x:v>
      </x:c>
      <x:c r="B8" s="7" t="n">
        <x:v>1488</x:v>
      </x:c>
      <x:c r="C8" s="7" t="n">
        <x:v>1580</x:v>
      </x:c>
      <x:c r="D8" s="7" t="n">
        <x:v>1642</x:v>
      </x:c>
      <x:c r="E8" s="7" t="n">
        <x:v>1653</x:v>
      </x:c>
      <x:c r="F8" s="7" t="n">
        <x:v>1612</x:v>
      </x:c>
      <x:c r="G8" s="7" t="n">
        <x:v>1616</x:v>
      </x:c>
      <x:c r="H8" s="7" t="n">
        <x:v>1601</x:v>
      </x:c>
      <x:c r="I8" s="7" t="n">
        <x:v>1472</x:v>
      </x:c>
      <x:c r="J8" s="7" t="n">
        <x:v>1382</x:v>
      </x:c>
      <x:c r="K8" s="7" t="n">
        <x:v>1421</x:v>
      </x:c>
      <x:c r="L8" s="7" t="n">
        <x:v>1426</x:v>
      </x:c>
      <x:c r="M8" s="7" t="n">
        <x:v>1356</x:v>
      </x:c>
      <x:c r="N8" s="7" t="n">
        <x:v>1278</x:v>
      </x:c>
      <x:c r="O8" s="7" t="n">
        <x:v>1308</x:v>
      </x:c>
    </x:row>
    <x:row r="9" ht="15" hidden="0">
      <x:c r="A9" s="6" t="s">
        <x:v>21</x:v>
      </x:c>
      <x:c r="B9" s="7" t="n">
        <x:v>8723</x:v>
      </x:c>
      <x:c r="C9" s="7" t="n">
        <x:v>9057</x:v>
      </x:c>
      <x:c r="D9" s="7" t="n">
        <x:v>9696</x:v>
      </x:c>
      <x:c r="E9" s="7" t="n">
        <x:v>9934</x:v>
      </x:c>
      <x:c r="F9" s="7" t="n">
        <x:v>9920</x:v>
      </x:c>
      <x:c r="G9" s="7" t="n">
        <x:v>9993</x:v>
      </x:c>
      <x:c r="H9" s="7" t="n">
        <x:v>10547</x:v>
      </x:c>
      <x:c r="I9" s="7" t="n">
        <x:v>10434</x:v>
      </x:c>
      <x:c r="J9" s="7" t="n">
        <x:v>10157</x:v>
      </x:c>
      <x:c r="K9" s="7" t="n">
        <x:v>12449</x:v>
      </x:c>
      <x:c r="L9" s="7" t="n">
        <x:v>15229</x:v>
      </x:c>
      <x:c r="M9" s="7" t="n">
        <x:v>15186</x:v>
      </x:c>
      <x:c r="N9" s="7" t="n">
        <x:v>14735</x:v>
      </x:c>
      <x:c r="O9" s="7" t="n">
        <x:v>14911</x:v>
      </x:c>
    </x:row>
    <x:row r="10" ht="15" hidden="0">
      <x:c r="A10" s="6" t="s">
        <x:v>22</x:v>
      </x:c>
      <x:c r="B10" s="7" t="n">
        <x:v>615</x:v>
      </x:c>
      <x:c r="C10" s="7" t="n">
        <x:v>639</x:v>
      </x:c>
      <x:c r="D10" s="7" t="n">
        <x:v>627</x:v>
      </x:c>
      <x:c r="E10" s="7" t="n">
        <x:v>669</x:v>
      </x:c>
      <x:c r="F10" s="7" t="n">
        <x:v>687</x:v>
      </x:c>
      <x:c r="G10" s="7" t="n">
        <x:v>700</x:v>
      </x:c>
      <x:c r="H10" s="7" t="n">
        <x:v>733</x:v>
      </x:c>
      <x:c r="I10" s="7" t="n">
        <x:v>753</x:v>
      </x:c>
      <x:c r="J10" s="7" t="n">
        <x:v>770</x:v>
      </x:c>
      <x:c r="K10" s="7" t="n">
        <x:v>784</x:v>
      </x:c>
      <x:c r="L10" s="7" t="n">
        <x:v>823</x:v>
      </x:c>
      <x:c r="M10" s="7" t="n">
        <x:v>841</x:v>
      </x:c>
      <x:c r="N10" s="7" t="n">
        <x:v>832</x:v>
      </x:c>
      <x:c r="O10" s="7" t="n">
        <x:v>850</x:v>
      </x:c>
    </x:row>
    <x:row r="11" ht="15" hidden="0">
      <x:c r="A11" s="6" t="s">
        <x:v>23</x:v>
      </x:c>
      <x:c r="B11" s="7" t="n">
        <x:v>416</x:v>
      </x:c>
      <x:c r="C11" s="7" t="n">
        <x:v>470</x:v>
      </x:c>
      <x:c r="D11" s="7" t="n">
        <x:v>550</x:v>
      </x:c>
      <x:c r="E11" s="7" t="n">
        <x:v>542</x:v>
      </x:c>
      <x:c r="F11" s="7" t="n">
        <x:v>570</x:v>
      </x:c>
      <x:c r="G11" s="7" t="n">
        <x:v>587</x:v>
      </x:c>
      <x:c r="H11" s="7" t="n">
        <x:v>580</x:v>
      </x:c>
      <x:c r="I11" s="7" t="n">
        <x:v>530</x:v>
      </x:c>
      <x:c r="J11" s="7" t="n">
        <x:v>491</x:v>
      </x:c>
      <x:c r="K11" s="7" t="n">
        <x:v>595</x:v>
      </x:c>
      <x:c r="L11" s="7" t="n">
        <x:v>711</x:v>
      </x:c>
      <x:c r="M11" s="7" t="n">
        <x:v>660</x:v>
      </x:c>
      <x:c r="N11" s="7" t="n">
        <x:v>664</x:v>
      </x:c>
      <x:c r="O11" s="7" t="n">
        <x:v>624</x:v>
      </x:c>
    </x:row>
    <x:row r="12" ht="15" hidden="0">
      <x:c r="A12" s="3" t="s">
        <x:v>24</x:v>
      </x:c>
      <x:c r="B12" s="8" t="n">
        <x:v>9754</x:v>
      </x:c>
      <x:c r="C12" s="8" t="n">
        <x:v>10166</x:v>
      </x:c>
      <x:c r="D12" s="8" t="n">
        <x:v>10873</x:v>
      </x:c>
      <x:c r="E12" s="8" t="n">
        <x:v>11145</x:v>
      </x:c>
      <x:c r="F12" s="8" t="n">
        <x:v>11177</x:v>
      </x:c>
      <x:c r="G12" s="8" t="n">
        <x:v>11280</x:v>
      </x:c>
      <x:c r="H12" s="8" t="n">
        <x:v>11860</x:v>
      </x:c>
      <x:c r="I12" s="8" t="n">
        <x:v>11717</x:v>
      </x:c>
      <x:c r="J12" s="8" t="n">
        <x:v>11418</x:v>
      </x:c>
      <x:c r="K12" s="8" t="n">
        <x:v>13828</x:v>
      </x:c>
      <x:c r="L12" s="8" t="n">
        <x:v>16763</x:v>
      </x:c>
      <x:c r="M12" s="8" t="n">
        <x:v>16687</x:v>
      </x:c>
      <x:c r="N12" s="8" t="n">
        <x:v>16231</x:v>
      </x:c>
      <x:c r="O12" s="8" t="n">
        <x:v>16385</x:v>
      </x:c>
    </x:row>
    <x:row r="14" ht="15" hidden="0">
      <x:c r="A14" s="5" t="s">
        <x:v>25</x:v>
      </x:c>
    </x:row>
    <x:row r="15" ht="15" hidden="0">
      <x:c r="A15" s="6" t="s">
        <x:v>26</x:v>
      </x:c>
      <x:c r="B15" s="7" t="n">
        <x:v>1856</x:v>
      </x:c>
      <x:c r="C15" s="7" t="n">
        <x:v>2277</x:v>
      </x:c>
      <x:c r="D15" s="7" t="n">
        <x:v>2611</x:v>
      </x:c>
      <x:c r="E15" s="7" t="n">
        <x:v>2745</x:v>
      </x:c>
      <x:c r="F15" s="7" t="n">
        <x:v>2812</x:v>
      </x:c>
      <x:c r="G15" s="7" t="n">
        <x:v>2874</x:v>
      </x:c>
      <x:c r="H15" s="7" t="n">
        <x:v>2945</x:v>
      </x:c>
      <x:c r="I15" s="7" t="n">
        <x:v>2862</x:v>
      </x:c>
      <x:c r="J15" s="7" t="n">
        <x:v>2715</x:v>
      </x:c>
      <x:c r="K15" s="7" t="n">
        <x:v>3120</x:v>
      </x:c>
      <x:c r="L15" s="7" t="n">
        <x:v>3597</x:v>
      </x:c>
      <x:c r="M15" s="7" t="n">
        <x:v>3493</x:v>
      </x:c>
      <x:c r="N15" s="7" t="n">
        <x:v>3387</x:v>
      </x:c>
      <x:c r="O15" s="7" t="n">
        <x:v>3338</x:v>
      </x:c>
    </x:row>
    <x:row r="16" ht="15" hidden="0">
      <x:c r="A16" s="6" t="s">
        <x:v>27</x:v>
      </x:c>
      <x:c r="B16" s="7" t="n">
        <x:v>211</x:v>
      </x:c>
      <x:c r="C16" s="7" t="n">
        <x:v>236</x:v>
      </x:c>
      <x:c r="D16" s="7" t="n">
        <x:v>249</x:v>
      </x:c>
      <x:c r="E16" s="7" t="n">
        <x:v>263</x:v>
      </x:c>
      <x:c r="F16" s="7" t="n">
        <x:v>261</x:v>
      </x:c>
      <x:c r="G16" s="7" t="n">
        <x:v>258</x:v>
      </x:c>
      <x:c r="H16" s="7" t="n">
        <x:v>234</x:v>
      </x:c>
      <x:c r="I16" s="7" t="n">
        <x:v>205</x:v>
      </x:c>
      <x:c r="J16" s="7" t="n">
        <x:v>176</x:v>
      </x:c>
      <x:c r="K16" s="7" t="n">
        <x:v>164</x:v>
      </x:c>
      <x:c r="L16" s="7" t="n">
        <x:v>165</x:v>
      </x:c>
      <x:c r="M16" s="7" t="n">
        <x:v>155</x:v>
      </x:c>
      <x:c r="N16" s="7" t="n">
        <x:v>141</x:v>
      </x:c>
      <x:c r="O16" s="7" t="n">
        <x:v>117</x:v>
      </x:c>
    </x:row>
    <x:row r="17" ht="15" hidden="0">
      <x:c r="A17" s="6" t="s">
        <x:v>28</x:v>
      </x:c>
      <x:c r="B17" s="7" t="n">
        <x:v>489</x:v>
      </x:c>
      <x:c r="C17" s="7" t="n">
        <x:v>528</x:v>
      </x:c>
      <x:c r="D17" s="7" t="n">
        <x:v>579</x:v>
      </x:c>
      <x:c r="E17" s="7" t="n">
        <x:v>608</x:v>
      </x:c>
      <x:c r="F17" s="7" t="n">
        <x:v>606</x:v>
      </x:c>
      <x:c r="G17" s="7" t="n">
        <x:v>591</x:v>
      </x:c>
      <x:c r="H17" s="7" t="n">
        <x:v>596</x:v>
      </x:c>
      <x:c r="I17" s="7" t="n">
        <x:v>540</x:v>
      </x:c>
      <x:c r="J17" s="7" t="n">
        <x:v>505</x:v>
      </x:c>
      <x:c r="K17" s="7" t="n">
        <x:v>535</x:v>
      </x:c>
      <x:c r="L17" s="7" t="n">
        <x:v>582</x:v>
      </x:c>
      <x:c r="M17" s="7" t="n">
        <x:v>550</x:v>
      </x:c>
      <x:c r="N17" s="7" t="n">
        <x:v>532</x:v>
      </x:c>
      <x:c r="O17" s="7" t="n">
        <x:v>535</x:v>
      </x:c>
    </x:row>
    <x:row r="18" ht="15" hidden="0">
      <x:c r="A18" s="6" t="s">
        <x:v>29</x:v>
      </x:c>
      <x:c r="B18" s="7" t="n">
        <x:v>12</x:v>
      </x:c>
      <x:c r="C18" s="7" t="n">
        <x:v>12</x:v>
      </x:c>
      <x:c r="D18" s="7" t="n">
        <x:v>11</x:v>
      </x:c>
      <x:c r="E18" s="7" t="n">
        <x:v>10</x:v>
      </x:c>
      <x:c r="F18" s="7" t="n">
        <x:v>10</x:v>
      </x:c>
      <x:c r="G18" s="7" t="n">
        <x:v>11</x:v>
      </x:c>
      <x:c r="H18" s="7" t="n">
        <x:v>9</x:v>
      </x:c>
      <x:c r="I18" s="7" t="n">
        <x:v>12</x:v>
      </x:c>
      <x:c r="J18" s="7" t="n">
        <x:v>9</x:v>
      </x:c>
      <x:c r="K18" s="7" t="n">
        <x:v>14</x:v>
      </x:c>
      <x:c r="L18" s="7" t="n">
        <x:v>15</x:v>
      </x:c>
      <x:c r="M18" s="7" t="n">
        <x:v>23</x:v>
      </x:c>
      <x:c r="N18" s="7" t="n">
        <x:v>26</x:v>
      </x:c>
      <x:c r="O18" s="7" t="n">
        <x:v>21</x:v>
      </x:c>
    </x:row>
    <x:row r="19" ht="15" hidden="0">
      <x:c r="A19" s="3" t="s">
        <x:v>30</x:v>
      </x:c>
      <x:c r="B19" s="8" t="n">
        <x:v>2568</x:v>
      </x:c>
      <x:c r="C19" s="8" t="n">
        <x:v>3053</x:v>
      </x:c>
      <x:c r="D19" s="8" t="n">
        <x:v>3450</x:v>
      </x:c>
      <x:c r="E19" s="8" t="n">
        <x:v>3626</x:v>
      </x:c>
      <x:c r="F19" s="8" t="n">
        <x:v>3689</x:v>
      </x:c>
      <x:c r="G19" s="8" t="n">
        <x:v>3734</x:v>
      </x:c>
      <x:c r="H19" s="8" t="n">
        <x:v>3784</x:v>
      </x:c>
      <x:c r="I19" s="8" t="n">
        <x:v>3619</x:v>
      </x:c>
      <x:c r="J19" s="8" t="n">
        <x:v>3405</x:v>
      </x:c>
      <x:c r="K19" s="8" t="n">
        <x:v>3833</x:v>
      </x:c>
      <x:c r="L19" s="8" t="n">
        <x:v>4359</x:v>
      </x:c>
      <x:c r="M19" s="8" t="n">
        <x:v>4221</x:v>
      </x:c>
      <x:c r="N19" s="8" t="n">
        <x:v>4086</x:v>
      </x:c>
      <x:c r="O19" s="8" t="n">
        <x:v>4011</x:v>
      </x:c>
    </x:row>
    <x:row r="21" ht="15" hidden="0">
      <x:c r="A21" s="3" t="s">
        <x:v>38</x:v>
      </x:c>
      <x:c r="B21" s="8" t="n">
        <x:f aca="0">B12-B19</x:f>
        <x:v>7186</x:v>
      </x:c>
      <x:c r="C21" s="8" t="n">
        <x:f aca="0">C12-C19</x:f>
        <x:v>7113</x:v>
      </x:c>
      <x:c r="D21" s="8" t="n">
        <x:f aca="0">D12-D19</x:f>
        <x:v>7423</x:v>
      </x:c>
      <x:c r="E21" s="8" t="n">
        <x:f aca="0">E12-E19</x:f>
        <x:v>7519</x:v>
      </x:c>
      <x:c r="F21" s="8" t="n">
        <x:f aca="0">F12-F19</x:f>
        <x:v>7488</x:v>
      </x:c>
      <x:c r="G21" s="8" t="n">
        <x:f aca="0">G12-G19</x:f>
        <x:v>7546</x:v>
      </x:c>
      <x:c r="H21" s="8" t="n">
        <x:f aca="0">H12-H19</x:f>
        <x:v>8076</x:v>
      </x:c>
      <x:c r="I21" s="8" t="n">
        <x:f aca="0">I12-I19</x:f>
        <x:v>8098</x:v>
      </x:c>
      <x:c r="J21" s="8" t="n">
        <x:f aca="0">J12-J19</x:f>
        <x:v>8013</x:v>
      </x:c>
      <x:c r="K21" s="8" t="n">
        <x:f aca="0">K12-K19</x:f>
        <x:v>9995</x:v>
      </x:c>
      <x:c r="L21" s="8" t="n">
        <x:f aca="0">L12-L19</x:f>
        <x:v>12404</x:v>
      </x:c>
      <x:c r="M21" s="8" t="n">
        <x:f aca="0">M12-M19</x:f>
        <x:v>12466</x:v>
      </x:c>
      <x:c r="N21" s="8" t="n">
        <x:f aca="0">N12-N19</x:f>
        <x:v>12145</x:v>
      </x:c>
      <x:c r="O21" s="8" t="n">
        <x:f aca="0">O12-O19</x:f>
        <x:v>12374</x:v>
      </x:c>
    </x:row>
    <x:row r="23" ht="15" hidden="0">
      <x:c r="A23" s="5" t="s">
        <x:v>39</x:v>
      </x:c>
    </x:row>
    <x:row r="24" ht="15" hidden="0">
      <x:c r="A24" s="6" t="s">
        <x:v>40</x:v>
      </x:c>
      <x:c r="B24" s="13" t="n">
        <x:v>7186</x:v>
      </x:c>
      <x:c r="C24" s="13" t="n">
        <x:v>7113</x:v>
      </x:c>
      <x:c r="D24" s="13" t="n">
        <x:v>7423</x:v>
      </x:c>
      <x:c r="E24" s="13" t="n">
        <x:v>7519</x:v>
      </x:c>
      <x:c r="F24" s="13" t="n">
        <x:v>7488</x:v>
      </x:c>
      <x:c r="G24" s="13" t="n">
        <x:v>7546</x:v>
      </x:c>
      <x:c r="H24" s="13" t="n">
        <x:v>8076</x:v>
      </x:c>
      <x:c r="I24" s="13" t="n">
        <x:v>8098</x:v>
      </x:c>
      <x:c r="J24" s="13" t="n">
        <x:v>8013</x:v>
      </x:c>
      <x:c r="K24" s="13" t="n">
        <x:v>9995</x:v>
      </x:c>
      <x:c r="L24" s="13" t="n">
        <x:v>12404</x:v>
      </x:c>
      <x:c r="M24" s="13" t="n">
        <x:v>12466</x:v>
      </x:c>
      <x:c r="N24" s="13" t="n">
        <x:v>12145</x:v>
      </x:c>
      <x:c r="O24" s="13" t="n">
        <x:v>12374</x:v>
      </x:c>
    </x:row>
    <x:row r="25" ht="15" hidden="0">
      <x:c r="A25" s="3" t="s">
        <x:v>41</x:v>
      </x:c>
      <x:c r="B25" s="14" t="n">
        <x:f aca="0">IF(B24="","",B21-B24)</x:f>
        <x:v>0</x:v>
      </x:c>
      <x:c r="C25" s="14" t="n">
        <x:f aca="0">IF(C24="","",C21-C24)</x:f>
        <x:v>0</x:v>
      </x:c>
      <x:c r="D25" s="14" t="n">
        <x:f aca="0">IF(D24="","",D21-D24)</x:f>
        <x:v>0</x:v>
      </x:c>
      <x:c r="E25" s="14" t="n">
        <x:f aca="0">IF(E24="","",E21-E24)</x:f>
        <x:v>0</x:v>
      </x:c>
      <x:c r="F25" s="14" t="n">
        <x:f aca="0">IF(F24="","",F21-F24)</x:f>
        <x:v>0</x:v>
      </x:c>
      <x:c r="G25" s="14" t="n">
        <x:f aca="0">IF(G24="","",G21-G24)</x:f>
        <x:v>0</x:v>
      </x:c>
      <x:c r="H25" s="14" t="n">
        <x:f aca="0">IF(H24="","",H21-H24)</x:f>
        <x:v>0</x:v>
      </x:c>
      <x:c r="I25" s="14" t="n">
        <x:f aca="0">IF(I24="","",I21-I24)</x:f>
        <x:v>0</x:v>
      </x:c>
      <x:c r="J25" s="14" t="n">
        <x:f aca="0">IF(J24="","",J21-J24)</x:f>
        <x:v>0</x:v>
      </x:c>
      <x:c r="K25" s="14" t="n">
        <x:f aca="0">IF(K24="","",K21-K24)</x:f>
        <x:v>0</x:v>
      </x:c>
      <x:c r="L25" s="14" t="n">
        <x:f aca="0">IF(L24="","",L21-L24)</x:f>
        <x:v>0</x:v>
      </x:c>
      <x:c r="M25" s="14" t="n">
        <x:f aca="0">IF(M24="","",M21-M24)</x:f>
        <x:v>0</x:v>
      </x:c>
      <x:c r="N25" s="14" t="n">
        <x:f aca="0">IF(N24="","",N21-N24)</x:f>
        <x:v>0</x:v>
      </x:c>
      <x:c r="O25" s="14" t="n">
        <x:f aca="0">IF(O24="","",O21-O24)</x:f>
        <x:v>0</x:v>
      </x:c>
    </x:row>
    <x:row r="27" ht="15" hidden="0">
      <x:c r="A27" s="15" t="s">
        <x:v>42</x:v>
      </x:c>
    </x:row>
  </x:sheetData>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8.6796875" defaultRowHeight="15"/>
  <x:cols>
    <x:col min="1" max="1" width="108" hidden="0" customWidth="1"/>
  </x:cols>
  <x:sheetData>
    <x:row r="1" ht="15" hidden="0">
      <x:c r="A1" s="16" t="s">
        <x:v>43</x:v>
      </x:c>
    </x:row>
    <x:row r="2" ht="15" hidden="0">
      <x:c r="A2" s="17"/>
    </x:row>
    <x:row r="3" ht="15" hidden="0">
      <x:c r="A3" s="18" t="s">
        <x:v>44</x:v>
      </x:c>
    </x:row>
    <x:row r="4" ht="23.850000381469727" hidden="0">
      <x:c r="A4" s="19" t="s">
        <x:v>45</x:v>
      </x:c>
    </x:row>
    <x:row r="5" ht="15" hidden="0">
      <x:c r="A5" s="17"/>
    </x:row>
    <x:row r="6" ht="15" hidden="0">
      <x:c r="A6" s="18" t="s">
        <x:v>46</x:v>
      </x:c>
    </x:row>
    <x:row r="7" ht="15" hidden="0">
      <x:c r="A7" s="19" t="s">
        <x:v>47</x:v>
      </x:c>
    </x:row>
    <x:row r="8" ht="15" hidden="0">
      <x:c r="A8" s="19" t="s">
        <x:v>48</x:v>
      </x:c>
    </x:row>
    <x:row r="9" ht="15" hidden="0">
      <x:c r="A9" s="19" t="s">
        <x:v>49</x:v>
      </x:c>
    </x:row>
    <x:row r="10" ht="15" hidden="0">
      <x:c r="A10" s="17"/>
    </x:row>
    <x:row r="11" ht="15" hidden="0">
      <x:c r="A11" s="18" t="s">
        <x:v>50</x:v>
      </x:c>
    </x:row>
    <x:row r="12" ht="23.850000381469727" hidden="0">
      <x:c r="A12" s="19" t="s">
        <x:v>51</x:v>
      </x:c>
    </x:row>
    <x:row r="13" ht="15" hidden="0">
      <x:c r="A13" s="17"/>
    </x:row>
    <x:row r="14" ht="15" hidden="0">
      <x:c r="A14" s="18" t="s">
        <x:v>52</x:v>
      </x:c>
    </x:row>
    <x:row r="15" ht="23.850000381469727" hidden="0">
      <x:c r="A15" s="19" t="s">
        <x:v>53</x:v>
      </x:c>
    </x:row>
    <x:row r="16" ht="23.850000381469727" hidden="0">
      <x:c r="A16" s="19" t="s">
        <x:v>54</x:v>
      </x:c>
    </x:row>
    <x:row r="17" ht="23.850000381469727" hidden="0">
      <x:c r="A17" s="19" t="s">
        <x:v>55</x:v>
      </x:c>
    </x:row>
    <x:row r="18" ht="15" hidden="0">
      <x:c r="A18" s="17"/>
    </x:row>
    <x:row r="19" ht="15" hidden="0">
      <x:c r="A19" s="18" t="s">
        <x:v>56</x:v>
      </x:c>
    </x:row>
    <x:row r="20" ht="23.850000381469727" hidden="0">
      <x:c r="A20" s="19" t="s">
        <x:v>57</x:v>
      </x:c>
    </x:row>
    <x:row r="21" ht="15" hidden="0">
      <x:c r="A21" s="17"/>
    </x:row>
    <x:row r="22" ht="15" hidden="0">
      <x:c r="A22" s="18" t="s">
        <x:v>58</x:v>
      </x:c>
    </x:row>
    <x:row r="23" ht="15" hidden="0">
      <x:c r="A23" s="19" t="s">
        <x:v>59</x:v>
      </x:c>
    </x:row>
    <x:row r="25">
      <x:c r="A25" s="25" t="str">
        <x:v>CONTROLLED MONTHLY IMPUTATION</x:v>
      </x:c>
    </x:row>
    <x:row r="26">
      <x:c r="A26" s="57" t="str">
        <x:v>Quarter-End Anchors contains reported filing controls from anchors.csv. Blank anchors mean no comparable control was available.</x:v>
      </x:c>
    </x:row>
    <x:row r="27">
      <x:c r="A27" s="57" t="str">
        <x:v>Total loans incl. HFS uses gross HFI loans as the closest balance-sheet control. Credit card, consumer banking, and commercial banking are allocated using their quarterly average-balance mix.</x:v>
      </x:c>
    </x:row>
    <x:row r="28">
      <x:c r="A28" s="57" t="str">
        <x:v>Investment securities uses AFS plus HTM securities. Cash equivalents and other uses reported cash and cash equivalents as the closest control.</x:v>
      </x:c>
    </x:row>
    <x:row r="29">
      <x:c r="A29" s="57" t="str">
        <x:v>Securitized debt and senior/subordinated notes divide reported long-term debt using their quarterly average-balance mix. Other borrowings uses short-term plus other borrowings.</x:v>
      </x:c>
    </x:row>
    <x:row r="30">
      <x:c r="A30" s="57" t="str">
        <x:v>Reported quarter-end controls are fixed. Month 1 and month 2 are adjusted around a straight-line path so the four-point quarterly average equals the disclosed quarterly average balance.</x:v>
      </x:c>
    </x:row>
    <x:row r="31">
      <x:c r="A31" s="57" t="str">
        <x:v>Monthly Avg Balance is the two-point average of prior and current month-end balances.</x:v>
      </x:c>
    </x:row>
    <x:row r="32">
      <x:c r="A32" s="57" t="str">
        <x:v>Monthly NII begins with disclosed quarterly rates and allocates any residual needed to match reported quarterly income in proportion to monthly average balance.</x:v>
      </x:c>
    </x:row>
    <x:row r="33">
      <x:c r="A33" s="57" t="str">
        <x:v>Monthly Rate is recalculated from monthly NII and monthly average balance. Disclosed-rate differences are shown in basis points on Monthly Checks.</x:v>
      </x:c>
    </x:row>
    <x:row r="34">
      <x:c r="A34" s="57" t="str">
        <x:v>Monthly Checks verifies quarter-end anchors, four-point averages, and quarterly NII totals.</x:v>
      </x:c>
    </x:row>
  </x:sheetData>
  <x:pageMargins left="0.7" right="0.7" top="0.75" bottom="0.75" header="0.3" footer="0.3"/>
</x:worksheet>
</file>

<file path=xl/worksheets/sheet5.xml><?xml version="1.0" encoding="utf-8"?>
<x:worksheet xmlns:x="http://schemas.openxmlformats.org/spreadsheetml/2006/main">
  <x:sheetViews>
    <x:sheetView showGridLines="1" workbookViewId="0">
      <x:pane xSplit="1" ySplit="4" topLeftCell="B5" activePane="bottomRight" state="frozen"/>
    </x:sheetView>
  </x:sheetViews>
  <x:sheetFormatPr defaultRowHeight="15"/>
  <x:cols>
    <x:col min="1" max="1" width="43"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s>
  <x:sheetData>
    <x:row r="1">
      <x:c r="A1" s="28" t="str">
        <x:v>Quarter-End Balance Anchors ($mm)</x:v>
      </x:c>
      <x:c r="B1" s="20"/>
      <x:c r="C1" s="20"/>
      <x:c r="D1" s="20"/>
      <x:c r="E1" s="20"/>
      <x:c r="F1" s="20"/>
      <x:c r="G1" s="20"/>
      <x:c r="H1" s="20"/>
      <x:c r="I1" s="20"/>
      <x:c r="J1" s="20"/>
      <x:c r="K1" s="20"/>
      <x:c r="L1" s="20"/>
      <x:c r="M1" s="20"/>
      <x:c r="N1" s="20"/>
      <x:c r="O1" s="20"/>
      <x:c r="P1" s="20"/>
    </x:row>
    <x:row r="2" ht="31" customHeight="1">
      <x:c r="A2" s="30" t="str">
        <x:v>Reported balance-sheet controls are mapped to the average-balance categories. Loan segments and debt classes are allocated using the disclosed quarterly average mix. Blank anchors mean no comparable filing control was available.</x:v>
      </x:c>
      <x:c r="B2" s="30"/>
      <x:c r="C2" s="30"/>
      <x:c r="D2" s="30"/>
      <x:c r="E2" s="30"/>
      <x:c r="F2" s="30"/>
      <x:c r="G2" s="30"/>
      <x:c r="H2" s="30"/>
      <x:c r="I2" s="30"/>
      <x:c r="J2" s="30"/>
      <x:c r="K2" s="30"/>
      <x:c r="L2" s="30"/>
      <x:c r="M2" s="30"/>
      <x:c r="N2" s="30"/>
      <x:c r="O2" s="30"/>
      <x:c r="P2" s="30"/>
    </x:row>
    <x:row r="3">
      <x:c r="A3" s="20"/>
      <x:c r="B3" s="20"/>
      <x:c r="C3" s="20"/>
      <x:c r="D3" s="20"/>
      <x:c r="E3" s="20"/>
      <x:c r="F3" s="20"/>
      <x:c r="G3" s="20"/>
      <x:c r="H3" s="20"/>
      <x:c r="I3" s="20"/>
      <x:c r="J3" s="20"/>
      <x:c r="K3" s="20"/>
      <x:c r="L3" s="20"/>
      <x:c r="M3" s="20"/>
      <x:c r="N3" s="20"/>
      <x:c r="O3" s="20"/>
      <x:c r="P3" s="20"/>
    </x:row>
    <x:row r="4">
      <x:c r="A4" s="26" t="str">
        <x:v>Line item / source control</x:v>
      </x:c>
      <x:c r="B4" s="31" t="n">
        <x:v>44926</x:v>
      </x:c>
      <x:c r="C4" s="31" t="n">
        <x:v>45016</x:v>
      </x:c>
      <x:c r="D4" s="31" t="n">
        <x:v>45107</x:v>
      </x:c>
      <x:c r="E4" s="31" t="n">
        <x:v>45199</x:v>
      </x:c>
      <x:c r="F4" s="31" t="n">
        <x:v>45291</x:v>
      </x:c>
      <x:c r="G4" s="31" t="n">
        <x:v>45382</x:v>
      </x:c>
      <x:c r="H4" s="31" t="n">
        <x:v>45473</x:v>
      </x:c>
      <x:c r="I4" s="31" t="n">
        <x:v>45565</x:v>
      </x:c>
      <x:c r="J4" s="31" t="n">
        <x:v>45657</x:v>
      </x:c>
      <x:c r="K4" s="31" t="n">
        <x:v>45747</x:v>
      </x:c>
      <x:c r="L4" s="31" t="n">
        <x:v>45838</x:v>
      </x:c>
      <x:c r="M4" s="31" t="n">
        <x:v>45930</x:v>
      </x:c>
      <x:c r="N4" s="31" t="n">
        <x:v>46022</x:v>
      </x:c>
      <x:c r="O4" s="31" t="n">
        <x:v>46112</x:v>
      </x:c>
      <x:c r="P4" s="31" t="n">
        <x:v>46203</x:v>
      </x:c>
    </x:row>
    <x:row r="5">
      <x:c r="A5" s="32" t="str">
        <x:v>INTEREST-EARNING ASSETS</x:v>
      </x:c>
      <x:c r="B5" s="32"/>
      <x:c r="C5" s="32"/>
      <x:c r="D5" s="32"/>
      <x:c r="E5" s="32"/>
      <x:c r="F5" s="32"/>
      <x:c r="G5" s="32"/>
      <x:c r="H5" s="32"/>
      <x:c r="I5" s="32"/>
      <x:c r="J5" s="32"/>
      <x:c r="K5" s="32"/>
      <x:c r="L5" s="32"/>
      <x:c r="M5" s="32"/>
      <x:c r="N5" s="32"/>
      <x:c r="O5" s="32"/>
      <x:c r="P5" s="32"/>
    </x:row>
    <x:row r="6">
      <x:c r="A6" s="20" t="str">
        <x:v>  Credit card</x:v>
      </x:c>
      <x:c r="B6" s="38"/>
      <x:c r="C6" s="38" t="str">
        <x:f>IF(ISNUMBER(C9),C9*Balance!B6/Balance!B9,"")</x:f>
      </x:c>
      <x:c r="D6" s="38" t="str">
        <x:f>IF(ISNUMBER(D9),D9*Balance!C6/Balance!C9,"")</x:f>
      </x:c>
      <x:c r="E6" s="38" t="str">
        <x:f>IF(ISNUMBER(E9),E9*Balance!D6/Balance!D9,"")</x:f>
      </x:c>
      <x:c r="F6" s="38" t="n">
        <x:f>IF(ISNUMBER(F9),F9*Balance!E6/Balance!E9,"")</x:f>
        <x:v>150877.96787709056</x:v>
      </x:c>
      <x:c r="G6" s="38" t="n">
        <x:f>IF(ISNUMBER(G9),G9*Balance!F6/Balance!F9,"")</x:f>
        <x:v>149854.52206374003</x:v>
      </x:c>
      <x:c r="H6" s="38" t="n">
        <x:f>IF(ISNUMBER(H9),H9*Balance!G6/Balance!G9,"")</x:f>
        <x:v>151994.7852942946</x:v>
      </x:c>
      <x:c r="I6" s="38" t="n">
        <x:f>IF(ISNUMBER(I9),I9*Balance!H6/Balance!H9,"")</x:f>
        <x:v>154899.08187565694</x:v>
      </x:c>
      <x:c r="J6" s="38" t="n">
        <x:f>IF(ISNUMBER(J9),J9*Balance!I6/Balance!I9,"")</x:f>
        <x:v>160051.4921042751</x:v>
      </x:c>
      <x:c r="K6" s="38" t="n">
        <x:f>IF(ISNUMBER(K9),K9*Balance!J6/Balance!J9,"")</x:f>
        <x:v>156808.26089004002</x:v>
      </x:c>
      <x:c r="L6" s="38" t="n">
        <x:f>IF(ISNUMBER(L9),L9*Balance!K6/Balance!K9,"")</x:f>
        <x:v>243351.39186129757</x:v>
      </x:c>
      <x:c r="M6" s="38" t="n">
        <x:f>IF(ISNUMBER(M9),M9*Balance!L6/Balance!L9,"")</x:f>
        <x:v>270877.30843555706</x:v>
      </x:c>
      <x:c r="N6" s="38" t="n">
        <x:f>IF(ISNUMBER(N9),N9*Balance!M6/Balance!M9,"")</x:f>
        <x:v>277442.90612244897</x:v>
      </x:c>
      <x:c r="O6" s="38" t="n">
        <x:f>IF(ISNUMBER(O9),O9*Balance!N6/Balance!N9,"")</x:f>
        <x:v>271590.05271522584</x:v>
      </x:c>
      <x:c r="P6" s="38" t="n">
        <x:f>IF(ISNUMBER(P9),P9*Balance!O6/Balance!O9,"")</x:f>
        <x:v>274990.10805080045</x:v>
      </x:c>
    </x:row>
    <x:row r="7">
      <x:c r="A7" s="20" t="str">
        <x:v>  Consumer banking</x:v>
      </x:c>
      <x:c r="B7" s="38"/>
      <x:c r="C7" s="38" t="str">
        <x:f>IF(ISNUMBER(C9),C9*Balance!B7/Balance!B9,"")</x:f>
      </x:c>
      <x:c r="D7" s="38" t="str">
        <x:f>IF(ISNUMBER(D9),D9*Balance!C7/Balance!C9,"")</x:f>
      </x:c>
      <x:c r="E7" s="38" t="str">
        <x:f>IF(ISNUMBER(E9),E9*Balance!D7/Balance!D9,"")</x:f>
      </x:c>
      <x:c r="F7" s="38" t="n">
        <x:f>IF(ISNUMBER(F9),F9*Balance!E7/Balance!E9,"")</x:f>
        <x:v>77126.73844803471</x:v>
      </x:c>
      <x:c r="G7" s="38" t="n">
        <x:f>IF(ISNUMBER(G9),G9*Balance!F7/Balance!F9,"")</x:f>
        <x:v>74993.67484147381</x:v>
      </x:c>
      <x:c r="H7" s="38" t="n">
        <x:f>IF(ISNUMBER(H9),H9*Balance!G7/Balance!G9,"")</x:f>
        <x:v>75950.04099131476</x:v>
      </x:c>
      <x:c r="I7" s="38" t="n">
        <x:f>IF(ISNUMBER(I9),I9*Balance!H7/Balance!H9,"")</x:f>
        <x:v>76547.23569960623</x:v>
      </x:c>
      <x:c r="J7" s="38" t="n">
        <x:f>IF(ISNUMBER(J9),J9*Balance!I7/Balance!I9,"")</x:f>
        <x:v>78551.96229477166</x:v>
      </x:c>
      <x:c r="K7" s="38" t="n">
        <x:f>IF(ISNUMBER(K9),K9*Balance!J7/Balance!J9,"")</x:f>
        <x:v>78680.83675163893</x:v>
      </x:c>
      <x:c r="L7" s="38" t="n">
        <x:f>IF(ISNUMBER(L9),L9*Balance!K7/Balance!K9,"")</x:f>
        <x:v>92951.2655698122</x:v>
      </x:c>
      <x:c r="M7" s="38" t="n">
        <x:f>IF(ISNUMBER(M9),M9*Balance!L7/Balance!L9,"")</x:f>
        <x:v>82815.44756275348</x:v>
      </x:c>
      <x:c r="N7" s="38" t="n">
        <x:f>IF(ISNUMBER(N9),N9*Balance!M7/Balance!M9,"")</x:f>
        <x:v>85442.48606413994</x:v>
      </x:c>
      <x:c r="O7" s="38" t="n">
        <x:f>IF(ISNUMBER(O9),O9*Balance!N7/Balance!N9,"")</x:f>
        <x:v>85895.52212472579</x:v>
      </x:c>
      <x:c r="P7" s="38" t="n">
        <x:f>IF(ISNUMBER(P9),P9*Balance!O7/Balance!O9,"")</x:f>
        <x:v>89821.96979119997</x:v>
      </x:c>
    </x:row>
    <x:row r="8">
      <x:c r="A8" s="20" t="str">
        <x:v>  Commercial banking</x:v>
      </x:c>
      <x:c r="B8" s="38"/>
      <x:c r="C8" s="38" t="str">
        <x:f>IF(ISNUMBER(C9),C9*Balance!B8/Balance!B9,"")</x:f>
      </x:c>
      <x:c r="D8" s="38" t="str">
        <x:f>IF(ISNUMBER(D9),D9*Balance!C8/Balance!C9,"")</x:f>
      </x:c>
      <x:c r="E8" s="38" t="str">
        <x:f>IF(ISNUMBER(E9),E9*Balance!D8/Balance!D9,"")</x:f>
      </x:c>
      <x:c r="F8" s="38" t="n">
        <x:f>IF(ISNUMBER(F9),F9*Balance!E8/Balance!E9,"")</x:f>
        <x:v>92467.29367487473</x:v>
      </x:c>
      <x:c r="G8" s="38" t="n">
        <x:f>IF(ISNUMBER(G9),G9*Balance!F8/Balance!F9,"")</x:f>
        <x:v>90305.80309478614</x:v>
      </x:c>
      <x:c r="H8" s="38" t="n">
        <x:f>IF(ISNUMBER(H9),H9*Balance!G8/Balance!G9,"")</x:f>
        <x:v>90241.17371439065</x:v>
      </x:c>
      <x:c r="I8" s="38" t="n">
        <x:f>IF(ISNUMBER(I9),I9*Balance!H8/Balance!H9,"")</x:f>
        <x:v>88796.68242473683</x:v>
      </x:c>
      <x:c r="J8" s="38" t="n">
        <x:f>IF(ISNUMBER(J9),J9*Balance!I8/Balance!I9,"")</x:f>
        <x:v>89171.54560095326</x:v>
      </x:c>
      <x:c r="K8" s="38" t="n">
        <x:f>IF(ISNUMBER(K9),K9*Balance!J8/Balance!J9,"")</x:f>
        <x:v>88108.90235832105</x:v>
      </x:c>
      <x:c r="L8" s="38" t="n">
        <x:f>IF(ISNUMBER(L9),L9*Balance!K8/Balance!K9,"")</x:f>
        <x:v>102994.34256889022</x:v>
      </x:c>
      <x:c r="M8" s="38" t="n">
        <x:f>IF(ISNUMBER(M9),M9*Balance!L8/Balance!L9,"")</x:f>
        <x:v>89466.24400168947</x:v>
      </x:c>
      <x:c r="N8" s="38" t="n">
        <x:f>IF(ISNUMBER(N9),N9*Balance!M8/Balance!M9,"")</x:f>
        <x:v>90736.60781341107</x:v>
      </x:c>
      <x:c r="O8" s="38" t="n">
        <x:f>IF(ISNUMBER(O9),O9*Balance!N8/Balance!N9,"")</x:f>
        <x:v>90268.42516004835</x:v>
      </x:c>
      <x:c r="P8" s="38" t="n">
        <x:f>IF(ISNUMBER(P9),P9*Balance!O8/Balance!O9,"")</x:f>
        <x:v>92355.92215799956</x:v>
      </x:c>
    </x:row>
    <x:row r="9">
      <x:c r="A9" s="26" t="str">
        <x:v>  Total loans (incl. HFS)</x:v>
      </x:c>
      <x:c r="B9" s="35" t="str">
        <x:f>IF(ISNUMBER(B24),B24,"")</x:f>
      </x:c>
      <x:c r="C9" s="35" t="str">
        <x:f>IF(ISNUMBER(C24),C24,"")</x:f>
      </x:c>
      <x:c r="D9" s="35" t="str">
        <x:f>IF(ISNUMBER(D24),D24,"")</x:f>
      </x:c>
      <x:c r="E9" s="35" t="str">
        <x:f>IF(ISNUMBER(E24),E24,"")</x:f>
      </x:c>
      <x:c r="F9" s="35" t="n">
        <x:f>IF(ISNUMBER(F24),F24,"")</x:f>
        <x:v>320472</x:v>
      </x:c>
      <x:c r="G9" s="35" t="n">
        <x:f>IF(ISNUMBER(G24),G24,"")</x:f>
        <x:v>315154</x:v>
      </x:c>
      <x:c r="H9" s="35" t="n">
        <x:f>IF(ISNUMBER(H24),H24,"")</x:f>
        <x:v>318186</x:v>
      </x:c>
      <x:c r="I9" s="35" t="n">
        <x:f>IF(ISNUMBER(I24),I24,"")</x:f>
        <x:v>320243</x:v>
      </x:c>
      <x:c r="J9" s="35" t="n">
        <x:f>IF(ISNUMBER(J24),J24,"")</x:f>
        <x:v>327775</x:v>
      </x:c>
      <x:c r="K9" s="35" t="n">
        <x:f>IF(ISNUMBER(K24),K24,"")</x:f>
        <x:v>323598</x:v>
      </x:c>
      <x:c r="L9" s="35" t="n">
        <x:f>IF(ISNUMBER(L24),L24,"")</x:f>
        <x:v>439297</x:v>
      </x:c>
      <x:c r="M9" s="35" t="n">
        <x:f>IF(ISNUMBER(M24),M24,"")</x:f>
        <x:v>443159</x:v>
      </x:c>
      <x:c r="N9" s="35" t="n">
        <x:f>IF(ISNUMBER(N24),N24,"")</x:f>
        <x:v>453622</x:v>
      </x:c>
      <x:c r="O9" s="35" t="n">
        <x:f>IF(ISNUMBER(O24),O24,"")</x:f>
        <x:v>447754</x:v>
      </x:c>
      <x:c r="P9" s="35" t="n">
        <x:f>IF(ISNUMBER(P24),P24,"")</x:f>
        <x:v>457168</x:v>
      </x:c>
    </x:row>
    <x:row r="10">
      <x:c r="A10" s="20" t="str">
        <x:v>  Investment securities</x:v>
      </x:c>
      <x:c r="B10" s="38" t="str">
        <x:f>IF(COUNT(B25:B26)=0,"",SUM(B25:B26))</x:f>
      </x:c>
      <x:c r="C10" s="38" t="str">
        <x:f>IF(COUNT(C25:C26)=0,"",SUM(C25:C26))</x:f>
      </x:c>
      <x:c r="D10" s="38" t="str">
        <x:f>IF(COUNT(D25:D26)=0,"",SUM(D25:D26))</x:f>
      </x:c>
      <x:c r="E10" s="38" t="str">
        <x:f>IF(COUNT(E25:E26)=0,"",SUM(E25:E26))</x:f>
      </x:c>
      <x:c r="F10" s="38" t="n">
        <x:f>IF(COUNT(F25:F26)=0,"",SUM(F25:F26))</x:f>
        <x:v>79117</x:v>
      </x:c>
      <x:c r="G10" s="38" t="n">
        <x:f>IF(COUNT(G25:G26)=0,"",SUM(G25:G26))</x:f>
        <x:v>78398</x:v>
      </x:c>
      <x:c r="H10" s="38" t="n">
        <x:f>IF(COUNT(H25:H26)=0,"",SUM(H25:H26))</x:f>
        <x:v>79250</x:v>
      </x:c>
      <x:c r="I10" s="38" t="n">
        <x:f>IF(COUNT(I25:I26)=0,"",SUM(I25:I26))</x:f>
        <x:v>83500</x:v>
      </x:c>
      <x:c r="J10" s="38" t="n">
        <x:f>IF(COUNT(J25:J26)=0,"",SUM(J25:J26))</x:f>
        <x:v>83013</x:v>
      </x:c>
      <x:c r="K10" s="38" t="n">
        <x:f>IF(COUNT(K25:K26)=0,"",SUM(K25:K26))</x:f>
        <x:v>84362</x:v>
      </x:c>
      <x:c r="L10" s="38" t="n">
        <x:f>IF(COUNT(L25:L26)=0,"",SUM(L25:L26))</x:f>
        <x:v>87196</x:v>
      </x:c>
      <x:c r="M10" s="38" t="n">
        <x:f>IF(COUNT(M25:M26)=0,"",SUM(M25:M26))</x:f>
        <x:v>89733</x:v>
      </x:c>
      <x:c r="N10" s="38" t="n">
        <x:f>IF(COUNT(N25:N26)=0,"",SUM(N25:N26))</x:f>
        <x:v>91051</x:v>
      </x:c>
      <x:c r="O10" s="38" t="n">
        <x:f>IF(COUNT(O25:O26)=0,"",SUM(O25:O26))</x:f>
        <x:v>92314</x:v>
      </x:c>
      <x:c r="P10" s="38" t="n">
        <x:f>IF(COUNT(P25:P26)=0,"",SUM(P25:P26))</x:f>
        <x:v>92778</x:v>
      </x:c>
    </x:row>
    <x:row r="11">
      <x:c r="A11" s="20" t="str">
        <x:v>  Cash equivalents and other</x:v>
      </x:c>
      <x:c r="B11" s="38" t="n">
        <x:f>IF(ISNUMBER(B27),B27,"")</x:f>
        <x:v>31256</x:v>
      </x:c>
      <x:c r="C11" s="38" t="n">
        <x:f>IF(ISNUMBER(C27),C27,"")</x:f>
        <x:v>46973</x:v>
      </x:c>
      <x:c r="D11" s="38" t="n">
        <x:f>IF(ISNUMBER(D27),D27,"")</x:f>
        <x:v>42048</x:v>
      </x:c>
      <x:c r="E11" s="38" t="n">
        <x:f>IF(ISNUMBER(E27),E27,"")</x:f>
        <x:v>45304</x:v>
      </x:c>
      <x:c r="F11" s="38" t="n">
        <x:f>IF(ISNUMBER(F27),F27,"")</x:f>
        <x:v>43755</x:v>
      </x:c>
      <x:c r="G11" s="38" t="n">
        <x:f>IF(ISNUMBER(G27),G27,"")</x:f>
        <x:v>51502</x:v>
      </x:c>
      <x:c r="H11" s="38" t="n">
        <x:f>IF(ISNUMBER(H27),H27,"")</x:f>
        <x:v>47829</x:v>
      </x:c>
      <x:c r="I11" s="38" t="n">
        <x:f>IF(ISNUMBER(I27),I27,"")</x:f>
        <x:v>49719</x:v>
      </x:c>
      <x:c r="J11" s="38" t="n">
        <x:f>IF(ISNUMBER(J27),J27,"")</x:f>
        <x:v>43671</x:v>
      </x:c>
      <x:c r="K11" s="38" t="n">
        <x:f>IF(ISNUMBER(K27),K27,"")</x:f>
        <x:v>48965</x:v>
      </x:c>
      <x:c r="L11" s="38" t="n">
        <x:f>IF(ISNUMBER(L27),L27,"")</x:f>
        <x:v>61578</x:v>
      </x:c>
      <x:c r="M11" s="38" t="n">
        <x:f>IF(ISNUMBER(M27),M27,"")</x:f>
        <x:v>58527</x:v>
      </x:c>
      <x:c r="N11" s="38" t="n">
        <x:f>IF(ISNUMBER(N27),N27,"")</x:f>
        <x:v>62093</x:v>
      </x:c>
      <x:c r="O11" s="38" t="n">
        <x:f>IF(ISNUMBER(O27),O27,"")</x:f>
        <x:v>79256</x:v>
      </x:c>
      <x:c r="P11" s="38" t="n">
        <x:f>IF(ISNUMBER(P27),P27,"")</x:f>
        <x:v>55881</x:v>
      </x:c>
    </x:row>
    <x:row r="12">
      <x:c r="A12" s="26" t="str">
        <x:v>  Total interest-earning assets</x:v>
      </x:c>
      <x:c r="B12" s="35" t="str">
        <x:f>IF(COUNT(B9:B11)&lt;3,"",SUM(B9:B11))</x:f>
      </x:c>
      <x:c r="C12" s="35" t="str">
        <x:f>IF(COUNT(C9:C11)&lt;3,"",SUM(C9:C11))</x:f>
      </x:c>
      <x:c r="D12" s="35" t="str">
        <x:f>IF(COUNT(D9:D11)&lt;3,"",SUM(D9:D11))</x:f>
      </x:c>
      <x:c r="E12" s="35" t="str">
        <x:f>IF(COUNT(E9:E11)&lt;3,"",SUM(E9:E11))</x:f>
      </x:c>
      <x:c r="F12" s="35" t="n">
        <x:f>IF(COUNT(F9:F11)&lt;3,"",SUM(F9:F11))</x:f>
        <x:v>443344</x:v>
      </x:c>
      <x:c r="G12" s="35" t="n">
        <x:f>IF(COUNT(G9:G11)&lt;3,"",SUM(G9:G11))</x:f>
        <x:v>445054</x:v>
      </x:c>
      <x:c r="H12" s="35" t="n">
        <x:f>IF(COUNT(H9:H11)&lt;3,"",SUM(H9:H11))</x:f>
        <x:v>445265</x:v>
      </x:c>
      <x:c r="I12" s="35" t="n">
        <x:f>IF(COUNT(I9:I11)&lt;3,"",SUM(I9:I11))</x:f>
        <x:v>453462</x:v>
      </x:c>
      <x:c r="J12" s="35" t="n">
        <x:f>IF(COUNT(J9:J11)&lt;3,"",SUM(J9:J11))</x:f>
        <x:v>454459</x:v>
      </x:c>
      <x:c r="K12" s="35" t="n">
        <x:f>IF(COUNT(K9:K11)&lt;3,"",SUM(K9:K11))</x:f>
        <x:v>456925</x:v>
      </x:c>
      <x:c r="L12" s="35" t="n">
        <x:f>IF(COUNT(L9:L11)&lt;3,"",SUM(L9:L11))</x:f>
        <x:v>588071</x:v>
      </x:c>
      <x:c r="M12" s="35" t="n">
        <x:f>IF(COUNT(M9:M11)&lt;3,"",SUM(M9:M11))</x:f>
        <x:v>591419</x:v>
      </x:c>
      <x:c r="N12" s="35" t="n">
        <x:f>IF(COUNT(N9:N11)&lt;3,"",SUM(N9:N11))</x:f>
        <x:v>606766</x:v>
      </x:c>
      <x:c r="O12" s="35" t="n">
        <x:f>IF(COUNT(O9:O11)&lt;3,"",SUM(O9:O11))</x:f>
        <x:v>619324</x:v>
      </x:c>
      <x:c r="P12" s="35" t="n">
        <x:f>IF(COUNT(P9:P11)&lt;3,"",SUM(P9:P11))</x:f>
        <x:v>605827</x:v>
      </x:c>
    </x:row>
    <x:row r="13">
      <x:c r="A13" s="20"/>
      <x:c r="B13" s="38"/>
      <x:c r="C13" s="38"/>
      <x:c r="D13" s="38"/>
      <x:c r="E13" s="38"/>
      <x:c r="F13" s="38"/>
      <x:c r="G13" s="38"/>
      <x:c r="H13" s="38"/>
      <x:c r="I13" s="38"/>
      <x:c r="J13" s="38"/>
      <x:c r="K13" s="38"/>
      <x:c r="L13" s="38"/>
      <x:c r="M13" s="38"/>
      <x:c r="N13" s="38"/>
      <x:c r="O13" s="38"/>
      <x:c r="P13" s="38"/>
    </x:row>
    <x:row r="14">
      <x:c r="A14" s="32" t="str">
        <x:v>INTEREST-BEARING LIABILITIES</x:v>
      </x:c>
      <x:c r="B14" s="40"/>
      <x:c r="C14" s="40"/>
      <x:c r="D14" s="40"/>
      <x:c r="E14" s="40"/>
      <x:c r="F14" s="40"/>
      <x:c r="G14" s="40"/>
      <x:c r="H14" s="40"/>
      <x:c r="I14" s="40"/>
      <x:c r="J14" s="40"/>
      <x:c r="K14" s="40"/>
      <x:c r="L14" s="40"/>
      <x:c r="M14" s="40"/>
      <x:c r="N14" s="40"/>
      <x:c r="O14" s="40"/>
      <x:c r="P14" s="40"/>
    </x:row>
    <x:row r="15">
      <x:c r="A15" s="20" t="str">
        <x:v>  Interest-bearing deposits</x:v>
      </x:c>
      <x:c r="B15" s="38" t="str">
        <x:f>IF(ISNUMBER(B28),B28,"")</x:f>
      </x:c>
      <x:c r="C15" s="38" t="str">
        <x:f>IF(ISNUMBER(C28),C28,"")</x:f>
      </x:c>
      <x:c r="D15" s="38" t="str">
        <x:f>IF(ISNUMBER(D28),D28,"")</x:f>
      </x:c>
      <x:c r="E15" s="38" t="str">
        <x:f>IF(ISNUMBER(E28),E28,"")</x:f>
      </x:c>
      <x:c r="F15" s="38" t="n">
        <x:f>IF(ISNUMBER(F28),F28,"")</x:f>
        <x:v>320389</x:v>
      </x:c>
      <x:c r="G15" s="38" t="n">
        <x:f>IF(ISNUMBER(G28),G28,"")</x:f>
        <x:v>323352</x:v>
      </x:c>
      <x:c r="H15" s="38" t="n">
        <x:f>IF(ISNUMBER(H28),H28,"")</x:f>
        <x:v>324437</x:v>
      </x:c>
      <x:c r="I15" s="38" t="n">
        <x:f>IF(ISNUMBER(I28),I28,"")</x:f>
        <x:v>327253</x:v>
      </x:c>
      <x:c r="J15" s="38" t="n">
        <x:f>IF(ISNUMBER(J28),J28,"")</x:f>
        <x:v>336585</x:v>
      </x:c>
      <x:c r="K15" s="38" t="n">
        <x:f>IF(ISNUMBER(K28),K28,"")</x:f>
        <x:v>340964</x:v>
      </x:c>
      <x:c r="L15" s="38" t="n">
        <x:f>IF(ISNUMBER(L28),L28,"")</x:f>
        <x:v>440231</x:v>
      </x:c>
      <x:c r="M15" s="38" t="n">
        <x:f>IF(ISNUMBER(M28),M28,"")</x:f>
        <x:v>441136</x:v>
      </x:c>
      <x:c r="N15" s="38" t="n">
        <x:f>IF(ISNUMBER(N28),N28,"")</x:f>
        <x:v>448386</x:v>
      </x:c>
      <x:c r="O15" s="38" t="n">
        <x:f>IF(ISNUMBER(O28),O28,"")</x:f>
        <x:v>461117</x:v>
      </x:c>
      <x:c r="P15" s="38" t="n">
        <x:f>IF(ISNUMBER(P28),P28,"")</x:f>
        <x:v>456464</x:v>
      </x:c>
    </x:row>
    <x:row r="16">
      <x:c r="A16" s="20" t="str">
        <x:v>  Securitized debt obligations</x:v>
      </x:c>
      <x:c r="B16" s="38"/>
      <x:c r="C16" s="38" t="str">
        <x:f>IF(ISNUMBER(C29),C29*Balance!B16/SUM(Balance!B16:Balance!B17),"")</x:f>
      </x:c>
      <x:c r="D16" s="38" t="str">
        <x:f>IF(ISNUMBER(D29),D29*Balance!C16/SUM(Balance!C16:Balance!C17),"")</x:f>
      </x:c>
      <x:c r="E16" s="38" t="str">
        <x:f>IF(ISNUMBER(E29),E29*Balance!D16/SUM(Balance!D16:Balance!D17),"")</x:f>
      </x:c>
      <x:c r="F16" s="38" t="n">
        <x:f>IF(ISNUMBER(F29),F29*Balance!E16/SUM(Balance!E16:Balance!E17),"")</x:f>
        <x:v>17559.230243536313</x:v>
      </x:c>
      <x:c r="G16" s="38" t="n">
        <x:f>IF(ISNUMBER(G29),G29*Balance!F16/SUM(Balance!F16:Balance!F17),"")</x:f>
        <x:v>17745.478210482146</x:v>
      </x:c>
      <x:c r="H16" s="38" t="n">
        <x:f>IF(ISNUMBER(H29),H29*Balance!G16/SUM(Balance!G16:Balance!G17),"")</x:f>
        <x:v>17023.537724550897</x:v>
      </x:c>
      <x:c r="I16" s="38" t="n">
        <x:f>IF(ISNUMBER(I29),I29*Balance!H16/SUM(Balance!H16:Balance!H17),"")</x:f>
        <x:v>16144.540418598823</x:v>
      </x:c>
      <x:c r="J16" s="38" t="n">
        <x:f>IF(ISNUMBER(J29),J29*Balance!I16/SUM(Balance!I16:Balance!I17),"")</x:f>
        <x:v>14654.52536896341</x:v>
      </x:c>
      <x:c r="K16" s="38" t="n">
        <x:f>IF(ISNUMBER(K29),K29*Balance!J16/SUM(Balance!J16:Balance!J17),"")</x:f>
        <x:v>12839.117607008306</x:v>
      </x:c>
      <x:c r="L16" s="38" t="n">
        <x:f>IF(ISNUMBER(L29),L29*Balance!K16/SUM(Balance!K16:Balance!K17),"")</x:f>
        <x:v>14749.966938908854</x:v>
      </x:c>
      <x:c r="M16" s="38" t="n">
        <x:f>IF(ISNUMBER(M29),M29*Balance!L16/SUM(Balance!L16:Balance!L17),"")</x:f>
        <x:v>13358.904149132972</x:v>
      </x:c>
      <x:c r="N16" s="38" t="n">
        <x:f>IF(ISNUMBER(N29),N29*Balance!M16/SUM(Balance!M16:Balance!M17),"")</x:f>
        <x:v>12852.627937230669</x:v>
      </x:c>
      <x:c r="O16" s="38" t="n">
        <x:f>IF(ISNUMBER(O29),O29*Balance!N16/SUM(Balance!N16:Balance!N17),"")</x:f>
        <x:v>12461.12459759151</x:v>
      </x:c>
      <x:c r="P16" s="38" t="n">
        <x:f>IF(ISNUMBER(P29),P29*Balance!O16/SUM(Balance!O16:Balance!O17),"")</x:f>
        <x:v>9546.6077419896</x:v>
      </x:c>
    </x:row>
    <x:row r="17">
      <x:c r="A17" s="20" t="str">
        <x:v>  Senior and subordinated notes</x:v>
      </x:c>
      <x:c r="B17" s="38"/>
      <x:c r="C17" s="38" t="str">
        <x:f>IF(ISNUMBER(C29),C29*Balance!B17/SUM(Balance!B16:Balance!B17),"")</x:f>
      </x:c>
      <x:c r="D17" s="38" t="str">
        <x:f>IF(ISNUMBER(D29),D29*Balance!C17/SUM(Balance!C16:Balance!C17),"")</x:f>
      </x:c>
      <x:c r="E17" s="38" t="str">
        <x:f>IF(ISNUMBER(E29),E29*Balance!D17/SUM(Balance!D16:Balance!D17),"")</x:f>
      </x:c>
      <x:c r="F17" s="38" t="n">
        <x:f>IF(ISNUMBER(F29),F29*Balance!E17/SUM(Balance!E16:Balance!E17),"")</x:f>
        <x:v>31758.769756463687</x:v>
      </x:c>
      <x:c r="G17" s="38" t="n">
        <x:f>IF(ISNUMBER(G29),G29*Balance!F17/SUM(Balance!F16:Balance!F17),"")</x:f>
        <x:v>32047.521789517854</x:v>
      </x:c>
      <x:c r="H17" s="38" t="n">
        <x:f>IF(ISNUMBER(H29),H29*Balance!G17/SUM(Balance!G16:Balance!G17),"")</x:f>
        <x:v>30217.462275449103</x:v>
      </x:c>
      <x:c r="I17" s="38" t="n">
        <x:f>IF(ISNUMBER(I29),I29*Balance!H17/SUM(Balance!H16:Balance!H17),"")</x:f>
        <x:v>32671.459581401177</x:v>
      </x:c>
      <x:c r="J17" s="38" t="n">
        <x:f>IF(ISNUMBER(J29),J29*Balance!I17/SUM(Balance!I16:Balance!I17),"")</x:f>
        <x:v>30334.47463103659</x:v>
      </x:c>
      <x:c r="K17" s="38" t="n">
        <x:f>IF(ISNUMBER(K29),K29*Balance!J17/SUM(Balance!J16:Balance!J17),"")</x:f>
        <x:v>28360.882392991694</x:v>
      </x:c>
      <x:c r="L17" s="38" t="n">
        <x:f>IF(ISNUMBER(L29),L29*Balance!K17/SUM(Balance!K16:Balance!K17),"")</x:f>
        <x:v>37174.03306109115</x:v>
      </x:c>
      <x:c r="M17" s="38" t="n">
        <x:f>IF(ISNUMBER(M29),M29*Balance!L17/SUM(Balance!L16:Balance!L17),"")</x:f>
        <x:v>37507.09585086703</x:v>
      </x:c>
      <x:c r="N17" s="38" t="n">
        <x:f>IF(ISNUMBER(N29),N29*Balance!M17/SUM(Balance!M16:Balance!M17),"")</x:f>
        <x:v>37060.37206276933</x:v>
      </x:c>
      <x:c r="O17" s="38" t="n">
        <x:f>IF(ISNUMBER(O29),O29*Balance!N17/SUM(Balance!N16:Balance!N17),"")</x:f>
        <x:v>37800.87540240849</x:v>
      </x:c>
      <x:c r="P17" s="38" t="n">
        <x:f>IF(ISNUMBER(P29),P29*Balance!O17/SUM(Balance!O16:Balance!O17),"")</x:f>
        <x:v>35130.392258010404</x:v>
      </x:c>
    </x:row>
    <x:row r="18">
      <x:c r="A18" s="20" t="str">
        <x:v>  Other borrowings</x:v>
      </x:c>
      <x:c r="B18" s="38" t="str">
        <x:f>IF(COUNT(B30:B31)&lt;2,"",SUM(B30:B31))</x:f>
      </x:c>
      <x:c r="C18" s="38" t="str">
        <x:f>IF(COUNT(C30:C31)&lt;2,"",SUM(C30:C31))</x:f>
      </x:c>
      <x:c r="D18" s="38" t="str">
        <x:f>IF(COUNT(D30:D31)&lt;2,"",SUM(D30:D31))</x:f>
      </x:c>
      <x:c r="E18" s="38" t="str">
        <x:f>IF(COUNT(E30:E31)&lt;2,"",SUM(E30:E31))</x:f>
      </x:c>
      <x:c r="F18" s="38" t="n">
        <x:f>IF(COUNT(F30:F31)&lt;2,"",SUM(F30:F31))</x:f>
        <x:v>565</x:v>
      </x:c>
      <x:c r="G18" s="38" t="n">
        <x:f>IF(COUNT(G30:G31)&lt;2,"",SUM(G30:G31))</x:f>
        <x:v>592</x:v>
      </x:c>
      <x:c r="H18" s="38" t="n">
        <x:f>IF(COUNT(H30:H31)&lt;2,"",SUM(H30:H31))</x:f>
        <x:v>740</x:v>
      </x:c>
      <x:c r="I18" s="38" t="n">
        <x:f>IF(COUNT(I30:I31)&lt;2,"",SUM(I30:I31))</x:f>
        <x:v>544</x:v>
      </x:c>
      <x:c r="J18" s="38" t="n">
        <x:f>IF(COUNT(J30:J31)&lt;2,"",SUM(J30:J31))</x:f>
        <x:v>591</x:v>
      </x:c>
      <x:c r="K18" s="38" t="n">
        <x:f>IF(COUNT(K30:K31)&lt;2,"",SUM(K30:K31))</x:f>
        <x:v>598</x:v>
      </x:c>
      <x:c r="L18" s="38" t="n">
        <x:f>IF(COUNT(L30:L31)&lt;2,"",SUM(L30:L31))</x:f>
        <x:v>1302</x:v>
      </x:c>
      <x:c r="M18" s="38" t="n">
        <x:f>IF(COUNT(M30:M31)&lt;2,"",SUM(M30:M31))</x:f>
        <x:v>1178</x:v>
      </x:c>
      <x:c r="N18" s="38" t="n">
        <x:f>IF(COUNT(N30:N31)&lt;2,"",SUM(N30:N31))</x:f>
        <x:v>2646</x:v>
      </x:c>
      <x:c r="O18" s="38" t="n">
        <x:f>IF(COUNT(O30:O31)&lt;2,"",SUM(O30:O31))</x:f>
        <x:v>3184</x:v>
      </x:c>
      <x:c r="P18" s="38" t="n">
        <x:f>IF(COUNT(P30:P31)&lt;2,"",SUM(P30:P31))</x:f>
        <x:v>1249</x:v>
      </x:c>
    </x:row>
    <x:row r="19">
      <x:c r="A19" s="26" t="str">
        <x:v>  Total interest-bearing liabilities</x:v>
      </x:c>
      <x:c r="B19" s="35" t="str">
        <x:f>IF(COUNT(B15:B18)&lt;4,"",SUM(B15:B18))</x:f>
      </x:c>
      <x:c r="C19" s="35" t="str">
        <x:f>IF(COUNT(C15:C18)&lt;4,"",SUM(C15:C18))</x:f>
      </x:c>
      <x:c r="D19" s="35" t="str">
        <x:f>IF(COUNT(D15:D18)&lt;4,"",SUM(D15:D18))</x:f>
      </x:c>
      <x:c r="E19" s="35" t="str">
        <x:f>IF(COUNT(E15:E18)&lt;4,"",SUM(E15:E18))</x:f>
      </x:c>
      <x:c r="F19" s="35" t="n">
        <x:f>IF(COUNT(F15:F18)&lt;4,"",SUM(F15:F18))</x:f>
        <x:v>370272</x:v>
      </x:c>
      <x:c r="G19" s="35" t="n">
        <x:f>IF(COUNT(G15:G18)&lt;4,"",SUM(G15:G18))</x:f>
        <x:v>373737</x:v>
      </x:c>
      <x:c r="H19" s="35" t="n">
        <x:f>IF(COUNT(H15:H18)&lt;4,"",SUM(H15:H18))</x:f>
        <x:v>372418</x:v>
      </x:c>
      <x:c r="I19" s="35" t="n">
        <x:f>IF(COUNT(I15:I18)&lt;4,"",SUM(I15:I18))</x:f>
        <x:v>376613</x:v>
      </x:c>
      <x:c r="J19" s="35" t="n">
        <x:f>IF(COUNT(J15:J18)&lt;4,"",SUM(J15:J18))</x:f>
        <x:v>382165</x:v>
      </x:c>
      <x:c r="K19" s="35" t="n">
        <x:f>IF(COUNT(K15:K18)&lt;4,"",SUM(K15:K18))</x:f>
        <x:v>382762</x:v>
      </x:c>
      <x:c r="L19" s="35" t="n">
        <x:f>IF(COUNT(L15:L18)&lt;4,"",SUM(L15:L18))</x:f>
        <x:v>493457</x:v>
      </x:c>
      <x:c r="M19" s="35" t="n">
        <x:f>IF(COUNT(M15:M18)&lt;4,"",SUM(M15:M18))</x:f>
        <x:v>493180</x:v>
      </x:c>
      <x:c r="N19" s="35" t="n">
        <x:f>IF(COUNT(N15:N18)&lt;4,"",SUM(N15:N18))</x:f>
        <x:v>500945</x:v>
      </x:c>
      <x:c r="O19" s="35" t="n">
        <x:f>IF(COUNT(O15:O18)&lt;4,"",SUM(O15:O18))</x:f>
        <x:v>514563</x:v>
      </x:c>
      <x:c r="P19" s="35" t="n">
        <x:f>IF(COUNT(P15:P18)&lt;4,"",SUM(P15:P18))</x:f>
        <x:v>502390</x:v>
      </x:c>
    </x:row>
    <x:row r="20">
      <x:c r="A20" s="20"/>
      <x:c r="B20" s="38"/>
      <x:c r="C20" s="38"/>
      <x:c r="D20" s="38"/>
      <x:c r="E20" s="38"/>
      <x:c r="F20" s="38"/>
      <x:c r="G20" s="38"/>
      <x:c r="H20" s="38"/>
      <x:c r="I20" s="38"/>
      <x:c r="J20" s="38"/>
      <x:c r="K20" s="38"/>
      <x:c r="L20" s="38"/>
      <x:c r="M20" s="38"/>
      <x:c r="N20" s="38"/>
      <x:c r="O20" s="38"/>
      <x:c r="P20" s="38"/>
    </x:row>
    <x:row r="21">
      <x:c r="A21" s="26" t="str">
        <x:v>Net earning assets (assets − liabilities)</x:v>
      </x:c>
      <x:c r="B21" s="35" t="str">
        <x:f>IF(COUNT(B12,B19)&lt;2,"",B12-B19)</x:f>
      </x:c>
      <x:c r="C21" s="35" t="str">
        <x:f>IF(COUNT(C12,C19)&lt;2,"",C12-C19)</x:f>
      </x:c>
      <x:c r="D21" s="35" t="str">
        <x:f>IF(COUNT(D12,D19)&lt;2,"",D12-D19)</x:f>
      </x:c>
      <x:c r="E21" s="35" t="str">
        <x:f>IF(COUNT(E12,E19)&lt;2,"",E12-E19)</x:f>
      </x:c>
      <x:c r="F21" s="35" t="n">
        <x:f>IF(COUNT(F12,F19)&lt;2,"",F12-F19)</x:f>
        <x:v>73072</x:v>
      </x:c>
      <x:c r="G21" s="35" t="n">
        <x:f>IF(COUNT(G12,G19)&lt;2,"",G12-G19)</x:f>
        <x:v>71317</x:v>
      </x:c>
      <x:c r="H21" s="35" t="n">
        <x:f>IF(COUNT(H12,H19)&lt;2,"",H12-H19)</x:f>
        <x:v>72847</x:v>
      </x:c>
      <x:c r="I21" s="35" t="n">
        <x:f>IF(COUNT(I12,I19)&lt;2,"",I12-I19)</x:f>
        <x:v>76849</x:v>
      </x:c>
      <x:c r="J21" s="35" t="n">
        <x:f>IF(COUNT(J12,J19)&lt;2,"",J12-J19)</x:f>
        <x:v>72294</x:v>
      </x:c>
      <x:c r="K21" s="35" t="n">
        <x:f>IF(COUNT(K12,K19)&lt;2,"",K12-K19)</x:f>
        <x:v>74163</x:v>
      </x:c>
      <x:c r="L21" s="35" t="n">
        <x:f>IF(COUNT(L12,L19)&lt;2,"",L12-L19)</x:f>
        <x:v>94614</x:v>
      </x:c>
      <x:c r="M21" s="35" t="n">
        <x:f>IF(COUNT(M12,M19)&lt;2,"",M12-M19)</x:f>
        <x:v>98239</x:v>
      </x:c>
      <x:c r="N21" s="35" t="n">
        <x:f>IF(COUNT(N12,N19)&lt;2,"",N12-N19)</x:f>
        <x:v>105821</x:v>
      </x:c>
      <x:c r="O21" s="35" t="n">
        <x:f>IF(COUNT(O12,O19)&lt;2,"",O12-O19)</x:f>
        <x:v>104761</x:v>
      </x:c>
      <x:c r="P21" s="35" t="n">
        <x:f>IF(COUNT(P12,P19)&lt;2,"",P12-P19)</x:f>
        <x:v>103437</x:v>
      </x:c>
    </x:row>
    <x:row r="22">
      <x:c r="A22" s="20"/>
      <x:c r="B22" s="20"/>
      <x:c r="C22" s="20"/>
      <x:c r="D22" s="20"/>
      <x:c r="E22" s="20"/>
      <x:c r="F22" s="20"/>
      <x:c r="G22" s="20"/>
      <x:c r="H22" s="20"/>
      <x:c r="I22" s="20"/>
      <x:c r="J22" s="20"/>
      <x:c r="K22" s="20"/>
      <x:c r="L22" s="20"/>
      <x:c r="M22" s="20"/>
      <x:c r="N22" s="20"/>
      <x:c r="O22" s="20"/>
      <x:c r="P22" s="20"/>
    </x:row>
    <x:row r="23">
      <x:c r="A23" s="32" t="str">
        <x:v>SOURCE CONTROLS</x:v>
      </x:c>
      <x:c r="B23" s="32"/>
      <x:c r="C23" s="32"/>
      <x:c r="D23" s="32"/>
      <x:c r="E23" s="32"/>
      <x:c r="F23" s="32"/>
      <x:c r="G23" s="32"/>
      <x:c r="H23" s="32"/>
      <x:c r="I23" s="32"/>
      <x:c r="J23" s="32"/>
      <x:c r="K23" s="32"/>
      <x:c r="L23" s="32"/>
      <x:c r="M23" s="32"/>
      <x:c r="N23" s="32"/>
      <x:c r="O23" s="32"/>
      <x:c r="P23" s="32"/>
    </x:row>
    <x:row r="24">
      <x:c r="A24" s="20" t="str">
        <x:v>  Loans HFI, gross</x:v>
      </x:c>
      <x:c r="B24" s="37"/>
      <x:c r="C24" s="37"/>
      <x:c r="D24" s="37"/>
      <x:c r="E24" s="37"/>
      <x:c r="F24" s="37" t="n">
        <x:v>320472</x:v>
      </x:c>
      <x:c r="G24" s="37" t="n">
        <x:v>315154</x:v>
      </x:c>
      <x:c r="H24" s="37" t="n">
        <x:v>318186</x:v>
      </x:c>
      <x:c r="I24" s="37" t="n">
        <x:v>320243</x:v>
      </x:c>
      <x:c r="J24" s="37" t="n">
        <x:v>327775</x:v>
      </x:c>
      <x:c r="K24" s="37" t="n">
        <x:v>323598</x:v>
      </x:c>
      <x:c r="L24" s="37" t="n">
        <x:v>439297</x:v>
      </x:c>
      <x:c r="M24" s="37" t="n">
        <x:v>443159</x:v>
      </x:c>
      <x:c r="N24" s="37" t="n">
        <x:v>453622</x:v>
      </x:c>
      <x:c r="O24" s="37" t="n">
        <x:v>447754</x:v>
      </x:c>
      <x:c r="P24" s="37" t="n">
        <x:v>457168</x:v>
      </x:c>
    </x:row>
    <x:row r="25">
      <x:c r="A25" s="20" t="str">
        <x:v>  Securities AFS</x:v>
      </x:c>
      <x:c r="B25" s="37"/>
      <x:c r="C25" s="37"/>
      <x:c r="D25" s="37"/>
      <x:c r="E25" s="37"/>
      <x:c r="F25" s="37" t="n">
        <x:v>79117</x:v>
      </x:c>
      <x:c r="G25" s="37" t="n">
        <x:v>78398</x:v>
      </x:c>
      <x:c r="H25" s="37" t="n">
        <x:v>79250</x:v>
      </x:c>
      <x:c r="I25" s="37" t="n">
        <x:v>83500</x:v>
      </x:c>
      <x:c r="J25" s="37" t="n">
        <x:v>83013</x:v>
      </x:c>
      <x:c r="K25" s="37" t="n">
        <x:v>84362</x:v>
      </x:c>
      <x:c r="L25" s="37" t="n">
        <x:v>87196</x:v>
      </x:c>
      <x:c r="M25" s="37" t="n">
        <x:v>89733</x:v>
      </x:c>
      <x:c r="N25" s="37" t="n">
        <x:v>91051</x:v>
      </x:c>
      <x:c r="O25" s="37" t="n">
        <x:v>90620</x:v>
      </x:c>
      <x:c r="P25" s="37" t="n">
        <x:v>90041</x:v>
      </x:c>
    </x:row>
    <x:row r="26">
      <x:c r="A26" s="20" t="str">
        <x:v>  Securities HTM</x:v>
      </x:c>
      <x:c r="B26" s="37"/>
      <x:c r="C26" s="37"/>
      <x:c r="D26" s="37"/>
      <x:c r="E26" s="37"/>
      <x:c r="F26" s="37"/>
      <x:c r="G26" s="37"/>
      <x:c r="H26" s="37"/>
      <x:c r="I26" s="37"/>
      <x:c r="J26" s="37"/>
      <x:c r="K26" s="37"/>
      <x:c r="L26" s="37"/>
      <x:c r="M26" s="37"/>
      <x:c r="N26" s="37" t="n">
        <x:v>0</x:v>
      </x:c>
      <x:c r="O26" s="37" t="n">
        <x:v>1694</x:v>
      </x:c>
      <x:c r="P26" s="37" t="n">
        <x:v>2737</x:v>
      </x:c>
    </x:row>
    <x:row r="27">
      <x:c r="A27" s="20" t="str">
        <x:v>  Cash and cash equivalents</x:v>
      </x:c>
      <x:c r="B27" s="37" t="n">
        <x:v>31256</x:v>
      </x:c>
      <x:c r="C27" s="37" t="n">
        <x:v>46973</x:v>
      </x:c>
      <x:c r="D27" s="37" t="n">
        <x:v>42048</x:v>
      </x:c>
      <x:c r="E27" s="37" t="n">
        <x:v>45304</x:v>
      </x:c>
      <x:c r="F27" s="37" t="n">
        <x:v>43755</x:v>
      </x:c>
      <x:c r="G27" s="37" t="n">
        <x:v>51502</x:v>
      </x:c>
      <x:c r="H27" s="37" t="n">
        <x:v>47829</x:v>
      </x:c>
      <x:c r="I27" s="37" t="n">
        <x:v>49719</x:v>
      </x:c>
      <x:c r="J27" s="37" t="n">
        <x:v>43671</x:v>
      </x:c>
      <x:c r="K27" s="37" t="n">
        <x:v>48965</x:v>
      </x:c>
      <x:c r="L27" s="37" t="n">
        <x:v>61578</x:v>
      </x:c>
      <x:c r="M27" s="37" t="n">
        <x:v>58527</x:v>
      </x:c>
      <x:c r="N27" s="37" t="n">
        <x:v>62093</x:v>
      </x:c>
      <x:c r="O27" s="37" t="n">
        <x:v>79256</x:v>
      </x:c>
      <x:c r="P27" s="37" t="n">
        <x:v>55881</x:v>
      </x:c>
    </x:row>
    <x:row r="28">
      <x:c r="A28" s="20" t="str">
        <x:v>  Interest-bearing deposits</x:v>
      </x:c>
      <x:c r="B28" s="37"/>
      <x:c r="C28" s="37"/>
      <x:c r="D28" s="37"/>
      <x:c r="E28" s="37"/>
      <x:c r="F28" s="37" t="n">
        <x:v>320389</x:v>
      </x:c>
      <x:c r="G28" s="37" t="n">
        <x:v>323352</x:v>
      </x:c>
      <x:c r="H28" s="37" t="n">
        <x:v>324437</x:v>
      </x:c>
      <x:c r="I28" s="37" t="n">
        <x:v>327253</x:v>
      </x:c>
      <x:c r="J28" s="37" t="n">
        <x:v>336585</x:v>
      </x:c>
      <x:c r="K28" s="37" t="n">
        <x:v>340964</x:v>
      </x:c>
      <x:c r="L28" s="37" t="n">
        <x:v>440231</x:v>
      </x:c>
      <x:c r="M28" s="37" t="n">
        <x:v>441136</x:v>
      </x:c>
      <x:c r="N28" s="37" t="n">
        <x:v>448386</x:v>
      </x:c>
      <x:c r="O28" s="37" t="n">
        <x:v>461117</x:v>
      </x:c>
      <x:c r="P28" s="37" t="n">
        <x:v>456464</x:v>
      </x:c>
    </x:row>
    <x:row r="29">
      <x:c r="A29" s="20" t="str">
        <x:v>  Long-term debt</x:v>
      </x:c>
      <x:c r="B29" s="37"/>
      <x:c r="C29" s="37"/>
      <x:c r="D29" s="37"/>
      <x:c r="E29" s="37"/>
      <x:c r="F29" s="37" t="n">
        <x:v>49318</x:v>
      </x:c>
      <x:c r="G29" s="37" t="n">
        <x:v>49793</x:v>
      </x:c>
      <x:c r="H29" s="37" t="n">
        <x:v>47241</x:v>
      </x:c>
      <x:c r="I29" s="37" t="n">
        <x:v>48816</x:v>
      </x:c>
      <x:c r="J29" s="37" t="n">
        <x:v>44989</x:v>
      </x:c>
      <x:c r="K29" s="37" t="n">
        <x:v>41200</x:v>
      </x:c>
      <x:c r="L29" s="37" t="n">
        <x:v>51924</x:v>
      </x:c>
      <x:c r="M29" s="37" t="n">
        <x:v>50866</x:v>
      </x:c>
      <x:c r="N29" s="37" t="n">
        <x:v>49913</x:v>
      </x:c>
      <x:c r="O29" s="37" t="n">
        <x:v>50262</x:v>
      </x:c>
      <x:c r="P29" s="37" t="n">
        <x:v>44677</x:v>
      </x:c>
    </x:row>
    <x:row r="30">
      <x:c r="A30" s="20" t="str">
        <x:v>  Short-term borrowings</x:v>
      </x:c>
      <x:c r="B30" s="37"/>
      <x:c r="C30" s="37"/>
      <x:c r="D30" s="37"/>
      <x:c r="E30" s="37"/>
      <x:c r="F30" s="37" t="n">
        <x:v>538</x:v>
      </x:c>
      <x:c r="G30" s="37" t="n">
        <x:v>568</x:v>
      </x:c>
      <x:c r="H30" s="37" t="n">
        <x:v>715</x:v>
      </x:c>
      <x:c r="I30" s="37" t="n">
        <x:v>520</x:v>
      </x:c>
      <x:c r="J30" s="37" t="n">
        <x:v>562</x:v>
      </x:c>
      <x:c r="K30" s="37" t="n">
        <x:v>573</x:v>
      </x:c>
      <x:c r="L30" s="37" t="n">
        <x:v>742</x:v>
      </x:c>
      <x:c r="M30" s="37" t="n">
        <x:v>616</x:v>
      </x:c>
      <x:c r="N30" s="37" t="n">
        <x:v>1087</x:v>
      </x:c>
      <x:c r="O30" s="37" t="n">
        <x:v>1626</x:v>
      </x:c>
      <x:c r="P30" s="37" t="n">
        <x:v>694</x:v>
      </x:c>
    </x:row>
    <x:row r="31">
      <x:c r="A31" s="20" t="str">
        <x:v>  Other borrowings</x:v>
      </x:c>
      <x:c r="B31" s="37"/>
      <x:c r="C31" s="37"/>
      <x:c r="D31" s="37"/>
      <x:c r="E31" s="37"/>
      <x:c r="F31" s="37" t="n">
        <x:v>27</x:v>
      </x:c>
      <x:c r="G31" s="37" t="n">
        <x:v>24</x:v>
      </x:c>
      <x:c r="H31" s="37" t="n">
        <x:v>25</x:v>
      </x:c>
      <x:c r="I31" s="37" t="n">
        <x:v>24</x:v>
      </x:c>
      <x:c r="J31" s="37" t="n">
        <x:v>29</x:v>
      </x:c>
      <x:c r="K31" s="37" t="n">
        <x:v>25</x:v>
      </x:c>
      <x:c r="L31" s="37" t="n">
        <x:v>560</x:v>
      </x:c>
      <x:c r="M31" s="37" t="n">
        <x:v>562</x:v>
      </x:c>
      <x:c r="N31" s="37" t="n">
        <x:v>1559</x:v>
      </x:c>
      <x:c r="O31" s="37" t="n">
        <x:v>1558</x:v>
      </x:c>
      <x:c r="P31" s="37" t="n">
        <x:v>555</x:v>
      </x:c>
    </x:row>
  </x:sheetData>
  <x:pageMargins left="0.7" right="0.7" top="0.75" bottom="0.75" header="0.3" footer="0.3"/>
</x:worksheet>
</file>

<file path=xl/worksheets/sheet6.xml><?xml version="1.0" encoding="utf-8"?>
<x:worksheet xmlns:x="http://schemas.openxmlformats.org/spreadsheetml/2006/main">
  <x:sheetViews>
    <x:sheetView showGridLines="1" workbookViewId="0">
      <x:pane xSplit="1" ySplit="4" topLeftCell="B5" activePane="bottomRight" state="frozen"/>
    </x:sheetView>
  </x:sheetViews>
  <x:sheetFormatPr defaultRowHeight="15"/>
  <x:cols>
    <x:col min="1" max="1" width="43"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 min="39" max="39" width="12" hidden="0" customWidth="1"/>
    <x:col min="40" max="40" width="12" hidden="0" customWidth="1"/>
    <x:col min="41" max="41" width="12" hidden="0" customWidth="1"/>
    <x:col min="42" max="42" width="12" hidden="0" customWidth="1"/>
    <x:col min="43" max="43" width="12" hidden="0" customWidth="1"/>
    <x:col min="44" max="44" width="12" hidden="0" customWidth="1"/>
  </x:cols>
  <x:sheetData>
    <x:row r="1">
      <x:c r="A1" s="28" t="str">
        <x:v>Capital One - Imputed Monthly End-of-Period Balance by line item ($mm)</x:v>
      </x:c>
      <x:c r="B1" s="20"/>
      <x:c r="C1" s="20"/>
      <x:c r="D1" s="20"/>
      <x:c r="E1" s="20"/>
      <x:c r="F1" s="20"/>
      <x:c r="G1" s="20"/>
      <x:c r="H1" s="20"/>
      <x:c r="I1" s="20"/>
      <x:c r="J1" s="20"/>
      <x:c r="K1" s="20"/>
      <x:c r="L1" s="20"/>
      <x:c r="M1" s="20"/>
      <x:c r="N1" s="20"/>
      <x:c r="O1" s="20"/>
      <x:c r="P1" s="20"/>
      <x:c r="Q1" s="20"/>
      <x:c r="R1" s="20"/>
      <x:c r="S1" s="20"/>
      <x:c r="T1" s="20"/>
      <x:c r="U1" s="20"/>
      <x:c r="V1" s="20"/>
      <x:c r="W1" s="20"/>
      <x:c r="X1" s="20"/>
      <x:c r="Y1" s="20"/>
      <x:c r="Z1" s="20"/>
      <x:c r="AA1" s="20"/>
      <x:c r="AB1" s="20"/>
      <x:c r="AC1" s="20"/>
      <x:c r="AD1" s="20"/>
      <x:c r="AE1" s="20"/>
      <x:c r="AF1" s="20"/>
      <x:c r="AG1" s="20"/>
      <x:c r="AH1" s="20"/>
      <x:c r="AI1" s="20"/>
      <x:c r="AJ1" s="20"/>
      <x:c r="AK1" s="20"/>
      <x:c r="AL1" s="20"/>
      <x:c r="AM1" s="20"/>
      <x:c r="AN1" s="20"/>
      <x:c r="AO1" s="20"/>
      <x:c r="AP1" s="20"/>
      <x:c r="AQ1" s="20"/>
      <x:c r="AR1" s="20"/>
    </x:row>
    <x:row r="2" ht="31" customHeight="1">
      <x:c r="A2" s="30" t="str">
        <x:v>Reported quarter-end anchors are fixed where available. Month 1 and month 2 are adjusted around a straight-line path so the prior quarter-end plus all three month-ends averages to the disclosed quarterly average balance.</x:v>
      </x:c>
      <x:c r="B2" s="30"/>
      <x:c r="C2" s="30"/>
      <x:c r="D2" s="30"/>
      <x:c r="E2" s="30"/>
      <x:c r="F2" s="30"/>
      <x:c r="G2" s="30"/>
      <x:c r="H2" s="30"/>
      <x:c r="I2" s="30"/>
      <x:c r="J2" s="30"/>
      <x:c r="K2" s="30"/>
      <x:c r="L2" s="30"/>
      <x:c r="M2" s="30"/>
      <x:c r="N2" s="30"/>
      <x:c r="O2" s="30"/>
      <x:c r="P2" s="30"/>
      <x:c r="Q2" s="30"/>
      <x:c r="R2" s="30"/>
      <x:c r="S2" s="30"/>
      <x:c r="T2" s="30"/>
      <x:c r="U2" s="30"/>
      <x:c r="V2" s="30"/>
      <x:c r="W2" s="30"/>
      <x:c r="X2" s="30"/>
      <x:c r="Y2" s="30"/>
      <x:c r="Z2" s="30"/>
      <x:c r="AA2" s="30"/>
      <x:c r="AB2" s="30"/>
      <x:c r="AC2" s="30"/>
      <x:c r="AD2" s="30"/>
      <x:c r="AE2" s="30"/>
      <x:c r="AF2" s="30"/>
      <x:c r="AG2" s="30"/>
      <x:c r="AH2" s="30"/>
      <x:c r="AI2" s="30"/>
      <x:c r="AJ2" s="30"/>
      <x:c r="AK2" s="30"/>
      <x:c r="AL2" s="30"/>
      <x:c r="AM2" s="30"/>
      <x:c r="AN2" s="30"/>
      <x:c r="AO2" s="30"/>
      <x:c r="AP2" s="30"/>
      <x:c r="AQ2" s="30"/>
      <x:c r="AR2" s="30"/>
    </x:row>
    <x:row r="3">
      <x:c r="A3" s="20"/>
      <x:c r="B3" s="20"/>
      <x:c r="C3" s="20"/>
      <x:c r="D3" s="20"/>
      <x:c r="E3" s="20"/>
      <x:c r="F3" s="20"/>
      <x:c r="G3" s="20"/>
      <x:c r="H3" s="20"/>
      <x:c r="I3" s="20"/>
      <x:c r="J3" s="20"/>
      <x:c r="K3" s="20"/>
      <x:c r="L3" s="20"/>
      <x:c r="M3" s="20"/>
      <x:c r="N3" s="20"/>
      <x:c r="O3" s="20"/>
      <x:c r="P3" s="20"/>
      <x:c r="Q3" s="20"/>
      <x:c r="R3" s="20"/>
      <x:c r="S3" s="20"/>
      <x:c r="T3" s="20"/>
      <x:c r="U3" s="20"/>
      <x:c r="V3" s="20"/>
      <x:c r="W3" s="20"/>
      <x:c r="X3" s="20"/>
      <x:c r="Y3" s="20"/>
      <x:c r="Z3" s="20"/>
      <x:c r="AA3" s="20"/>
      <x:c r="AB3" s="20"/>
      <x:c r="AC3" s="20"/>
      <x:c r="AD3" s="20"/>
      <x:c r="AE3" s="20"/>
      <x:c r="AF3" s="20"/>
      <x:c r="AG3" s="20"/>
      <x:c r="AH3" s="20"/>
      <x:c r="AI3" s="20"/>
      <x:c r="AJ3" s="20"/>
      <x:c r="AK3" s="20"/>
      <x:c r="AL3" s="20"/>
      <x:c r="AM3" s="20"/>
      <x:c r="AN3" s="20"/>
      <x:c r="AO3" s="20"/>
      <x:c r="AP3" s="20"/>
      <x:c r="AQ3" s="20"/>
      <x:c r="AR3" s="20"/>
    </x:row>
    <x:row r="4">
      <x:c r="A4" s="26" t="str">
        <x:v>Line item (as disclosed)</x:v>
      </x:c>
      <x:c r="B4" s="31" t="n">
        <x:v>44926</x:v>
      </x:c>
      <x:c r="C4" s="31" t="n">
        <x:v>44957</x:v>
      </x:c>
      <x:c r="D4" s="31" t="n">
        <x:v>44985</x:v>
      </x:c>
      <x:c r="E4" s="31" t="n">
        <x:v>45016</x:v>
      </x:c>
      <x:c r="F4" s="31" t="n">
        <x:v>45046</x:v>
      </x:c>
      <x:c r="G4" s="31" t="n">
        <x:v>45077</x:v>
      </x:c>
      <x:c r="H4" s="31" t="n">
        <x:v>45107</x:v>
      </x:c>
      <x:c r="I4" s="31" t="n">
        <x:v>45138</x:v>
      </x:c>
      <x:c r="J4" s="31" t="n">
        <x:v>45169</x:v>
      </x:c>
      <x:c r="K4" s="31" t="n">
        <x:v>45199</x:v>
      </x:c>
      <x:c r="L4" s="31" t="n">
        <x:v>45230</x:v>
      </x:c>
      <x:c r="M4" s="31" t="n">
        <x:v>45260</x:v>
      </x:c>
      <x:c r="N4" s="31" t="n">
        <x:v>45291</x:v>
      </x:c>
      <x:c r="O4" s="31" t="n">
        <x:v>45322</x:v>
      </x:c>
      <x:c r="P4" s="31" t="n">
        <x:v>45351</x:v>
      </x:c>
      <x:c r="Q4" s="31" t="n">
        <x:v>45382</x:v>
      </x:c>
      <x:c r="R4" s="31" t="n">
        <x:v>45412</x:v>
      </x:c>
      <x:c r="S4" s="31" t="n">
        <x:v>45443</x:v>
      </x:c>
      <x:c r="T4" s="31" t="n">
        <x:v>45473</x:v>
      </x:c>
      <x:c r="U4" s="31" t="n">
        <x:v>45504</x:v>
      </x:c>
      <x:c r="V4" s="31" t="n">
        <x:v>45535</x:v>
      </x:c>
      <x:c r="W4" s="31" t="n">
        <x:v>45565</x:v>
      </x:c>
      <x:c r="X4" s="31" t="n">
        <x:v>45596</x:v>
      </x:c>
      <x:c r="Y4" s="31" t="n">
        <x:v>45626</x:v>
      </x:c>
      <x:c r="Z4" s="31" t="n">
        <x:v>45657</x:v>
      </x:c>
      <x:c r="AA4" s="31" t="n">
        <x:v>45688</x:v>
      </x:c>
      <x:c r="AB4" s="31" t="n">
        <x:v>45716</x:v>
      </x:c>
      <x:c r="AC4" s="31" t="n">
        <x:v>45747</x:v>
      </x:c>
      <x:c r="AD4" s="31" t="n">
        <x:v>45777</x:v>
      </x:c>
      <x:c r="AE4" s="31" t="n">
        <x:v>45808</x:v>
      </x:c>
      <x:c r="AF4" s="31" t="n">
        <x:v>45838</x:v>
      </x:c>
      <x:c r="AG4" s="31" t="n">
        <x:v>45869</x:v>
      </x:c>
      <x:c r="AH4" s="31" t="n">
        <x:v>45900</x:v>
      </x:c>
      <x:c r="AI4" s="31" t="n">
        <x:v>45930</x:v>
      </x:c>
      <x:c r="AJ4" s="31" t="n">
        <x:v>45961</x:v>
      </x:c>
      <x:c r="AK4" s="31" t="n">
        <x:v>45991</x:v>
      </x:c>
      <x:c r="AL4" s="31" t="n">
        <x:v>46022</x:v>
      </x:c>
      <x:c r="AM4" s="31" t="n">
        <x:v>46053</x:v>
      </x:c>
      <x:c r="AN4" s="31" t="n">
        <x:v>46081</x:v>
      </x:c>
      <x:c r="AO4" s="31" t="n">
        <x:v>46112</x:v>
      </x:c>
      <x:c r="AP4" s="31" t="n">
        <x:v>46142</x:v>
      </x:c>
      <x:c r="AQ4" s="31" t="n">
        <x:v>46173</x:v>
      </x:c>
      <x:c r="AR4" s="31" t="n">
        <x:v>46203</x:v>
      </x:c>
    </x:row>
    <x:row r="5">
      <x:c r="A5" s="32" t="str">
        <x:v>INTEREST-EARNING ASSETS</x:v>
      </x:c>
      <x:c r="B5" s="32"/>
      <x:c r="C5" s="32"/>
      <x:c r="D5" s="32"/>
      <x:c r="E5" s="32"/>
      <x:c r="F5" s="32"/>
      <x:c r="G5" s="32"/>
      <x:c r="H5" s="32"/>
      <x:c r="I5" s="32"/>
      <x:c r="J5" s="32"/>
      <x:c r="K5" s="32"/>
      <x:c r="L5" s="32"/>
      <x:c r="M5" s="32"/>
      <x:c r="N5" s="32"/>
      <x:c r="O5" s="32"/>
      <x:c r="P5" s="32"/>
      <x:c r="Q5" s="32"/>
      <x:c r="R5" s="32"/>
      <x:c r="S5" s="32"/>
      <x:c r="T5" s="32"/>
      <x:c r="U5" s="32"/>
      <x:c r="V5" s="32"/>
      <x:c r="W5" s="32"/>
      <x:c r="X5" s="32"/>
      <x:c r="Y5" s="32"/>
      <x:c r="Z5" s="32"/>
      <x:c r="AA5" s="32"/>
      <x:c r="AB5" s="32"/>
      <x:c r="AC5" s="32"/>
      <x:c r="AD5" s="32"/>
      <x:c r="AE5" s="32"/>
      <x:c r="AF5" s="32"/>
      <x:c r="AG5" s="32"/>
      <x:c r="AH5" s="32"/>
      <x:c r="AI5" s="32"/>
      <x:c r="AJ5" s="32"/>
      <x:c r="AK5" s="32"/>
      <x:c r="AL5" s="32"/>
      <x:c r="AM5" s="32"/>
      <x:c r="AN5" s="32"/>
      <x:c r="AO5" s="32"/>
      <x:c r="AP5" s="32"/>
      <x:c r="AQ5" s="32"/>
      <x:c r="AR5" s="32"/>
    </x:row>
    <x:row r="6">
      <x:c r="A6" s="20" t="str">
        <x:v>  Credit card</x:v>
      </x:c>
      <x:c r="B6" s="38" t="n">
        <x:f>IF(ISNUMBER('Quarter-End Anchors'!B6),'Quarter-End Anchors'!B6,Balance!B6)</x:f>
        <x:v>134669</x:v>
      </x:c>
      <x:c r="C6" s="38" t="n">
        <x:f>B6+(E6-B6)/3+(2*Balance!B6-B6-E6)</x:f>
        <x:v>134669</x:v>
      </x:c>
      <x:c r="D6" s="38" t="n">
        <x:f>B6+2*(E6-B6)/3+(2*Balance!B6-B6-E6)</x:f>
        <x:v>134669</x:v>
      </x:c>
      <x:c r="E6" s="38" t="n">
        <x:f>IF(ISNUMBER('Quarter-End Anchors'!C6),'Quarter-End Anchors'!C6,2*Balance!B6-B6)</x:f>
        <x:v>134669</x:v>
      </x:c>
      <x:c r="F6" s="38" t="n">
        <x:f>E6+(H6-E6)/3+(2*Balance!C6-E6-H6)</x:f>
        <x:v>137397.66666666666</x:v>
      </x:c>
      <x:c r="G6" s="38" t="n">
        <x:f>E6+2*(H6-E6)/3+(2*Balance!C6-E6-H6)</x:f>
        <x:v>140126.33333333334</x:v>
      </x:c>
      <x:c r="H6" s="38" t="n">
        <x:f>IF(ISNUMBER('Quarter-End Anchors'!D6),'Quarter-End Anchors'!D6,2*Balance!C6-E6)</x:f>
        <x:v>142855</x:v>
      </x:c>
      <x:c r="I6" s="38" t="n">
        <x:f>H6+(K6-H6)/3+(2*Balance!D6-H6-K6)</x:f>
        <x:v>143653.66666666666</x:v>
      </x:c>
      <x:c r="J6" s="38" t="n">
        <x:f>H6+2*(K6-H6)/3+(2*Balance!D6-H6-K6)</x:f>
        <x:v>144452.33333333334</x:v>
      </x:c>
      <x:c r="K6" s="38" t="n">
        <x:f>IF(ISNUMBER('Quarter-End Anchors'!E6),'Quarter-End Anchors'!E6,2*Balance!D6-H6)</x:f>
        <x:v>145251</x:v>
      </x:c>
      <x:c r="L6" s="38" t="n">
        <x:f>K6+(N6-K6)/3+(2*Balance!E6-K6-N6)</x:f>
        <x:v>149221.68808193962</x:v>
      </x:c>
      <x:c r="M6" s="38" t="n">
        <x:f>K6+2*(N6-K6)/3+(2*Balance!E6-K6-N6)</x:f>
        <x:v>151097.34404096982</x:v>
      </x:c>
      <x:c r="N6" s="38" t="n">
        <x:f>IF(ISNUMBER('Quarter-End Anchors'!F6),'Quarter-End Anchors'!F6,2*Balance!E6-K6)</x:f>
        <x:v>150877.96787709056</x:v>
      </x:c>
      <x:c r="O6" s="38" t="n">
        <x:f>N6+(Q6-N6)/3+(2*Balance!F6-N6-Q6)</x:f>
        <x:v>149902.3293318098</x:v>
      </x:c>
      <x:c r="P6" s="38" t="n">
        <x:f>N6+2*(Q6-N6)/3+(2*Balance!F6-N6-Q6)</x:f>
        <x:v>149561.1807273596</x:v>
      </x:c>
      <x:c r="Q6" s="38" t="n">
        <x:f>IF(ISNUMBER('Quarter-End Anchors'!G6),'Quarter-End Anchors'!G6,2*Balance!F6-N6)</x:f>
        <x:v>149854.52206374003</x:v>
      </x:c>
      <x:c r="R6" s="38" t="n">
        <x:f>Q6+(T6-Q6)/3+(2*Balance!G6-Q6-T6)</x:f>
        <x:v>150450.63578255693</x:v>
      </x:c>
      <x:c r="S6" s="38" t="n">
        <x:f>Q6+2*(T6-Q6)/3+(2*Balance!G6-Q6-T6)</x:f>
        <x:v>151164.05685940845</x:v>
      </x:c>
      <x:c r="T6" s="38" t="n">
        <x:f>IF(ISNUMBER('Quarter-End Anchors'!H6),'Quarter-End Anchors'!H6,2*Balance!G6-Q6)</x:f>
        <x:v>151994.7852942946</x:v>
      </x:c>
      <x:c r="U6" s="38" t="n">
        <x:f>T6+(W6-T6)/3+(2*Balance!H6-T6-W6)</x:f>
        <x:v>154389.01698479717</x:v>
      </x:c>
      <x:c r="V6" s="38" t="n">
        <x:f>T6+2*(W6-T6)/3+(2*Balance!H6-T6-W6)</x:f>
        <x:v>155357.1158452513</x:v>
      </x:c>
      <x:c r="W6" s="38" t="n">
        <x:f>IF(ISNUMBER('Quarter-End Anchors'!I6),'Quarter-End Anchors'!I6,2*Balance!H6-T6)</x:f>
        <x:v>154899.08187565694</x:v>
      </x:c>
      <x:c r="X6" s="38" t="n">
        <x:f>W6+(Z6-W6)/3+(2*Balance!I6-W6-Z6)</x:f>
        <x:v>156385.97797193096</x:v>
      </x:c>
      <x:c r="Y6" s="38" t="n">
        <x:f>W6+2*(Z6-W6)/3+(2*Balance!I6-W6-Z6)</x:f>
        <x:v>158103.448048137</x:v>
      </x:c>
      <x:c r="Z6" s="38" t="n">
        <x:f>IF(ISNUMBER('Quarter-End Anchors'!J6),'Quarter-End Anchors'!J6,2*Balance!I6-W6)</x:f>
        <x:v>160051.4921042751</x:v>
      </x:c>
      <x:c r="AA6" s="38" t="n">
        <x:f>Z6+(AC6-Z6)/3+(2*Balance!J6-Z6-AC6)</x:f>
        <x:v>154926.6620385483</x:v>
      </x:c>
      <x:c r="AB6" s="38" t="n">
        <x:f>Z6+2*(AC6-Z6)/3+(2*Balance!J6-Z6-AC6)</x:f>
        <x:v>153845.5849671366</x:v>
      </x:c>
      <x:c r="AC6" s="38" t="n">
        <x:f>IF(ISNUMBER('Quarter-End Anchors'!K6),'Quarter-End Anchors'!K6,2*Balance!J6-Z6)</x:f>
        <x:v>156808.26089004002</x:v>
      </x:c>
      <x:c r="AD6" s="38" t="n">
        <x:f>AC6+(AF6-AC6)/3+(2*Balance!K6-AC6-AF6)</x:f>
        <x:v>204882.31846245495</x:v>
      </x:c>
      <x:c r="AE6" s="38" t="n">
        <x:f>AC6+2*(AF6-AC6)/3+(2*Balance!K6-AC6-AF6)</x:f>
        <x:v>233730.02878620746</x:v>
      </x:c>
      <x:c r="AF6" s="38" t="n">
        <x:f>IF(ISNUMBER('Quarter-End Anchors'!L6),'Quarter-End Anchors'!L6,2*Balance!K6-AC6)</x:f>
        <x:v>243351.39186129757</x:v>
      </x:c>
      <x:c r="AG6" s="38" t="n">
        <x:f>AF6+(AI6-AF6)/3+(2*Balance!L6-AF6-AI6)</x:f>
        <x:v>276647.9970891961</x:v>
      </x:c>
      <x:c r="AH6" s="38" t="n">
        <x:f>AF6+2*(AI6-AF6)/3+(2*Balance!L6-AF6-AI6)</x:f>
        <x:v>285823.3026139493</x:v>
      </x:c>
      <x:c r="AI6" s="38" t="n">
        <x:f>IF(ISNUMBER('Quarter-End Anchors'!M6),'Quarter-End Anchors'!M6,2*Balance!L6-AF6)</x:f>
        <x:v>270877.30843555706</x:v>
      </x:c>
      <x:c r="AJ6" s="38" t="n">
        <x:f>AI6+(AL6-AI6)/3+(2*Balance!M6-AI6-AL6)</x:f>
        <x:v>270185.62643984833</x:v>
      </x:c>
      <x:c r="AK6" s="38" t="n">
        <x:f>AI6+2*(AL6-AI6)/3+(2*Balance!M6-AI6-AL6)</x:f>
        <x:v>272374.15900214564</x:v>
      </x:c>
      <x:c r="AL6" s="38" t="n">
        <x:f>IF(ISNUMBER('Quarter-End Anchors'!N6),'Quarter-End Anchors'!N6,2*Balance!M6-AI6)</x:f>
        <x:v>277442.90612244897</x:v>
      </x:c>
      <x:c r="AM6" s="38" t="n">
        <x:f>AL6+(AO6-AL6)/3+(2*Balance!N6-AL6-AO6)</x:f>
        <x:v>268408.99614903313</x:v>
      </x:c>
      <x:c r="AN6" s="38" t="n">
        <x:f>AL6+2*(AO6-AL6)/3+(2*Balance!N6-AL6-AO6)</x:f>
        <x:v>266458.04501329205</x:v>
      </x:c>
      <x:c r="AO6" s="38" t="n">
        <x:f>IF(ISNUMBER('Quarter-End Anchors'!O6),'Quarter-End Anchors'!O6,2*Balance!N6-AL6)</x:f>
        <x:v>271590.05271522584</x:v>
      </x:c>
      <x:c r="AP6" s="38" t="n">
        <x:f>AO6+(AR6-AO6)/3+(2*Balance!O6-AO6-AR6)</x:f>
        <x:v>268537.2437277244</x:v>
      </x:c>
      <x:c r="AQ6" s="38" t="n">
        <x:f>AO6+2*(AR6-AO6)/3+(2*Balance!O6-AO6-AR6)</x:f>
        <x:v>269670.5955062493</x:v>
      </x:c>
      <x:c r="AR6" s="38" t="n">
        <x:f>IF(ISNUMBER('Quarter-End Anchors'!P6),'Quarter-End Anchors'!P6,2*Balance!O6-AO6)</x:f>
        <x:v>274990.10805080045</x:v>
      </x:c>
    </x:row>
    <x:row r="7">
      <x:c r="A7" s="20" t="str">
        <x:v>  Consumer banking</x:v>
      </x:c>
      <x:c r="B7" s="38" t="n">
        <x:f>IF(ISNUMBER('Quarter-End Anchors'!B7),'Quarter-End Anchors'!B7,Balance!B7)</x:f>
        <x:v>79000</x:v>
      </x:c>
      <x:c r="C7" s="38" t="n">
        <x:f>B7+(E7-B7)/3+(2*Balance!B7-B7-E7)</x:f>
        <x:v>79000</x:v>
      </x:c>
      <x:c r="D7" s="38" t="n">
        <x:f>B7+2*(E7-B7)/3+(2*Balance!B7-B7-E7)</x:f>
        <x:v>79000</x:v>
      </x:c>
      <x:c r="E7" s="38" t="n">
        <x:f>IF(ISNUMBER('Quarter-End Anchors'!C7),'Quarter-End Anchors'!C7,2*Balance!B7-B7)</x:f>
        <x:v>79000</x:v>
      </x:c>
      <x:c r="F7" s="38" t="n">
        <x:f>E7+(H7-E7)/3+(2*Balance!C7-E7-H7)</x:f>
        <x:v>78132.66666666667</x:v>
      </x:c>
      <x:c r="G7" s="38" t="n">
        <x:f>E7+2*(H7-E7)/3+(2*Balance!C7-E7-H7)</x:f>
        <x:v>77265.33333333333</x:v>
      </x:c>
      <x:c r="H7" s="38" t="n">
        <x:f>IF(ISNUMBER('Quarter-End Anchors'!D7),'Quarter-End Anchors'!D7,2*Balance!C7-E7)</x:f>
        <x:v>76398</x:v>
      </x:c>
      <x:c r="I7" s="38" t="n">
        <x:f>H7+(K7-H7)/3+(2*Balance!D7-H7-K7)</x:f>
        <x:v>76902</x:v>
      </x:c>
      <x:c r="J7" s="38" t="n">
        <x:f>H7+2*(K7-H7)/3+(2*Balance!D7-H7-K7)</x:f>
        <x:v>77406</x:v>
      </x:c>
      <x:c r="K7" s="38" t="n">
        <x:f>IF(ISNUMBER('Quarter-End Anchors'!E7),'Quarter-End Anchors'!E7,2*Balance!D7-H7)</x:f>
        <x:v>77910</x:v>
      </x:c>
      <x:c r="L7" s="38" t="n">
        <x:f>K7+(N7-K7)/3+(2*Balance!E7-K7-N7)</x:f>
        <x:v>75060.17436797686</x:v>
      </x:c>
      <x:c r="M7" s="38" t="n">
        <x:f>K7+2*(N7-K7)/3+(2*Balance!E7-K7-N7)</x:f>
        <x:v>74799.08718398843</x:v>
      </x:c>
      <x:c r="N7" s="38" t="n">
        <x:f>IF(ISNUMBER('Quarter-End Anchors'!F7),'Quarter-End Anchors'!F7,2*Balance!E7-K7)</x:f>
        <x:v>77126.73844803471</x:v>
      </x:c>
      <x:c r="O7" s="38" t="n">
        <x:f>N7+(Q7-N7)/3+(2*Balance!F7-N7-Q7)</x:f>
        <x:v>74477.30395633922</x:v>
      </x:c>
      <x:c r="P7" s="38" t="n">
        <x:f>N7+2*(Q7-N7)/3+(2*Balance!F7-N7-Q7)</x:f>
        <x:v>73766.28275415226</x:v>
      </x:c>
      <x:c r="Q7" s="38" t="n">
        <x:f>IF(ISNUMBER('Quarter-End Anchors'!G7),'Quarter-End Anchors'!G7,2*Balance!F7-N7)</x:f>
        <x:v>74993.67484147381</x:v>
      </x:c>
      <x:c r="R7" s="38" t="n">
        <x:f>Q7+(T7-Q7)/3+(2*Balance!G7-Q7-T7)</x:f>
        <x:v>75140.74772529889</x:v>
      </x:c>
      <x:c r="S7" s="38" t="n">
        <x:f>Q7+2*(T7-Q7)/3+(2*Balance!G7-Q7-T7)</x:f>
        <x:v>75459.53644191254</x:v>
      </x:c>
      <x:c r="T7" s="38" t="n">
        <x:f>IF(ISNUMBER('Quarter-End Anchors'!H7),'Quarter-End Anchors'!H7,2*Balance!G7-Q7)</x:f>
        <x:v>75950.04099131476</x:v>
      </x:c>
      <x:c r="U7" s="38" t="n">
        <x:f>T7+(W7-T7)/3+(2*Balance!H7-T7-W7)</x:f>
        <x:v>76015.8292031576</x:v>
      </x:c>
      <x:c r="V7" s="38" t="n">
        <x:f>T7+2*(W7-T7)/3+(2*Balance!H7-T7-W7)</x:f>
        <x:v>76214.89410592141</x:v>
      </x:c>
      <x:c r="W7" s="38" t="n">
        <x:f>IF(ISNUMBER('Quarter-End Anchors'!I7),'Quarter-End Anchors'!I7,2*Balance!H7-T7)</x:f>
        <x:v>76547.23569960623</x:v>
      </x:c>
      <x:c r="X7" s="38" t="n">
        <x:f>W7+(Z7-W7)/3+(2*Balance!I7-W7-Z7)</x:f>
        <x:v>76578.27990361681</x:v>
      </x:c>
      <x:c r="Y7" s="38" t="n">
        <x:f>W7+2*(Z7-W7)/3+(2*Balance!I7-W7-Z7)</x:f>
        <x:v>77246.5221020053</x:v>
      </x:c>
      <x:c r="Z7" s="38" t="n">
        <x:f>IF(ISNUMBER('Quarter-End Anchors'!J7),'Quarter-End Anchors'!J7,2*Balance!I7-W7)</x:f>
        <x:v>78551.96229477166</x:v>
      </x:c>
      <x:c r="AA7" s="38" t="n">
        <x:f>Z7+(AC7-Z7)/3+(2*Balance!J7-Z7-AC7)</x:f>
        <x:v>78322.12140065017</x:v>
      </x:c>
      <x:c r="AB7" s="38" t="n">
        <x:f>Z7+2*(AC7-Z7)/3+(2*Balance!J7-Z7-AC7)</x:f>
        <x:v>78365.07955293925</x:v>
      </x:c>
      <x:c r="AC7" s="38" t="n">
        <x:f>IF(ISNUMBER('Quarter-End Anchors'!K7),'Quarter-End Anchors'!K7,2*Balance!J7-Z7)</x:f>
        <x:v>78680.83675163893</x:v>
      </x:c>
      <x:c r="AD7" s="38" t="n">
        <x:f>AC7+(AF7-AC7)/3+(2*Balance!K7-AC7-AF7)</x:f>
        <x:v>71995.54403624556</x:v>
      </x:c>
      <x:c r="AE7" s="38" t="n">
        <x:f>AC7+2*(AF7-AC7)/3+(2*Balance!K7-AC7-AF7)</x:f>
        <x:v>76752.35364230332</x:v>
      </x:c>
      <x:c r="AF7" s="38" t="n">
        <x:f>IF(ISNUMBER('Quarter-End Anchors'!L7),'Quarter-End Anchors'!L7,2*Balance!K7-AC7)</x:f>
        <x:v>92951.2655698122</x:v>
      </x:c>
      <x:c r="AG7" s="38" t="n">
        <x:f>AF7+(AI7-AF7)/3+(2*Balance!L7-AF7-AI7)</x:f>
        <x:v>78395.94643489362</x:v>
      </x:c>
      <x:c r="AH7" s="38" t="n">
        <x:f>AF7+2*(AI7-AF7)/3+(2*Balance!L7-AF7-AI7)</x:f>
        <x:v>75017.3404325407</x:v>
      </x:c>
      <x:c r="AI7" s="38" t="n">
        <x:f>IF(ISNUMBER('Quarter-End Anchors'!M7),'Quarter-End Anchors'!M7,2*Balance!L7-AF7)</x:f>
        <x:v>82815.44756275348</x:v>
      </x:c>
      <x:c r="AJ7" s="38" t="n">
        <x:f>AI7+(AL7-AI7)/3+(2*Balance!M7-AI7-AL7)</x:f>
        <x:v>83409.19343632221</x:v>
      </x:c>
      <x:c r="AK7" s="38" t="n">
        <x:f>AI7+2*(AL7-AI7)/3+(2*Balance!M7-AI7-AL7)</x:f>
        <x:v>84284.87293678436</x:v>
      </x:c>
      <x:c r="AL7" s="38" t="n">
        <x:f>IF(ISNUMBER('Quarter-End Anchors'!N7),'Quarter-End Anchors'!N7,2*Balance!M7-AI7)</x:f>
        <x:v>85442.48606413994</x:v>
      </x:c>
      <x:c r="AM7" s="38" t="n">
        <x:f>AL7+(AO7-AL7)/3+(2*Balance!N7-AL7-AO7)</x:f>
        <x:v>85657.4898954695</x:v>
      </x:c>
      <x:c r="AN7" s="38" t="n">
        <x:f>AL7+2*(AO7-AL7)/3+(2*Balance!N7-AL7-AO7)</x:f>
        <x:v>85808.50191566478</x:v>
      </x:c>
      <x:c r="AO7" s="38" t="n">
        <x:f>IF(ISNUMBER('Quarter-End Anchors'!O7),'Quarter-End Anchors'!O7,2*Balance!N7-AL7)</x:f>
        <x:v>85895.52212472579</x:v>
      </x:c>
      <x:c r="AP7" s="38" t="n">
        <x:f>AO7+(AR7-AO7)/3+(2*Balance!O7-AO7-AR7)</x:f>
        <x:v>88652.84609762476</x:v>
      </x:c>
      <x:c r="AQ7" s="38" t="n">
        <x:f>AO7+2*(AR7-AO7)/3+(2*Balance!O7-AO7-AR7)</x:f>
        <x:v>89961.66198644949</x:v>
      </x:c>
      <x:c r="AR7" s="38" t="n">
        <x:f>IF(ISNUMBER('Quarter-End Anchors'!P7),'Quarter-End Anchors'!P7,2*Balance!O7-AO7)</x:f>
        <x:v>89821.96979119997</x:v>
      </x:c>
    </x:row>
    <x:row r="8">
      <x:c r="A8" s="20" t="str">
        <x:v>  Commercial banking</x:v>
      </x:c>
      <x:c r="B8" s="38" t="n">
        <x:f>IF(ISNUMBER('Quarter-End Anchors'!B8),'Quarter-End Anchors'!B8,Balance!B8)</x:f>
        <x:v>94446</x:v>
      </x:c>
      <x:c r="C8" s="38" t="n">
        <x:f>B8+(E8-B8)/3+(2*Balance!B8-B8-E8)</x:f>
        <x:v>94446</x:v>
      </x:c>
      <x:c r="D8" s="38" t="n">
        <x:f>B8+2*(E8-B8)/3+(2*Balance!B8-B8-E8)</x:f>
        <x:v>94446</x:v>
      </x:c>
      <x:c r="E8" s="38" t="n">
        <x:f>IF(ISNUMBER('Quarter-End Anchors'!C8),'Quarter-End Anchors'!C8,2*Balance!B8-B8)</x:f>
        <x:v>94446</x:v>
      </x:c>
      <x:c r="F8" s="38" t="n">
        <x:f>E8+(H8-E8)/3+(2*Balance!C8-E8-H8)</x:f>
        <x:v>94064.66666666667</x:v>
      </x:c>
      <x:c r="G8" s="38" t="n">
        <x:f>E8+2*(H8-E8)/3+(2*Balance!C8-E8-H8)</x:f>
        <x:v>93683.33333333333</x:v>
      </x:c>
      <x:c r="H8" s="38" t="n">
        <x:f>IF(ISNUMBER('Quarter-End Anchors'!D8),'Quarter-End Anchors'!D8,2*Balance!C8-E8)</x:f>
        <x:v>93302</x:v>
      </x:c>
      <x:c r="I8" s="38" t="n">
        <x:f>H8+(K8-H8)/3+(2*Balance!D8-H8-K8)</x:f>
        <x:v>92603.33333333333</x:v>
      </x:c>
      <x:c r="J8" s="38" t="n">
        <x:f>H8+2*(K8-H8)/3+(2*Balance!D8-H8-K8)</x:f>
        <x:v>91904.66666666667</x:v>
      </x:c>
      <x:c r="K8" s="38" t="n">
        <x:f>IF(ISNUMBER('Quarter-End Anchors'!E8),'Quarter-End Anchors'!E8,2*Balance!D8-H8)</x:f>
        <x:v>91206</x:v>
      </x:c>
      <x:c r="L8" s="38" t="n">
        <x:f>K8+(N8-K8)/3+(2*Balance!E8-K8-N8)</x:f>
        <x:v>90723.13755008351</x:v>
      </x:c>
      <x:c r="M8" s="38" t="n">
        <x:f>K8+2*(N8-K8)/3+(2*Balance!E8-K8-N8)</x:f>
        <x:v>91143.56877504176</x:v>
      </x:c>
      <x:c r="N8" s="38" t="n">
        <x:f>IF(ISNUMBER('Quarter-End Anchors'!F8),'Quarter-End Anchors'!F8,2*Balance!E8-K8)</x:f>
        <x:v>92467.29367487473</x:v>
      </x:c>
      <x:c r="O8" s="38" t="n">
        <x:f>N8+(Q8-N8)/3+(2*Balance!F8-N8-Q8)</x:f>
        <x:v>89819.70004518433</x:v>
      </x:c>
      <x:c r="P8" s="38" t="n">
        <x:f>N8+2*(Q8-N8)/3+(2*Balance!F8-N8-Q8)</x:f>
        <x:v>89099.2031851548</x:v>
      </x:c>
      <x:c r="Q8" s="38" t="n">
        <x:f>IF(ISNUMBER('Quarter-End Anchors'!G8),'Quarter-End Anchors'!G8,2*Balance!F8-N8)</x:f>
        <x:v>90305.80309478614</x:v>
      </x:c>
      <x:c r="R8" s="38" t="n">
        <x:f>Q8+(T8-Q8)/3+(2*Balance!G8-Q8-T8)</x:f>
        <x:v>88879.28315881085</x:v>
      </x:c>
      <x:c r="S8" s="38" t="n">
        <x:f>Q8+2*(T8-Q8)/3+(2*Balance!G8-Q8-T8)</x:f>
        <x:v>88857.74003201236</x:v>
      </x:c>
      <x:c r="T8" s="38" t="n">
        <x:f>IF(ISNUMBER('Quarter-End Anchors'!H8),'Quarter-End Anchors'!H8,2*Balance!G8-Q8)</x:f>
        <x:v>90241.17371439065</x:v>
      </x:c>
      <x:c r="U8" s="38" t="n">
        <x:f>T8+(W8-T8)/3+(2*Balance!H8-T8-W8)</x:f>
        <x:v>87467.82047871189</x:v>
      </x:c>
      <x:c r="V8" s="38" t="n">
        <x:f>T8+2*(W8-T8)/3+(2*Balance!H8-T8-W8)</x:f>
        <x:v>86986.32338216063</x:v>
      </x:c>
      <x:c r="W8" s="38" t="n">
        <x:f>IF(ISNUMBER('Quarter-End Anchors'!I8),'Quarter-End Anchors'!I8,2*Balance!H8-T8)</x:f>
        <x:v>88796.68242473683</x:v>
      </x:c>
      <x:c r="X8" s="38" t="n">
        <x:f>W8+(Z8-W8)/3+(2*Balance!I8-W8-Z8)</x:f>
        <x:v>86297.40879111888</x:v>
      </x:c>
      <x:c r="Y8" s="38" t="n">
        <x:f>W8+2*(Z8-W8)/3+(2*Balance!I8-W8-Z8)</x:f>
        <x:v>86422.36318319102</x:v>
      </x:c>
      <x:c r="Z8" s="38" t="n">
        <x:f>IF(ISNUMBER('Quarter-End Anchors'!J8),'Quarter-End Anchors'!J8,2*Balance!I8-W8)</x:f>
        <x:v>89171.54560095326</x:v>
      </x:c>
      <x:c r="AA8" s="38" t="n">
        <x:f>Z8+(AC8-Z8)/3+(2*Balance!J8-Z8-AC8)</x:f>
        <x:v>87304.8832274682</x:v>
      </x:c>
      <x:c r="AB8" s="38" t="n">
        <x:f>Z8+2*(AC8-Z8)/3+(2*Balance!J8-Z8-AC8)</x:f>
        <x:v>86950.66881325748</x:v>
      </x:c>
      <x:c r="AC8" s="38" t="n">
        <x:f>IF(ISNUMBER('Quarter-End Anchors'!K8),'Quarter-End Anchors'!K8,2*Balance!J8-Z8)</x:f>
        <x:v>88108.90235832105</x:v>
      </x:c>
      <x:c r="AD8" s="38" t="n">
        <x:f>AC8+(AF8-AC8)/3+(2*Balance!K8-AC8-AF8)</x:f>
        <x:v>79465.47083463284</x:v>
      </x:c>
      <x:c r="AE8" s="38" t="n">
        <x:f>AC8+2*(AF8-AC8)/3+(2*Balance!K8-AC8-AF8)</x:f>
        <x:v>84427.28423815589</x:v>
      </x:c>
      <x:c r="AF8" s="38" t="n">
        <x:f>IF(ISNUMBER('Quarter-End Anchors'!L8),'Quarter-End Anchors'!L8,2*Balance!K8-AC8)</x:f>
        <x:v>102994.34256889022</x:v>
      </x:c>
      <x:c r="AG8" s="38" t="n">
        <x:f>AF8+(AI8-AF8)/3+(2*Balance!L8-AF8-AI8)</x:f>
        <x:v>83832.38980924361</x:v>
      </x:c>
      <x:c r="AH8" s="38" t="n">
        <x:f>AF8+2*(AI8-AF8)/3+(2*Balance!L8-AF8-AI8)</x:f>
        <x:v>79323.0236201767</x:v>
      </x:c>
      <x:c r="AI8" s="38" t="n">
        <x:f>IF(ISNUMBER('Quarter-End Anchors'!M8),'Quarter-End Anchors'!M8,2*Balance!L8-AF8)</x:f>
        <x:v>89466.24400168947</x:v>
      </x:c>
      <x:c r="AJ8" s="38" t="n">
        <x:f>AI8+(AL8-AI8)/3+(2*Balance!M8-AI8-AL8)</x:f>
        <x:v>88070.84679049613</x:v>
      </x:c>
      <x:c r="AK8" s="38" t="n">
        <x:f>AI8+2*(AL8-AI8)/3+(2*Balance!M8-AI8-AL8)</x:f>
        <x:v>88494.30139440333</x:v>
      </x:c>
      <x:c r="AL8" s="38" t="n">
        <x:f>IF(ISNUMBER('Quarter-End Anchors'!N8),'Quarter-End Anchors'!N8,2*Balance!M8-AI8)</x:f>
        <x:v>90736.60781341107</x:v>
      </x:c>
      <x:c r="AM8" s="38" t="n">
        <x:f>AL8+(AO8-AL8)/3+(2*Balance!N8-AL8-AO8)</x:f>
        <x:v>89703.5139554974</x:v>
      </x:c>
      <x:c r="AN8" s="38" t="n">
        <x:f>AL8+2*(AO8-AL8)/3+(2*Balance!N8-AL8-AO8)</x:f>
        <x:v>89547.45307104317</x:v>
      </x:c>
      <x:c r="AO8" s="38" t="n">
        <x:f>IF(ISNUMBER('Quarter-End Anchors'!O8),'Quarter-End Anchors'!O8,2*Balance!N8-AL8)</x:f>
        <x:v>90268.42516004835</x:v>
      </x:c>
      <x:c r="AP8" s="38" t="n">
        <x:f>AO8+(AR8-AO8)/3+(2*Balance!O8-AO8-AR8)</x:f>
        <x:v>90503.91017465084</x:v>
      </x:c>
      <x:c r="AQ8" s="38" t="n">
        <x:f>AO8+2*(AR8-AO8)/3+(2*Balance!O8-AO8-AR8)</x:f>
        <x:v>91199.74250730124</x:v>
      </x:c>
      <x:c r="AR8" s="38" t="n">
        <x:f>IF(ISNUMBER('Quarter-End Anchors'!P8),'Quarter-End Anchors'!P8,2*Balance!O8-AO8)</x:f>
        <x:v>92355.92215799956</x:v>
      </x:c>
    </x:row>
    <x:row r="9">
      <x:c r="A9" s="26" t="str">
        <x:v>  Total loans (incl. HFS)</x:v>
      </x:c>
      <x:c r="B9" s="35" t="n">
        <x:f>SUM(B6:B8)</x:f>
        <x:v>308115</x:v>
      </x:c>
      <x:c r="C9" s="35" t="n">
        <x:f>SUM(C6:C8)</x:f>
        <x:v>308115</x:v>
      </x:c>
      <x:c r="D9" s="35" t="n">
        <x:f>SUM(D6:D8)</x:f>
        <x:v>308115</x:v>
      </x:c>
      <x:c r="E9" s="35" t="n">
        <x:f>SUM(E6:E8)</x:f>
        <x:v>308115</x:v>
      </x:c>
      <x:c r="F9" s="35" t="n">
        <x:f>SUM(F6:F8)</x:f>
        <x:v>309595</x:v>
      </x:c>
      <x:c r="G9" s="35" t="n">
        <x:f>SUM(G6:G8)</x:f>
        <x:v>311075</x:v>
      </x:c>
      <x:c r="H9" s="35" t="n">
        <x:f>SUM(H6:H8)</x:f>
        <x:v>312555</x:v>
      </x:c>
      <x:c r="I9" s="35" t="n">
        <x:f>SUM(I6:I8)</x:f>
        <x:v>313159</x:v>
      </x:c>
      <x:c r="J9" s="35" t="n">
        <x:f>SUM(J6:J8)</x:f>
        <x:v>313763</x:v>
      </x:c>
      <x:c r="K9" s="35" t="n">
        <x:f>SUM(K6:K8)</x:f>
        <x:v>314367</x:v>
      </x:c>
      <x:c r="L9" s="35" t="n">
        <x:f>SUM(L6:L8)</x:f>
        <x:v>315005</x:v>
      </x:c>
      <x:c r="M9" s="35" t="n">
        <x:f>SUM(M6:M8)</x:f>
        <x:v>317040</x:v>
      </x:c>
      <x:c r="N9" s="35" t="n">
        <x:f>SUM(N6:N8)</x:f>
        <x:v>320472</x:v>
      </x:c>
      <x:c r="O9" s="35" t="n">
        <x:f>SUM(O6:O8)</x:f>
        <x:v>314199.3333333334</x:v>
      </x:c>
      <x:c r="P9" s="35" t="n">
        <x:f>SUM(P6:P8)</x:f>
        <x:v>312426.6666666666</x:v>
      </x:c>
      <x:c r="Q9" s="35" t="n">
        <x:f>SUM(Q6:Q8)</x:f>
        <x:v>315154</x:v>
      </x:c>
      <x:c r="R9" s="35" t="n">
        <x:f>SUM(R6:R8)</x:f>
        <x:v>314470.6666666667</x:v>
      </x:c>
      <x:c r="S9" s="35" t="n">
        <x:f>SUM(S6:S8)</x:f>
        <x:v>315481.3333333333</x:v>
      </x:c>
      <x:c r="T9" s="35" t="n">
        <x:f>SUM(T6:T8)</x:f>
        <x:v>318186</x:v>
      </x:c>
      <x:c r="U9" s="35" t="n">
        <x:f>SUM(U6:U8)</x:f>
        <x:v>317872.6666666666</x:v>
      </x:c>
      <x:c r="V9" s="35" t="n">
        <x:f>SUM(V6:V8)</x:f>
        <x:v>318558.3333333334</x:v>
      </x:c>
      <x:c r="W9" s="35" t="n">
        <x:f>SUM(W6:W8)</x:f>
        <x:v>320243</x:v>
      </x:c>
      <x:c r="X9" s="35" t="n">
        <x:f>SUM(X6:X8)</x:f>
        <x:v>319261.6666666666</x:v>
      </x:c>
      <x:c r="Y9" s="35" t="n">
        <x:f>SUM(Y6:Y8)</x:f>
        <x:v>321772.3333333334</x:v>
      </x:c>
      <x:c r="Z9" s="35" t="n">
        <x:f>SUM(Z6:Z8)</x:f>
        <x:v>327775</x:v>
      </x:c>
      <x:c r="AA9" s="35" t="n">
        <x:f>SUM(AA6:AA8)</x:f>
        <x:v>320553.6666666666</x:v>
      </x:c>
      <x:c r="AB9" s="35" t="n">
        <x:f>SUM(AB6:AB8)</x:f>
        <x:v>319161.3333333333</x:v>
      </x:c>
      <x:c r="AC9" s="35" t="n">
        <x:f>SUM(AC6:AC8)</x:f>
        <x:v>323598</x:v>
      </x:c>
      <x:c r="AD9" s="35" t="n">
        <x:f>SUM(AD6:AD8)</x:f>
        <x:v>356343.3333333334</x:v>
      </x:c>
      <x:c r="AE9" s="35" t="n">
        <x:f>SUM(AE6:AE8)</x:f>
        <x:v>394909.6666666667</x:v>
      </x:c>
      <x:c r="AF9" s="35" t="n">
        <x:f>SUM(AF6:AF8)</x:f>
        <x:v>439297</x:v>
      </x:c>
      <x:c r="AG9" s="35" t="n">
        <x:f>SUM(AG6:AG8)</x:f>
        <x:v>438876.3333333334</x:v>
      </x:c>
      <x:c r="AH9" s="35" t="n">
        <x:f>SUM(AH6:AH8)</x:f>
        <x:v>440163.6666666667</x:v>
      </x:c>
      <x:c r="AI9" s="35" t="n">
        <x:f>SUM(AI6:AI8)</x:f>
        <x:v>443159</x:v>
      </x:c>
      <x:c r="AJ9" s="35" t="n">
        <x:f>SUM(AJ6:AJ8)</x:f>
        <x:v>441665.6666666667</x:v>
      </x:c>
      <x:c r="AK9" s="35" t="n">
        <x:f>SUM(AK6:AK8)</x:f>
        <x:v>445153.3333333333</x:v>
      </x:c>
      <x:c r="AL9" s="35" t="n">
        <x:f>SUM(AL6:AL8)</x:f>
        <x:v>453622</x:v>
      </x:c>
      <x:c r="AM9" s="35" t="n">
        <x:f>SUM(AM6:AM8)</x:f>
        <x:v>443770.00000000006</x:v>
      </x:c>
      <x:c r="AN9" s="35" t="n">
        <x:f>SUM(AN6:AN8)</x:f>
        <x:v>441814</x:v>
      </x:c>
      <x:c r="AO9" s="35" t="n">
        <x:f>SUM(AO6:AO8)</x:f>
        <x:v>447754</x:v>
      </x:c>
      <x:c r="AP9" s="35" t="n">
        <x:f>SUM(AP6:AP8)</x:f>
        <x:v>447694</x:v>
      </x:c>
      <x:c r="AQ9" s="35" t="n">
        <x:f>SUM(AQ6:AQ8)</x:f>
        <x:v>450832</x:v>
      </x:c>
      <x:c r="AR9" s="35" t="n">
        <x:f>SUM(AR6:AR8)</x:f>
        <x:v>457168</x:v>
      </x:c>
    </x:row>
    <x:row r="10">
      <x:c r="A10" s="20" t="str">
        <x:v>  Investment securities</x:v>
      </x:c>
      <x:c r="B10" s="38" t="n">
        <x:f>IF(ISNUMBER('Quarter-End Anchors'!B10),'Quarter-End Anchors'!B10,Balance!B10)</x:f>
        <x:v>89960</x:v>
      </x:c>
      <x:c r="C10" s="38" t="n">
        <x:f>B10+(E10-B10)/3+(2*Balance!B10-B10-E10)</x:f>
        <x:v>89960</x:v>
      </x:c>
      <x:c r="D10" s="38" t="n">
        <x:f>B10+2*(E10-B10)/3+(2*Balance!B10-B10-E10)</x:f>
        <x:v>89960</x:v>
      </x:c>
      <x:c r="E10" s="38" t="n">
        <x:f>IF(ISNUMBER('Quarter-End Anchors'!C10),'Quarter-End Anchors'!C10,2*Balance!B10-B10)</x:f>
        <x:v>89960</x:v>
      </x:c>
      <x:c r="F10" s="38" t="n">
        <x:f>E10+(H10-E10)/3+(2*Balance!C10-E10-H10)</x:f>
        <x:v>89982.66666666667</x:v>
      </x:c>
      <x:c r="G10" s="38" t="n">
        <x:f>E10+2*(H10-E10)/3+(2*Balance!C10-E10-H10)</x:f>
        <x:v>90005.33333333333</x:v>
      </x:c>
      <x:c r="H10" s="38" t="n">
        <x:f>IF(ISNUMBER('Quarter-End Anchors'!D10),'Quarter-End Anchors'!D10,2*Balance!C10-E10)</x:f>
        <x:v>90028</x:v>
      </x:c>
      <x:c r="I10" s="38" t="n">
        <x:f>H10+(K10-H10)/3+(2*Balance!D10-H10-K10)</x:f>
        <x:v>88572.66666666667</x:v>
      </x:c>
      <x:c r="J10" s="38" t="n">
        <x:f>H10+2*(K10-H10)/3+(2*Balance!D10-H10-K10)</x:f>
        <x:v>87117.33333333333</x:v>
      </x:c>
      <x:c r="K10" s="38" t="n">
        <x:f>IF(ISNUMBER('Quarter-End Anchors'!E10),'Quarter-End Anchors'!E10,2*Balance!D10-H10)</x:f>
        <x:v>85662</x:v>
      </x:c>
      <x:c r="L10" s="38" t="n">
        <x:f>K10+(N10-K10)/3+(2*Balance!E10-K10-N10)</x:f>
        <x:v>95987.33333333333</x:v>
      </x:c>
      <x:c r="M10" s="38" t="n">
        <x:f>K10+2*(N10-K10)/3+(2*Balance!E10-K10-N10)</x:f>
        <x:v>93805.66666666667</x:v>
      </x:c>
      <x:c r="N10" s="38" t="n">
        <x:f>IF(ISNUMBER('Quarter-End Anchors'!F10),'Quarter-End Anchors'!F10,2*Balance!E10-K10)</x:f>
        <x:v>79117</x:v>
      </x:c>
      <x:c r="O10" s="38" t="n">
        <x:f>N10+(Q10-N10)/3+(2*Balance!F10-N10-Q10)</x:f>
        <x:v>98524.33333333333</x:v>
      </x:c>
      <x:c r="P10" s="38" t="n">
        <x:f>N10+2*(Q10-N10)/3+(2*Balance!F10-N10-Q10)</x:f>
        <x:v>98284.66666666667</x:v>
      </x:c>
      <x:c r="Q10" s="38" t="n">
        <x:f>IF(ISNUMBER('Quarter-End Anchors'!G10),'Quarter-End Anchors'!G10,2*Balance!F10-N10)</x:f>
        <x:v>78398</x:v>
      </x:c>
      <x:c r="R10" s="38" t="n">
        <x:f>Q10+(T10-Q10)/3+(2*Balance!G10-Q10-T10)</x:f>
        <x:v>100036</x:v>
      </x:c>
      <x:c r="S10" s="38" t="n">
        <x:f>Q10+2*(T10-Q10)/3+(2*Balance!G10-Q10-T10)</x:f>
        <x:v>100320</x:v>
      </x:c>
      <x:c r="T10" s="38" t="n">
        <x:f>IF(ISNUMBER('Quarter-End Anchors'!H10),'Quarter-End Anchors'!H10,2*Balance!G10-Q10)</x:f>
        <x:v>79250</x:v>
      </x:c>
      <x:c r="U10" s="38" t="n">
        <x:f>T10+(W10-T10)/3+(2*Balance!H10-T10-W10)</x:f>
        <x:v>99204.66666666667</x:v>
      </x:c>
      <x:c r="V10" s="38" t="n">
        <x:f>T10+2*(W10-T10)/3+(2*Balance!H10-T10-W10)</x:f>
        <x:v>100621.33333333333</x:v>
      </x:c>
      <x:c r="W10" s="38" t="n">
        <x:f>IF(ISNUMBER('Quarter-End Anchors'!I10),'Quarter-End Anchors'!I10,2*Balance!H10-T10)</x:f>
        <x:v>83500</x:v>
      </x:c>
      <x:c r="X10" s="38" t="n">
        <x:f>W10+(Z10-W10)/3+(2*Balance!I10-W10-Z10)</x:f>
        <x:v>101344.66666666667</x:v>
      </x:c>
      <x:c r="Y10" s="38" t="n">
        <x:f>W10+2*(Z10-W10)/3+(2*Balance!I10-W10-Z10)</x:f>
        <x:v>101182.33333333333</x:v>
      </x:c>
      <x:c r="Z10" s="38" t="n">
        <x:f>IF(ISNUMBER('Quarter-End Anchors'!J10),'Quarter-End Anchors'!J10,2*Balance!I10-W10)</x:f>
        <x:v>83013</x:v>
      </x:c>
      <x:c r="AA10" s="38" t="n">
        <x:f>Z10+(AC10-Z10)/3+(2*Balance!J10-Z10-AC10)</x:f>
        <x:v>101405.66666666667</x:v>
      </x:c>
      <x:c r="AB10" s="38" t="n">
        <x:f>Z10+2*(AC10-Z10)/3+(2*Balance!J10-Z10-AC10)</x:f>
        <x:v>101855.33333333333</x:v>
      </x:c>
      <x:c r="AC10" s="38" t="n">
        <x:f>IF(ISNUMBER('Quarter-End Anchors'!K10),'Quarter-End Anchors'!K10,2*Balance!J10-Z10)</x:f>
        <x:v>84362</x:v>
      </x:c>
      <x:c r="AD10" s="38" t="n">
        <x:f>AC10+(AF10-AC10)/3+(2*Balance!K10-AC10-AF10)</x:f>
        <x:v>99796.66666666667</x:v>
      </x:c>
      <x:c r="AE10" s="38" t="n">
        <x:f>AC10+2*(AF10-AC10)/3+(2*Balance!K10-AC10-AF10)</x:f>
        <x:v>100741.33333333333</x:v>
      </x:c>
      <x:c r="AF10" s="38" t="n">
        <x:f>IF(ISNUMBER('Quarter-End Anchors'!L10),'Quarter-End Anchors'!L10,2*Balance!K10-AC10)</x:f>
        <x:v>87196</x:v>
      </x:c>
      <x:c r="AG10" s="38" t="n">
        <x:f>AF10+(AI10-AF10)/3+(2*Balance!L10-AF10-AI10)</x:f>
        <x:v>103484.66666666667</x:v>
      </x:c>
      <x:c r="AH10" s="38" t="n">
        <x:f>AF10+2*(AI10-AF10)/3+(2*Balance!L10-AF10-AI10)</x:f>
        <x:v>104330.33333333333</x:v>
      </x:c>
      <x:c r="AI10" s="38" t="n">
        <x:f>IF(ISNUMBER('Quarter-End Anchors'!M10),'Quarter-End Anchors'!M10,2*Balance!L10-AF10)</x:f>
        <x:v>89733</x:v>
      </x:c>
      <x:c r="AJ10" s="38" t="n">
        <x:f>AI10+(AL10-AI10)/3+(2*Balance!M10-AI10-AL10)</x:f>
        <x:v>104048.33333333333</x:v>
      </x:c>
      <x:c r="AK10" s="38" t="n">
        <x:f>AI10+2*(AL10-AI10)/3+(2*Balance!M10-AI10-AL10)</x:f>
        <x:v>104487.66666666667</x:v>
      </x:c>
      <x:c r="AL10" s="38" t="n">
        <x:f>IF(ISNUMBER('Quarter-End Anchors'!N10),'Quarter-End Anchors'!N10,2*Balance!M10-AI10)</x:f>
        <x:v>91051</x:v>
      </x:c>
      <x:c r="AM10" s="38" t="n">
        <x:f>AL10+(AO10-AL10)/3+(2*Balance!N10-AL10-AO10)</x:f>
        <x:v>103713</x:v>
      </x:c>
      <x:c r="AN10" s="38" t="n">
        <x:f>AL10+2*(AO10-AL10)/3+(2*Balance!N10-AL10-AO10)</x:f>
        <x:v>104134</x:v>
      </x:c>
      <x:c r="AO10" s="38" t="n">
        <x:f>IF(ISNUMBER('Quarter-End Anchors'!O10),'Quarter-End Anchors'!O10,2*Balance!N10-AL10)</x:f>
        <x:v>92314</x:v>
      </x:c>
      <x:c r="AP10" s="38" t="n">
        <x:f>AO10+(AR10-AO10)/3+(2*Balance!O10-AO10-AR10)</x:f>
        <x:v>106054.66666666667</x:v>
      </x:c>
      <x:c r="AQ10" s="38" t="n">
        <x:f>AO10+2*(AR10-AO10)/3+(2*Balance!O10-AO10-AR10)</x:f>
        <x:v>106209.33333333333</x:v>
      </x:c>
      <x:c r="AR10" s="38" t="n">
        <x:f>IF(ISNUMBER('Quarter-End Anchors'!P10),'Quarter-End Anchors'!P10,2*Balance!O10-AO10)</x:f>
        <x:v>92778</x:v>
      </x:c>
    </x:row>
    <x:row r="11">
      <x:c r="A11" s="20" t="str">
        <x:v>  Cash equivalents and other</x:v>
      </x:c>
      <x:c r="B11" s="38" t="n">
        <x:f>IF(ISNUMBER('Quarter-End Anchors'!B11),'Quarter-End Anchors'!B11,Balance!B11)</x:f>
        <x:v>31256</x:v>
      </x:c>
      <x:c r="C11" s="38" t="n">
        <x:f>B11+(E11-B11)/3+(2*Balance!B11-B11-E11)</x:f>
        <x:v>32514</x:v>
      </x:c>
      <x:c r="D11" s="38" t="n">
        <x:f>B11+2*(E11-B11)/3+(2*Balance!B11-B11-E11)</x:f>
        <x:v>37753</x:v>
      </x:c>
      <x:c r="E11" s="38" t="n">
        <x:f>IF(ISNUMBER('Quarter-End Anchors'!C11),'Quarter-End Anchors'!C11,2*Balance!B11-B11)</x:f>
        <x:v>46973</x:v>
      </x:c>
      <x:c r="F11" s="38" t="n">
        <x:f>E11+(H11-E11)/3+(2*Balance!C11-E11-H11)</x:f>
        <x:v>33930.333333333336</x:v>
      </x:c>
      <x:c r="G11" s="38" t="n">
        <x:f>E11+2*(H11-E11)/3+(2*Balance!C11-E11-H11)</x:f>
        <x:v>32288.666666666664</x:v>
      </x:c>
      <x:c r="H11" s="38" t="n">
        <x:f>IF(ISNUMBER('Quarter-End Anchors'!D11),'Quarter-End Anchors'!D11,2*Balance!C11-E11)</x:f>
        <x:v>42048</x:v>
      </x:c>
      <x:c r="I11" s="38" t="n">
        <x:f>H11+(K11-H11)/3+(2*Balance!D11-H11-K11)</x:f>
        <x:v>40233.333333333336</x:v>
      </x:c>
      <x:c r="J11" s="38" t="n">
        <x:f>H11+2*(K11-H11)/3+(2*Balance!D11-H11-K11)</x:f>
        <x:v>41318.666666666664</x:v>
      </x:c>
      <x:c r="K11" s="38" t="n">
        <x:f>IF(ISNUMBER('Quarter-End Anchors'!E11),'Quarter-End Anchors'!E11,2*Balance!D11-H11)</x:f>
        <x:v>45304</x:v>
      </x:c>
      <x:c r="L11" s="38" t="n">
        <x:f>K11+(N11-K11)/3+(2*Balance!E11-K11-N11)</x:f>
        <x:v>38978.666666666664</x:v>
      </x:c>
      <x:c r="M11" s="38" t="n">
        <x:f>K11+2*(N11-K11)/3+(2*Balance!E11-K11-N11)</x:f>
        <x:v>38462.333333333336</x:v>
      </x:c>
      <x:c r="N11" s="38" t="n">
        <x:f>IF(ISNUMBER('Quarter-End Anchors'!F11),'Quarter-End Anchors'!F11,2*Balance!E11-K11)</x:f>
        <x:v>43755</x:v>
      </x:c>
      <x:c r="O11" s="38" t="n">
        <x:f>N11+(Q11-N11)/3+(2*Balance!F11-N11-Q11)</x:f>
        <x:v>38398.333333333336</x:v>
      </x:c>
      <x:c r="P11" s="38" t="n">
        <x:f>N11+2*(Q11-N11)/3+(2*Balance!F11-N11-Q11)</x:f>
        <x:v>40980.666666666664</x:v>
      </x:c>
      <x:c r="Q11" s="38" t="n">
        <x:f>IF(ISNUMBER('Quarter-End Anchors'!G11),'Quarter-End Anchors'!G11,2*Balance!F11-N11)</x:f>
        <x:v>51502</x:v>
      </x:c>
      <x:c r="R11" s="38" t="n">
        <x:f>Q11+(T11-Q11)/3+(2*Balance!G11-Q11-T11)</x:f>
        <x:v>42114.666666666664</x:v>
      </x:c>
      <x:c r="S11" s="38" t="n">
        <x:f>Q11+2*(T11-Q11)/3+(2*Balance!G11-Q11-T11)</x:f>
        <x:v>40890.333333333336</x:v>
      </x:c>
      <x:c r="T11" s="38" t="n">
        <x:f>IF(ISNUMBER('Quarter-End Anchors'!H11),'Quarter-End Anchors'!H11,2*Balance!G11-Q11)</x:f>
        <x:v>47829</x:v>
      </x:c>
      <x:c r="U11" s="38" t="n">
        <x:f>T11+(W11-T11)/3+(2*Balance!H11-T11-W11)</x:f>
        <x:v>41161</x:v>
      </x:c>
      <x:c r="V11" s="38" t="n">
        <x:f>T11+2*(W11-T11)/3+(2*Balance!H11-T11-W11)</x:f>
        <x:v>41791</x:v>
      </x:c>
      <x:c r="W11" s="38" t="n">
        <x:f>IF(ISNUMBER('Quarter-End Anchors'!I11),'Quarter-End Anchors'!I11,2*Balance!H11-T11)</x:f>
        <x:v>49719</x:v>
      </x:c>
      <x:c r="X11" s="38" t="n">
        <x:f>W11+(Z11-W11)/3+(2*Balance!I11-W11-Z11)</x:f>
        <x:v>46647</x:v>
      </x:c>
      <x:c r="Y11" s="38" t="n">
        <x:f>W11+2*(Z11-W11)/3+(2*Balance!I11-W11-Z11)</x:f>
        <x:v>44631</x:v>
      </x:c>
      <x:c r="Z11" s="38" t="n">
        <x:f>IF(ISNUMBER('Quarter-End Anchors'!J11),'Quarter-End Anchors'!J11,2*Balance!I11-W11)</x:f>
        <x:v>43671</x:v>
      </x:c>
      <x:c r="AA11" s="38" t="n">
        <x:f>Z11+(AC11-Z11)/3+(2*Balance!J11-Z11-AC11)</x:f>
        <x:v>47479.666666666664</x:v>
      </x:c>
      <x:c r="AB11" s="38" t="n">
        <x:f>Z11+2*(AC11-Z11)/3+(2*Balance!J11-Z11-AC11)</x:f>
        <x:v>49244.333333333336</x:v>
      </x:c>
      <x:c r="AC11" s="38" t="n">
        <x:f>IF(ISNUMBER('Quarter-End Anchors'!K11),'Quarter-End Anchors'!K11,2*Balance!J11-Z11)</x:f>
        <x:v>48965</x:v>
      </x:c>
      <x:c r="AD11" s="38" t="n">
        <x:f>AC11+(AF11-AC11)/3+(2*Balance!K11-AC11-AF11)</x:f>
        <x:v>49362.333333333336</x:v>
      </x:c>
      <x:c r="AE11" s="38" t="n">
        <x:f>AC11+2*(AF11-AC11)/3+(2*Balance!K11-AC11-AF11)</x:f>
        <x:v>53566.666666666664</x:v>
      </x:c>
      <x:c r="AF11" s="38" t="n">
        <x:f>IF(ISNUMBER('Quarter-End Anchors'!L11),'Quarter-End Anchors'!L11,2*Balance!K11-AC11)</x:f>
        <x:v>61578</x:v>
      </x:c>
      <x:c r="AG11" s="38" t="n">
        <x:f>AF11+(AI11-AF11)/3+(2*Balance!L11-AF11-AI11)</x:f>
        <x:v>53830</x:v>
      </x:c>
      <x:c r="AH11" s="38" t="n">
        <x:f>AF11+2*(AI11-AF11)/3+(2*Balance!L11-AF11-AI11)</x:f>
        <x:v>52813</x:v>
      </x:c>
      <x:c r="AI11" s="38" t="n">
        <x:f>IF(ISNUMBER('Quarter-End Anchors'!M11),'Quarter-End Anchors'!M11,2*Balance!L11-AF11)</x:f>
        <x:v>58527</x:v>
      </x:c>
      <x:c r="AJ11" s="38" t="n">
        <x:f>AI11+(AL11-AI11)/3+(2*Balance!M11-AI11-AL11)</x:f>
        <x:v>61349.666666666664</x:v>
      </x:c>
      <x:c r="AK11" s="38" t="n">
        <x:f>AI11+2*(AL11-AI11)/3+(2*Balance!M11-AI11-AL11)</x:f>
        <x:v>62538.333333333336</x:v>
      </x:c>
      <x:c r="AL11" s="38" t="n">
        <x:f>IF(ISNUMBER('Quarter-End Anchors'!N11),'Quarter-End Anchors'!N11,2*Balance!M11-AI11)</x:f>
        <x:v>62093</x:v>
      </x:c>
      <x:c r="AM11" s="38" t="n">
        <x:f>AL11+(AO11-AL11)/3+(2*Balance!N11-AL11-AO11)</x:f>
        <x:v>71725</x:v>
      </x:c>
      <x:c r="AN11" s="38" t="n">
        <x:f>AL11+2*(AO11-AL11)/3+(2*Balance!N11-AL11-AO11)</x:f>
        <x:v>77446</x:v>
      </x:c>
      <x:c r="AO11" s="38" t="n">
        <x:f>IF(ISNUMBER('Quarter-End Anchors'!O11),'Quarter-End Anchors'!O11,2*Balance!N11-AL11)</x:f>
        <x:v>79256</x:v>
      </x:c>
      <x:c r="AP11" s="38" t="n">
        <x:f>AO11+(AR11-AO11)/3+(2*Balance!O11-AO11-AR11)</x:f>
        <x:v>71091.33333333333</x:v>
      </x:c>
      <x:c r="AQ11" s="38" t="n">
        <x:f>AO11+2*(AR11-AO11)/3+(2*Balance!O11-AO11-AR11)</x:f>
        <x:v>63299.666666666664</x:v>
      </x:c>
      <x:c r="AR11" s="38" t="n">
        <x:f>IF(ISNUMBER('Quarter-End Anchors'!P11),'Quarter-End Anchors'!P11,2*Balance!O11-AO11)</x:f>
        <x:v>55881</x:v>
      </x:c>
    </x:row>
    <x:row r="12">
      <x:c r="A12" s="26" t="str">
        <x:v>  Total interest-earning assets</x:v>
      </x:c>
      <x:c r="B12" s="35" t="n">
        <x:f>SUM(B9:B11)</x:f>
        <x:v>429331</x:v>
      </x:c>
      <x:c r="C12" s="35" t="n">
        <x:f>SUM(C9:C11)</x:f>
        <x:v>430589</x:v>
      </x:c>
      <x:c r="D12" s="35" t="n">
        <x:f>SUM(D9:D11)</x:f>
        <x:v>435828</x:v>
      </x:c>
      <x:c r="E12" s="35" t="n">
        <x:f>SUM(E9:E11)</x:f>
        <x:v>445048</x:v>
      </x:c>
      <x:c r="F12" s="35" t="n">
        <x:f>SUM(F9:F11)</x:f>
        <x:v>433508</x:v>
      </x:c>
      <x:c r="G12" s="35" t="n">
        <x:f>SUM(G9:G11)</x:f>
        <x:v>433369</x:v>
      </x:c>
      <x:c r="H12" s="35" t="n">
        <x:f>SUM(H9:H11)</x:f>
        <x:v>444631</x:v>
      </x:c>
      <x:c r="I12" s="35" t="n">
        <x:f>SUM(I9:I11)</x:f>
        <x:v>441965</x:v>
      </x:c>
      <x:c r="J12" s="35" t="n">
        <x:f>SUM(J9:J11)</x:f>
        <x:v>442199</x:v>
      </x:c>
      <x:c r="K12" s="35" t="n">
        <x:f>SUM(K9:K11)</x:f>
        <x:v>445333</x:v>
      </x:c>
      <x:c r="L12" s="35" t="n">
        <x:f>SUM(L9:L11)</x:f>
        <x:v>449971</x:v>
      </x:c>
      <x:c r="M12" s="35" t="n">
        <x:f>SUM(M9:M11)</x:f>
        <x:v>449308</x:v>
      </x:c>
      <x:c r="N12" s="35" t="n">
        <x:f>SUM(N9:N11)</x:f>
        <x:v>443344</x:v>
      </x:c>
      <x:c r="O12" s="35" t="n">
        <x:f>SUM(O9:O11)</x:f>
        <x:v>451122</x:v>
      </x:c>
      <x:c r="P12" s="35" t="n">
        <x:f>SUM(P9:P11)</x:f>
        <x:v>451692</x:v>
      </x:c>
      <x:c r="Q12" s="35" t="n">
        <x:f>SUM(Q9:Q11)</x:f>
        <x:v>445054</x:v>
      </x:c>
      <x:c r="R12" s="35" t="n">
        <x:f>SUM(R9:R11)</x:f>
        <x:v>456621.3333333334</x:v>
      </x:c>
      <x:c r="S12" s="35" t="n">
        <x:f>SUM(S9:S11)</x:f>
        <x:v>456691.6666666666</x:v>
      </x:c>
      <x:c r="T12" s="35" t="n">
        <x:f>SUM(T9:T11)</x:f>
        <x:v>445265</x:v>
      </x:c>
      <x:c r="U12" s="35" t="n">
        <x:f>SUM(U9:U11)</x:f>
        <x:v>458238.3333333333</x:v>
      </x:c>
      <x:c r="V12" s="35" t="n">
        <x:f>SUM(V9:V11)</x:f>
        <x:v>460970.6666666667</x:v>
      </x:c>
      <x:c r="W12" s="35" t="n">
        <x:f>SUM(W9:W11)</x:f>
        <x:v>453462</x:v>
      </x:c>
      <x:c r="X12" s="35" t="n">
        <x:f>SUM(X9:X11)</x:f>
        <x:v>467253.3333333333</x:v>
      </x:c>
      <x:c r="Y12" s="35" t="n">
        <x:f>SUM(Y9:Y11)</x:f>
        <x:v>467585.6666666667</x:v>
      </x:c>
      <x:c r="Z12" s="35" t="n">
        <x:f>SUM(Z9:Z11)</x:f>
        <x:v>454459</x:v>
      </x:c>
      <x:c r="AA12" s="35" t="n">
        <x:f>SUM(AA9:AA11)</x:f>
        <x:v>469439</x:v>
      </x:c>
      <x:c r="AB12" s="35" t="n">
        <x:f>SUM(AB9:AB11)</x:f>
        <x:v>470260.99999999994</x:v>
      </x:c>
      <x:c r="AC12" s="35" t="n">
        <x:f>SUM(AC9:AC11)</x:f>
        <x:v>456925</x:v>
      </x:c>
      <x:c r="AD12" s="35" t="n">
        <x:f>SUM(AD9:AD11)</x:f>
        <x:v>505502.3333333334</x:v>
      </x:c>
      <x:c r="AE12" s="35" t="n">
        <x:f>SUM(AE9:AE11)</x:f>
        <x:v>549217.6666666666</x:v>
      </x:c>
      <x:c r="AF12" s="35" t="n">
        <x:f>SUM(AF9:AF11)</x:f>
        <x:v>588071</x:v>
      </x:c>
      <x:c r="AG12" s="35" t="n">
        <x:f>SUM(AG9:AG11)</x:f>
        <x:v>596191</x:v>
      </x:c>
      <x:c r="AH12" s="35" t="n">
        <x:f>SUM(AH9:AH11)</x:f>
        <x:v>597307</x:v>
      </x:c>
      <x:c r="AI12" s="35" t="n">
        <x:f>SUM(AI9:AI11)</x:f>
        <x:v>591419</x:v>
      </x:c>
      <x:c r="AJ12" s="35" t="n">
        <x:f>SUM(AJ9:AJ11)</x:f>
        <x:v>607063.6666666666</x:v>
      </x:c>
      <x:c r="AK12" s="35" t="n">
        <x:f>SUM(AK9:AK11)</x:f>
        <x:v>612179.3333333334</x:v>
      </x:c>
      <x:c r="AL12" s="35" t="n">
        <x:f>SUM(AL9:AL11)</x:f>
        <x:v>606766</x:v>
      </x:c>
      <x:c r="AM12" s="35" t="n">
        <x:f>SUM(AM9:AM11)</x:f>
        <x:v>619208</x:v>
      </x:c>
      <x:c r="AN12" s="35" t="n">
        <x:f>SUM(AN9:AN11)</x:f>
        <x:v>623394</x:v>
      </x:c>
      <x:c r="AO12" s="35" t="n">
        <x:f>SUM(AO9:AO11)</x:f>
        <x:v>619324</x:v>
      </x:c>
      <x:c r="AP12" s="35" t="n">
        <x:f>SUM(AP9:AP11)</x:f>
        <x:v>624840</x:v>
      </x:c>
      <x:c r="AQ12" s="35" t="n">
        <x:f>SUM(AQ9:AQ11)</x:f>
        <x:v>620341</x:v>
      </x:c>
      <x:c r="AR12" s="35" t="n">
        <x:f>SUM(AR9:AR11)</x:f>
        <x:v>605827</x:v>
      </x:c>
    </x:row>
    <x:row r="13">
      <x:c r="A13" s="20"/>
      <x:c r="B13" s="38"/>
      <x:c r="C13" s="38"/>
      <x:c r="D13" s="38"/>
      <x:c r="E13" s="38"/>
      <x:c r="F13" s="38"/>
      <x:c r="G13" s="38"/>
      <x:c r="H13" s="38"/>
      <x:c r="I13" s="38"/>
      <x:c r="J13" s="38"/>
      <x:c r="K13" s="38"/>
      <x:c r="L13" s="38"/>
      <x:c r="M13" s="38"/>
      <x:c r="N13" s="38"/>
      <x:c r="O13" s="38"/>
      <x:c r="P13" s="38"/>
      <x:c r="Q13" s="38"/>
      <x:c r="R13" s="38"/>
      <x:c r="S13" s="38"/>
      <x:c r="T13" s="38"/>
      <x:c r="U13" s="38"/>
      <x:c r="V13" s="38"/>
      <x:c r="W13" s="38"/>
      <x:c r="X13" s="38"/>
      <x:c r="Y13" s="38"/>
      <x:c r="Z13" s="38"/>
      <x:c r="AA13" s="38"/>
      <x:c r="AB13" s="38"/>
      <x:c r="AC13" s="38"/>
      <x:c r="AD13" s="38"/>
      <x:c r="AE13" s="38"/>
      <x:c r="AF13" s="38"/>
      <x:c r="AG13" s="38"/>
      <x:c r="AH13" s="38"/>
      <x:c r="AI13" s="38"/>
      <x:c r="AJ13" s="38"/>
      <x:c r="AK13" s="38"/>
      <x:c r="AL13" s="38"/>
      <x:c r="AM13" s="38"/>
      <x:c r="AN13" s="38"/>
      <x:c r="AO13" s="38"/>
      <x:c r="AP13" s="38"/>
      <x:c r="AQ13" s="38"/>
      <x:c r="AR13" s="38"/>
    </x:row>
    <x:row r="14">
      <x:c r="A14" s="32" t="str">
        <x:v>INTEREST-BEARING LIABILITIES</x:v>
      </x:c>
      <x:c r="B14" s="36"/>
      <x:c r="C14" s="36"/>
      <x:c r="D14" s="36"/>
      <x:c r="E14" s="36"/>
      <x:c r="F14" s="36"/>
      <x:c r="G14" s="36"/>
      <x:c r="H14" s="36"/>
      <x:c r="I14" s="36"/>
      <x:c r="J14" s="36"/>
      <x:c r="K14" s="36"/>
      <x:c r="L14" s="36"/>
      <x:c r="M14" s="36"/>
      <x:c r="N14" s="36"/>
      <x:c r="O14" s="36"/>
      <x:c r="P14" s="36"/>
      <x:c r="Q14" s="36"/>
      <x:c r="R14" s="36"/>
      <x:c r="S14" s="36"/>
      <x:c r="T14" s="36"/>
      <x:c r="U14" s="36"/>
      <x:c r="V14" s="36"/>
      <x:c r="W14" s="36"/>
      <x:c r="X14" s="36"/>
      <x:c r="Y14" s="36"/>
      <x:c r="Z14" s="36"/>
      <x:c r="AA14" s="36"/>
      <x:c r="AB14" s="36"/>
      <x:c r="AC14" s="36"/>
      <x:c r="AD14" s="36"/>
      <x:c r="AE14" s="36"/>
      <x:c r="AF14" s="36"/>
      <x:c r="AG14" s="36"/>
      <x:c r="AH14" s="36"/>
      <x:c r="AI14" s="36"/>
      <x:c r="AJ14" s="36"/>
      <x:c r="AK14" s="36"/>
      <x:c r="AL14" s="36"/>
      <x:c r="AM14" s="36"/>
      <x:c r="AN14" s="36"/>
      <x:c r="AO14" s="36"/>
      <x:c r="AP14" s="36"/>
      <x:c r="AQ14" s="36"/>
      <x:c r="AR14" s="36"/>
    </x:row>
    <x:row r="15">
      <x:c r="A15" s="20" t="str">
        <x:v>  Interest-bearing deposits</x:v>
      </x:c>
      <x:c r="B15" s="38" t="n">
        <x:f>IF(ISNUMBER('Quarter-End Anchors'!B15),'Quarter-End Anchors'!B15,Balance!B15)</x:f>
        <x:v>308788</x:v>
      </x:c>
      <x:c r="C15" s="38" t="n">
        <x:f>B15+(E15-B15)/3+(2*Balance!B15-B15-E15)</x:f>
        <x:v>308788</x:v>
      </x:c>
      <x:c r="D15" s="38" t="n">
        <x:f>B15+2*(E15-B15)/3+(2*Balance!B15-B15-E15)</x:f>
        <x:v>308788</x:v>
      </x:c>
      <x:c r="E15" s="38" t="n">
        <x:f>IF(ISNUMBER('Quarter-End Anchors'!C15),'Quarter-End Anchors'!C15,2*Balance!B15-B15)</x:f>
        <x:v>308788</x:v>
      </x:c>
      <x:c r="F15" s="38" t="n">
        <x:f>E15+(H15-E15)/3+(2*Balance!C15-E15-H15)</x:f>
        <x:v>311734</x:v>
      </x:c>
      <x:c r="G15" s="38" t="n">
        <x:f>E15+2*(H15-E15)/3+(2*Balance!C15-E15-H15)</x:f>
        <x:v>314680</x:v>
      </x:c>
      <x:c r="H15" s="38" t="n">
        <x:f>IF(ISNUMBER('Quarter-End Anchors'!D15),'Quarter-End Anchors'!D15,2*Balance!C15-E15)</x:f>
        <x:v>317626</x:v>
      </x:c>
      <x:c r="I15" s="38" t="n">
        <x:f>H15+(K15-H15)/3+(2*Balance!D15-H15-K15)</x:f>
        <x:v>316563.3333333333</x:v>
      </x:c>
      <x:c r="J15" s="38" t="n">
        <x:f>H15+2*(K15-H15)/3+(2*Balance!D15-H15-K15)</x:f>
        <x:v>315500.6666666667</x:v>
      </x:c>
      <x:c r="K15" s="38" t="n">
        <x:f>IF(ISNUMBER('Quarter-End Anchors'!E15),'Quarter-End Anchors'!E15,2*Balance!D15-H15)</x:f>
        <x:v>314438</x:v>
      </x:c>
      <x:c r="L15" s="38" t="n">
        <x:f>K15+(N15-K15)/3+(2*Balance!E15-K15-N15)</x:f>
        <x:v>315278.6666666667</x:v>
      </x:c>
      <x:c r="M15" s="38" t="n">
        <x:f>K15+2*(N15-K15)/3+(2*Balance!E15-K15-N15)</x:f>
        <x:v>317262.3333333333</x:v>
      </x:c>
      <x:c r="N15" s="38" t="n">
        <x:f>IF(ISNUMBER('Quarter-End Anchors'!F15),'Quarter-End Anchors'!F15,2*Balance!E15-K15)</x:f>
        <x:v>320389</x:v>
      </x:c>
      <x:c r="O15" s="38" t="n">
        <x:f>N15+(Q15-N15)/3+(2*Balance!F15-N15-Q15)</x:f>
        <x:v>314535.6666666667</x:v>
      </x:c>
      <x:c r="P15" s="38" t="n">
        <x:f>N15+2*(Q15-N15)/3+(2*Balance!F15-N15-Q15)</x:f>
        <x:v>315523.3333333333</x:v>
      </x:c>
      <x:c r="Q15" s="38" t="n">
        <x:f>IF(ISNUMBER('Quarter-End Anchors'!G15),'Quarter-End Anchors'!G15,2*Balance!F15-N15)</x:f>
        <x:v>323352</x:v>
      </x:c>
      <x:c r="R15" s="38" t="n">
        <x:f>Q15+(T15-Q15)/3+(2*Balance!G15-Q15-T15)</x:f>
        <x:v>321086.6666666667</x:v>
      </x:c>
      <x:c r="S15" s="38" t="n">
        <x:f>Q15+2*(T15-Q15)/3+(2*Balance!G15-Q15-T15)</x:f>
        <x:v>321448.3333333333</x:v>
      </x:c>
      <x:c r="T15" s="38" t="n">
        <x:f>IF(ISNUMBER('Quarter-End Anchors'!H15),'Quarter-End Anchors'!H15,2*Balance!G15-Q15)</x:f>
        <x:v>324437</x:v>
      </x:c>
      <x:c r="U15" s="38" t="n">
        <x:f>T15+(W15-T15)/3+(2*Balance!H15-T15-W15)</x:f>
        <x:v>322703.6666666667</x:v>
      </x:c>
      <x:c r="V15" s="38" t="n">
        <x:f>T15+2*(W15-T15)/3+(2*Balance!H15-T15-W15)</x:f>
        <x:v>323642.3333333333</x:v>
      </x:c>
      <x:c r="W15" s="38" t="n">
        <x:f>IF(ISNUMBER('Quarter-End Anchors'!I15),'Quarter-End Anchors'!I15,2*Balance!H15-T15)</x:f>
        <x:v>327253</x:v>
      </x:c>
      <x:c r="X15" s="38" t="n">
        <x:f>W15+(Z15-W15)/3+(2*Balance!I15-W15-Z15)</x:f>
        <x:v>329765.6666666667</x:v>
      </x:c>
      <x:c r="Y15" s="38" t="n">
        <x:f>W15+2*(Z15-W15)/3+(2*Balance!I15-W15-Z15)</x:f>
        <x:v>332876.3333333333</x:v>
      </x:c>
      <x:c r="Z15" s="38" t="n">
        <x:f>IF(ISNUMBER('Quarter-End Anchors'!J15),'Quarter-End Anchors'!J15,2*Balance!I15-W15)</x:f>
        <x:v>336585</x:v>
      </x:c>
      <x:c r="AA15" s="38" t="n">
        <x:f>Z15+(AC15-Z15)/3+(2*Balance!J15-Z15-AC15)</x:f>
        <x:v>336175.6666666667</x:v>
      </x:c>
      <x:c r="AB15" s="38" t="n">
        <x:f>Z15+2*(AC15-Z15)/3+(2*Balance!J15-Z15-AC15)</x:f>
        <x:v>337635.3333333333</x:v>
      </x:c>
      <x:c r="AC15" s="38" t="n">
        <x:f>IF(ISNUMBER('Quarter-End Anchors'!K15),'Quarter-End Anchors'!K15,2*Balance!J15-Z15)</x:f>
        <x:v>340964</x:v>
      </x:c>
      <x:c r="AD15" s="38" t="n">
        <x:f>AC15+(AF15-AC15)/3+(2*Balance!K15-AC15-AF15)</x:f>
        <x:v>367136</x:v>
      </x:c>
      <x:c r="AE15" s="38" t="n">
        <x:f>AC15+2*(AF15-AC15)/3+(2*Balance!K15-AC15-AF15)</x:f>
        <x:v>400225</x:v>
      </x:c>
      <x:c r="AF15" s="38" t="n">
        <x:f>IF(ISNUMBER('Quarter-End Anchors'!L15),'Quarter-End Anchors'!L15,2*Balance!K15-AC15)</x:f>
        <x:v>440231</x:v>
      </x:c>
      <x:c r="AG15" s="38" t="n">
        <x:f>AF15+(AI15-AF15)/3+(2*Balance!L15-AF15-AI15)</x:f>
        <x:v>438219.6666666667</x:v>
      </x:c>
      <x:c r="AH15" s="38" t="n">
        <x:f>AF15+2*(AI15-AF15)/3+(2*Balance!L15-AF15-AI15)</x:f>
        <x:v>438521.3333333333</x:v>
      </x:c>
      <x:c r="AI15" s="38" t="n">
        <x:f>IF(ISNUMBER('Quarter-End Anchors'!M15),'Quarter-End Anchors'!M15,2*Balance!L15-AF15)</x:f>
        <x:v>441136</x:v>
      </x:c>
      <x:c r="AJ15" s="38" t="n">
        <x:f>AI15+(AL15-AI15)/3+(2*Balance!M15-AI15-AL15)</x:f>
        <x:v>440456.6666666667</x:v>
      </x:c>
      <x:c r="AK15" s="38" t="n">
        <x:f>AI15+2*(AL15-AI15)/3+(2*Balance!M15-AI15-AL15)</x:f>
        <x:v>442873.3333333333</x:v>
      </x:c>
      <x:c r="AL15" s="38" t="n">
        <x:f>IF(ISNUMBER('Quarter-End Anchors'!N15),'Quarter-End Anchors'!N15,2*Balance!M15-AI15)</x:f>
        <x:v>448386</x:v>
      </x:c>
      <x:c r="AM15" s="38" t="n">
        <x:f>AL15+(AO15-AL15)/3+(2*Balance!N15-AL15-AO15)</x:f>
        <x:v>447040.6666666667</x:v>
      </x:c>
      <x:c r="AN15" s="38" t="n">
        <x:f>AL15+2*(AO15-AL15)/3+(2*Balance!N15-AL15-AO15)</x:f>
        <x:v>451284.3333333333</x:v>
      </x:c>
      <x:c r="AO15" s="38" t="n">
        <x:f>IF(ISNUMBER('Quarter-End Anchors'!O15),'Quarter-End Anchors'!O15,2*Balance!N15-AL15)</x:f>
        <x:v>461117</x:v>
      </x:c>
      <x:c r="AP15" s="38" t="n">
        <x:f>AO15+(AR15-AO15)/3+(2*Balance!O15-AO15-AR15)</x:f>
        <x:v>458245</x:v>
      </x:c>
      <x:c r="AQ15" s="38" t="n">
        <x:f>AO15+2*(AR15-AO15)/3+(2*Balance!O15-AO15-AR15)</x:f>
        <x:v>456694</x:v>
      </x:c>
      <x:c r="AR15" s="38" t="n">
        <x:f>IF(ISNUMBER('Quarter-End Anchors'!P15),'Quarter-End Anchors'!P15,2*Balance!O15-AO15)</x:f>
        <x:v>456464</x:v>
      </x:c>
    </x:row>
    <x:row r="16">
      <x:c r="A16" s="20" t="str">
        <x:v>  Securitized debt obligations</x:v>
      </x:c>
      <x:c r="B16" s="38" t="n">
        <x:f>IF(ISNUMBER('Quarter-End Anchors'!B16),'Quarter-End Anchors'!B16,Balance!B16)</x:f>
        <x:v>17251</x:v>
      </x:c>
      <x:c r="C16" s="38" t="n">
        <x:f>B16+(E16-B16)/3+(2*Balance!B16-B16-E16)</x:f>
        <x:v>17251</x:v>
      </x:c>
      <x:c r="D16" s="38" t="n">
        <x:f>B16+2*(E16-B16)/3+(2*Balance!B16-B16-E16)</x:f>
        <x:v>17251</x:v>
      </x:c>
      <x:c r="E16" s="38" t="n">
        <x:f>IF(ISNUMBER('Quarter-End Anchors'!C16),'Quarter-End Anchors'!C16,2*Balance!B16-B16)</x:f>
        <x:v>17251</x:v>
      </x:c>
      <x:c r="F16" s="38" t="n">
        <x:f>E16+(H16-E16)/3+(2*Balance!C16-E16-H16)</x:f>
        <x:v>17597.666666666668</x:v>
      </x:c>
      <x:c r="G16" s="38" t="n">
        <x:f>E16+2*(H16-E16)/3+(2*Balance!C16-E16-H16)</x:f>
        <x:v>17944.333333333332</x:v>
      </x:c>
      <x:c r="H16" s="38" t="n">
        <x:f>IF(ISNUMBER('Quarter-End Anchors'!D16),'Quarter-End Anchors'!D16,2*Balance!C16-E16)</x:f>
        <x:v>18291</x:v>
      </x:c>
      <x:c r="I16" s="38" t="n">
        <x:f>H16+(K16-H16)/3+(2*Balance!D16-H16-K16)</x:f>
        <x:v>17863</x:v>
      </x:c>
      <x:c r="J16" s="38" t="n">
        <x:f>H16+2*(K16-H16)/3+(2*Balance!D16-H16-K16)</x:f>
        <x:v>17435</x:v>
      </x:c>
      <x:c r="K16" s="38" t="n">
        <x:f>IF(ISNUMBER('Quarter-End Anchors'!E16),'Quarter-End Anchors'!E16,2*Balance!D16-H16)</x:f>
        <x:v>17007</x:v>
      </x:c>
      <x:c r="L16" s="38" t="n">
        <x:f>K16+(N16-K16)/3+(2*Balance!E16-K16-N16)</x:f>
        <x:v>18676.846504309124</x:v>
      </x:c>
      <x:c r="M16" s="38" t="n">
        <x:f>K16+2*(N16-K16)/3+(2*Balance!E16-K16-N16)</x:f>
        <x:v>18860.923252154564</x:v>
      </x:c>
      <x:c r="N16" s="38" t="n">
        <x:f>IF(ISNUMBER('Quarter-End Anchors'!F16),'Quarter-End Anchors'!F16,2*Balance!E16-K16)</x:f>
        <x:v>17559.230243536313</x:v>
      </x:c>
      <x:c r="O16" s="38" t="n">
        <x:f>N16+(Q16-N16)/3+(2*Balance!F16-N16-Q16)</x:f>
        <x:v>17988.604445166464</x:v>
      </x:c>
      <x:c r="P16" s="38" t="n">
        <x:f>N16+2*(Q16-N16)/3+(2*Balance!F16-N16-Q16)</x:f>
        <x:v>18050.687100815077</x:v>
      </x:c>
      <x:c r="Q16" s="38" t="n">
        <x:f>IF(ISNUMBER('Quarter-End Anchors'!G16),'Quarter-End Anchors'!G16,2*Balance!F16-N16)</x:f>
        <x:v>17745.478210482146</x:v>
      </x:c>
      <x:c r="R16" s="38" t="n">
        <x:f>Q16+(T16-Q16)/3+(2*Balance!G16-Q16-T16)</x:f>
        <x:v>17639.815446805354</x:v>
      </x:c>
      <x:c r="S16" s="38" t="n">
        <x:f>Q16+2*(T16-Q16)/3+(2*Balance!G16-Q16-T16)</x:f>
        <x:v>17399.168618161602</x:v>
      </x:c>
      <x:c r="T16" s="38" t="n">
        <x:f>IF(ISNUMBER('Quarter-End Anchors'!H16),'Quarter-End Anchors'!H16,2*Balance!G16-Q16)</x:f>
        <x:v>17023.537724550897</x:v>
      </x:c>
      <x:c r="U16" s="38" t="n">
        <x:f>T16+(W16-T16)/3+(2*Balance!H16-T16-W16)</x:f>
        <x:v>15228.460479417154</x:v>
      </x:c>
      <x:c r="V16" s="38" t="n">
        <x:f>T16+2*(W16-T16)/3+(2*Balance!H16-T16-W16)</x:f>
        <x:v>14935.461377433126</x:v>
      </x:c>
      <x:c r="W16" s="38" t="n">
        <x:f>IF(ISNUMBER('Quarter-End Anchors'!I16),'Quarter-End Anchors'!I16,2*Balance!H16-T16)</x:f>
        <x:v>16144.540418598823</x:v>
      </x:c>
      <x:c r="X16" s="38" t="n">
        <x:f>W16+(Z16-W16)/3+(2*Balance!I16-W16-Z16)</x:f>
        <x:v>14688.802947824786</x:v>
      </x:c>
      <x:c r="Y16" s="38" t="n">
        <x:f>W16+2*(Z16-W16)/3+(2*Balance!I16-W16-Z16)</x:f>
        <x:v>14192.13126461298</x:v>
      </x:c>
      <x:c r="Z16" s="38" t="n">
        <x:f>IF(ISNUMBER('Quarter-End Anchors'!J16),'Quarter-End Anchors'!J16,2*Balance!I16-W16)</x:f>
        <x:v>14654.52536896341</x:v>
      </x:c>
      <x:c r="AA16" s="38" t="n">
        <x:f>Z16+(AC16-Z16)/3+(2*Balance!J16-Z16-AC16)</x:f>
        <x:v>14017.746472339993</x:v>
      </x:c>
      <x:c r="AB16" s="38" t="n">
        <x:f>Z16+2*(AC16-Z16)/3+(2*Balance!J16-Z16-AC16)</x:f>
        <x:v>13412.61055168829</x:v>
      </x:c>
      <x:c r="AC16" s="38" t="n">
        <x:f>IF(ISNUMBER('Quarter-End Anchors'!K16),'Quarter-End Anchors'!K16,2*Balance!J16-Z16)</x:f>
        <x:v>12839.117607008306</x:v>
      </x:c>
      <x:c r="AD16" s="38" t="n">
        <x:f>AC16+(AF16-AC16)/3+(2*Balance!K16-AC16-AF16)</x:f>
        <x:v>11972.982838391328</x:v>
      </x:c>
      <x:c r="AE16" s="38" t="n">
        <x:f>AC16+2*(AF16-AC16)/3+(2*Balance!K16-AC16-AF16)</x:f>
        <x:v>12609.932615691512</x:v>
      </x:c>
      <x:c r="AF16" s="38" t="n">
        <x:f>IF(ISNUMBER('Quarter-End Anchors'!L16),'Quarter-End Anchors'!L16,2*Balance!K16-AC16)</x:f>
        <x:v>14749.966938908854</x:v>
      </x:c>
      <x:c r="AG16" s="38" t="n">
        <x:f>AF16+(AI16-AF16)/3+(2*Balance!L16-AF16-AI16)</x:f>
        <x:v>12015.408254275068</x:v>
      </x:c>
      <x:c r="AH16" s="38" t="n">
        <x:f>AF16+2*(AI16-AF16)/3+(2*Balance!L16-AF16-AI16)</x:f>
        <x:v>11551.720657683107</x:v>
      </x:c>
      <x:c r="AI16" s="38" t="n">
        <x:f>IF(ISNUMBER('Quarter-End Anchors'!M16),'Quarter-End Anchors'!M16,2*Balance!L16-AF16)</x:f>
        <x:v>13358.904149132972</x:v>
      </x:c>
      <x:c r="AJ16" s="38" t="n">
        <x:f>AI16+(AL16-AI16)/3+(2*Balance!M16-AI16-AL16)</x:f>
        <x:v>12314.613325468563</x:v>
      </x:c>
      <x:c r="AK16" s="38" t="n">
        <x:f>AI16+2*(AL16-AI16)/3+(2*Balance!M16-AI16-AL16)</x:f>
        <x:v>12145.854588167796</x:v>
      </x:c>
      <x:c r="AL16" s="38" t="n">
        <x:f>IF(ISNUMBER('Quarter-End Anchors'!N16),'Quarter-End Anchors'!N16,2*Balance!M16-AI16)</x:f>
        <x:v>12852.627937230669</x:v>
      </x:c>
      <x:c r="AM16" s="38" t="n">
        <x:f>AL16+(AO16-AL16)/3+(2*Balance!N16-AL16-AO16)</x:f>
        <x:v>12360.374289195437</x:v>
      </x:c>
      <x:c r="AN16" s="38" t="n">
        <x:f>AL16+2*(AO16-AL16)/3+(2*Balance!N16-AL16-AO16)</x:f>
        <x:v>12229.873175982384</x:v>
      </x:c>
      <x:c r="AO16" s="38" t="n">
        <x:f>IF(ISNUMBER('Quarter-End Anchors'!O16),'Quarter-End Anchors'!O16,2*Balance!N16-AL16)</x:f>
        <x:v>12461.12459759151</x:v>
      </x:c>
      <x:c r="AP16" s="38" t="n">
        <x:f>AO16+(AR16-AO16)/3+(2*Balance!O16-AO16-AR16)</x:f>
        <x:v>9861.88663947643</x:v>
      </x:c>
      <x:c r="AQ16" s="38" t="n">
        <x:f>AO16+2*(AR16-AO16)/3+(2*Balance!O16-AO16-AR16)</x:f>
        <x:v>8890.381020942461</x:v>
      </x:c>
      <x:c r="AR16" s="38" t="n">
        <x:f>IF(ISNUMBER('Quarter-End Anchors'!P16),'Quarter-End Anchors'!P16,2*Balance!O16-AO16)</x:f>
        <x:v>9546.6077419896</x:v>
      </x:c>
    </x:row>
    <x:row r="17">
      <x:c r="A17" s="20" t="str">
        <x:v>  Senior and subordinated notes</x:v>
      </x:c>
      <x:c r="B17" s="38" t="n">
        <x:f>IF(ISNUMBER('Quarter-End Anchors'!B17),'Quarter-End Anchors'!B17,Balance!B17)</x:f>
        <x:v>30136</x:v>
      </x:c>
      <x:c r="C17" s="38" t="n">
        <x:f>B17+(E17-B17)/3+(2*Balance!B17-B17-E17)</x:f>
        <x:v>30136</x:v>
      </x:c>
      <x:c r="D17" s="38" t="n">
        <x:f>B17+2*(E17-B17)/3+(2*Balance!B17-B17-E17)</x:f>
        <x:v>30136</x:v>
      </x:c>
      <x:c r="E17" s="38" t="n">
        <x:f>IF(ISNUMBER('Quarter-End Anchors'!C17),'Quarter-End Anchors'!C17,2*Balance!B17-B17)</x:f>
        <x:v>30136</x:v>
      </x:c>
      <x:c r="F17" s="38" t="n">
        <x:f>E17+(H17-E17)/3+(2*Balance!C17-E17-H17)</x:f>
        <x:v>30152.666666666668</x:v>
      </x:c>
      <x:c r="G17" s="38" t="n">
        <x:f>E17+2*(H17-E17)/3+(2*Balance!C17-E17-H17)</x:f>
        <x:v>30169.333333333332</x:v>
      </x:c>
      <x:c r="H17" s="38" t="n">
        <x:f>IF(ISNUMBER('Quarter-End Anchors'!D17),'Quarter-End Anchors'!D17,2*Balance!C17-E17)</x:f>
        <x:v>30186</x:v>
      </x:c>
      <x:c r="I17" s="38" t="n">
        <x:f>H17+(K17-H17)/3+(2*Balance!D17-H17-K17)</x:f>
        <x:v>31076.666666666668</x:v>
      </x:c>
      <x:c r="J17" s="38" t="n">
        <x:f>H17+2*(K17-H17)/3+(2*Balance!D17-H17-K17)</x:f>
        <x:v>31967.333333333332</x:v>
      </x:c>
      <x:c r="K17" s="38" t="n">
        <x:f>IF(ISNUMBER('Quarter-End Anchors'!E17),'Quarter-End Anchors'!E17,2*Balance!D17-H17)</x:f>
        <x:v>32858</x:v>
      </x:c>
      <x:c r="L17" s="38" t="n">
        <x:f>K17+(N17-K17)/3+(2*Balance!E17-K17-N17)</x:f>
        <x:v>33080.820162357544</x:v>
      </x:c>
      <x:c r="M17" s="38" t="n">
        <x:f>K17+2*(N17-K17)/3+(2*Balance!E17-K17-N17)</x:f>
        <x:v>32714.410081178772</x:v>
      </x:c>
      <x:c r="N17" s="38" t="n">
        <x:f>IF(ISNUMBER('Quarter-End Anchors'!F17),'Quarter-End Anchors'!F17,2*Balance!E17-K17)</x:f>
        <x:v>31758.769756463687</x:v>
      </x:c>
      <x:c r="O17" s="38" t="n">
        <x:f>N17+(Q17-N17)/3+(2*Balance!F17-N17-Q17)</x:f>
        <x:v>32470.72888816687</x:v>
      </x:c>
      <x:c r="P17" s="38" t="n">
        <x:f>N17+2*(Q17-N17)/3+(2*Balance!F17-N17-Q17)</x:f>
        <x:v>32566.97956585159</x:v>
      </x:c>
      <x:c r="Q17" s="38" t="n">
        <x:f>IF(ISNUMBER('Quarter-End Anchors'!G17),'Quarter-End Anchors'!G17,2*Balance!F17-N17)</x:f>
        <x:v>32047.521789517854</x:v>
      </x:c>
      <x:c r="R17" s="38" t="n">
        <x:f>Q17+(T17-Q17)/3+(2*Balance!G17-Q17-T17)</x:f>
        <x:v>31128.51788652798</x:v>
      </x:c>
      <x:c r="S17" s="38" t="n">
        <x:f>Q17+2*(T17-Q17)/3+(2*Balance!G17-Q17-T17)</x:f>
        <x:v>30518.498048505062</x:v>
      </x:c>
      <x:c r="T17" s="38" t="n">
        <x:f>IF(ISNUMBER('Quarter-End Anchors'!H17),'Quarter-End Anchors'!H17,2*Balance!G17-Q17)</x:f>
        <x:v>30217.462275449103</x:v>
      </x:c>
      <x:c r="U17" s="38" t="n">
        <x:f>T17+(W17-T17)/3+(2*Balance!H17-T17-W17)</x:f>
        <x:v>32228.53952058285</x:v>
      </x:c>
      <x:c r="V17" s="38" t="n">
        <x:f>T17+2*(W17-T17)/3+(2*Balance!H17-T17-W17)</x:f>
        <x:v>33046.53862256688</x:v>
      </x:c>
      <x:c r="W17" s="38" t="n">
        <x:f>IF(ISNUMBER('Quarter-End Anchors'!I17),'Quarter-End Anchors'!I17,2*Balance!H17-T17)</x:f>
        <x:v>32671.459581401177</x:v>
      </x:c>
      <x:c r="X17" s="38" t="n">
        <x:f>W17+(Z17-W17)/3+(2*Balance!I17-W17-Z17)</x:f>
        <x:v>30654.530385508548</x:v>
      </x:c>
      <x:c r="Y17" s="38" t="n">
        <x:f>W17+2*(Z17-W17)/3+(2*Balance!I17-W17-Z17)</x:f>
        <x:v>29875.535402053683</x:v>
      </x:c>
      <x:c r="Z17" s="38" t="n">
        <x:f>IF(ISNUMBER('Quarter-End Anchors'!J17),'Quarter-End Anchors'!J17,2*Balance!I17-W17)</x:f>
        <x:v>30334.47463103659</x:v>
      </x:c>
      <x:c r="AA17" s="38" t="n">
        <x:f>Z17+(AC17-Z17)/3+(2*Balance!J17-Z17-AC17)</x:f>
        <x:v>31643.253527660007</x:v>
      </x:c>
      <x:c r="AB17" s="38" t="n">
        <x:f>Z17+2*(AC17-Z17)/3+(2*Balance!J17-Z17-AC17)</x:f>
        <x:v>30985.389448311707</x:v>
      </x:c>
      <x:c r="AC17" s="38" t="n">
        <x:f>IF(ISNUMBER('Quarter-End Anchors'!K17),'Quarter-End Anchors'!K17,2*Balance!J17-Z17)</x:f>
        <x:v>28360.882392991694</x:v>
      </x:c>
      <x:c r="AD17" s="38" t="n">
        <x:f>AC17+(AF17-AC17)/3+(2*Balance!K17-AC17-AF17)</x:f>
        <x:v>31507.683828275334</x:v>
      </x:c>
      <x:c r="AE17" s="38" t="n">
        <x:f>AC17+2*(AF17-AC17)/3+(2*Balance!K17-AC17-AF17)</x:f>
        <x:v>34445.400717641816</x:v>
      </x:c>
      <x:c r="AF17" s="38" t="n">
        <x:f>IF(ISNUMBER('Quarter-End Anchors'!L17),'Quarter-End Anchors'!L17,2*Balance!K17-AC17)</x:f>
        <x:v>37174.03306109115</x:v>
      </x:c>
      <x:c r="AG17" s="38" t="n">
        <x:f>AF17+(AI17-AF17)/3+(2*Balance!L17-AF17-AI17)</x:f>
        <x:v>35147.92507905827</x:v>
      </x:c>
      <x:c r="AH17" s="38" t="n">
        <x:f>AF17+2*(AI17-AF17)/3+(2*Balance!L17-AF17-AI17)</x:f>
        <x:v>35258.946008983556</x:v>
      </x:c>
      <x:c r="AI17" s="38" t="n">
        <x:f>IF(ISNUMBER('Quarter-End Anchors'!M17),'Quarter-End Anchors'!M17,2*Balance!L17-AF17)</x:f>
        <x:v>37507.09585086703</x:v>
      </x:c>
      <x:c r="AJ17" s="38" t="n">
        <x:f>AI17+(AL17-AI17)/3+(2*Balance!M17-AI17-AL17)</x:f>
        <x:v>35846.720007864766</x:v>
      </x:c>
      <x:c r="AK17" s="38" t="n">
        <x:f>AI17+2*(AL17-AI17)/3+(2*Balance!M17-AI17-AL17)</x:f>
        <x:v>35697.81207849887</x:v>
      </x:c>
      <x:c r="AL17" s="38" t="n">
        <x:f>IF(ISNUMBER('Quarter-End Anchors'!N17),'Quarter-End Anchors'!N17,2*Balance!M17-AI17)</x:f>
        <x:v>37060.37206276933</x:v>
      </x:c>
      <x:c r="AM17" s="38" t="n">
        <x:f>AL17+(AO17-AL17)/3+(2*Balance!N17-AL17-AO17)</x:f>
        <x:v>38137.9590441379</x:v>
      </x:c>
      <x:c r="AN17" s="38" t="n">
        <x:f>AL17+2*(AO17-AL17)/3+(2*Balance!N17-AL17-AO17)</x:f>
        <x:v>38384.79349068428</x:v>
      </x:c>
      <x:c r="AO17" s="38" t="n">
        <x:f>IF(ISNUMBER('Quarter-End Anchors'!O17),'Quarter-End Anchors'!O17,2*Balance!N17-AL17)</x:f>
        <x:v>37800.87540240849</x:v>
      </x:c>
      <x:c r="AP17" s="38" t="n">
        <x:f>AO17+(AR17-AO17)/3+(2*Balance!O17-AO17-AR17)</x:f>
        <x:v>38975.4466938569</x:v>
      </x:c>
      <x:c r="AQ17" s="38" t="n">
        <x:f>AO17+2*(AR17-AO17)/3+(2*Balance!O17-AO17-AR17)</x:f>
        <x:v>38085.2856457242</x:v>
      </x:c>
      <x:c r="AR17" s="38" t="n">
        <x:f>IF(ISNUMBER('Quarter-End Anchors'!P17),'Quarter-End Anchors'!P17,2*Balance!O17-AO17)</x:f>
        <x:v>35130.392258010404</x:v>
      </x:c>
    </x:row>
    <x:row r="18">
      <x:c r="A18" s="20" t="str">
        <x:v>  Other borrowings</x:v>
      </x:c>
      <x:c r="B18" s="38" t="n">
        <x:f>IF(ISNUMBER('Quarter-End Anchors'!B18),'Quarter-End Anchors'!B18,Balance!B18)</x:f>
        <x:v>2335</x:v>
      </x:c>
      <x:c r="C18" s="38" t="n">
        <x:f>B18+(E18-B18)/3+(2*Balance!B18-B18-E18)</x:f>
        <x:v>2335</x:v>
      </x:c>
      <x:c r="D18" s="38" t="n">
        <x:f>B18+2*(E18-B18)/3+(2*Balance!B18-B18-E18)</x:f>
        <x:v>2335</x:v>
      </x:c>
      <x:c r="E18" s="38" t="n">
        <x:f>IF(ISNUMBER('Quarter-End Anchors'!C18),'Quarter-End Anchors'!C18,2*Balance!B18-B18)</x:f>
        <x:v>2335</x:v>
      </x:c>
      <x:c r="F18" s="38" t="n">
        <x:f>E18+(H18-E18)/3+(2*Balance!C18-E18-H18)</x:f>
        <x:v>2391</x:v>
      </x:c>
      <x:c r="G18" s="38" t="n">
        <x:f>E18+2*(H18-E18)/3+(2*Balance!C18-E18-H18)</x:f>
        <x:v>2447</x:v>
      </x:c>
      <x:c r="H18" s="38" t="n">
        <x:f>IF(ISNUMBER('Quarter-End Anchors'!D18),'Quarter-End Anchors'!D18,2*Balance!C18-E18)</x:f>
        <x:v>2503</x:v>
      </x:c>
      <x:c r="I18" s="38" t="n">
        <x:f>H18+(K18-H18)/3+(2*Balance!D18-H18-K18)</x:f>
        <x:v>2483</x:v>
      </x:c>
      <x:c r="J18" s="38" t="n">
        <x:f>H18+2*(K18-H18)/3+(2*Balance!D18-H18-K18)</x:f>
        <x:v>2463</x:v>
      </x:c>
      <x:c r="K18" s="38" t="n">
        <x:f>IF(ISNUMBER('Quarter-End Anchors'!E18),'Quarter-End Anchors'!E18,2*Balance!D18-H18)</x:f>
        <x:v>2443</x:v>
      </x:c>
      <x:c r="L18" s="38" t="n">
        <x:f>K18+(N18-K18)/3+(2*Balance!E18-K18-N18)</x:f>
        <x:v>3501</x:v>
      </x:c>
      <x:c r="M18" s="38" t="n">
        <x:f>K18+2*(N18-K18)/3+(2*Balance!E18-K18-N18)</x:f>
        <x:v>2875</x:v>
      </x:c>
      <x:c r="N18" s="38" t="n">
        <x:f>IF(ISNUMBER('Quarter-End Anchors'!F18),'Quarter-End Anchors'!F18,2*Balance!E18-K18)</x:f>
        <x:v>565</x:v>
      </x:c>
      <x:c r="O18" s="38" t="n">
        <x:f>N18+(Q18-N18)/3+(2*Balance!F18-N18-Q18)</x:f>
        <x:v>4163</x:v>
      </x:c>
      <x:c r="P18" s="38" t="n">
        <x:f>N18+2*(Q18-N18)/3+(2*Balance!F18-N18-Q18)</x:f>
        <x:v>4172</x:v>
      </x:c>
      <x:c r="Q18" s="38" t="n">
        <x:f>IF(ISNUMBER('Quarter-End Anchors'!G18),'Quarter-End Anchors'!G18,2*Balance!F18-N18)</x:f>
        <x:v>592</x:v>
      </x:c>
      <x:c r="R18" s="38" t="n">
        <x:f>Q18+(T18-Q18)/3+(2*Balance!G18-Q18-T18)</x:f>
        <x:v>4313.333333333333</x:v>
      </x:c>
      <x:c r="S18" s="38" t="n">
        <x:f>Q18+2*(T18-Q18)/3+(2*Balance!G18-Q18-T18)</x:f>
        <x:v>4362.666666666667</x:v>
      </x:c>
      <x:c r="T18" s="38" t="n">
        <x:f>IF(ISNUMBER('Quarter-End Anchors'!H18),'Quarter-End Anchors'!H18,2*Balance!G18-Q18)</x:f>
        <x:v>740</x:v>
      </x:c>
      <x:c r="U18" s="38" t="n">
        <x:f>T18+(W18-T18)/3+(2*Balance!H18-T18-W18)</x:f>
        <x:v>4168.666666666667</x:v>
      </x:c>
      <x:c r="V18" s="38" t="n">
        <x:f>T18+2*(W18-T18)/3+(2*Balance!H18-T18-W18)</x:f>
        <x:v>4103.333333333333</x:v>
      </x:c>
      <x:c r="W18" s="38" t="n">
        <x:f>IF(ISNUMBER('Quarter-End Anchors'!I18),'Quarter-End Anchors'!I18,2*Balance!H18-T18)</x:f>
        <x:v>544</x:v>
      </x:c>
      <x:c r="X18" s="38" t="n">
        <x:f>W18+(Z18-W18)/3+(2*Balance!I18-W18-Z18)</x:f>
        <x:v>4284.666666666667</x:v>
      </x:c>
      <x:c r="Y18" s="38" t="n">
        <x:f>W18+2*(Z18-W18)/3+(2*Balance!I18-W18-Z18)</x:f>
        <x:v>4300.333333333333</x:v>
      </x:c>
      <x:c r="Z18" s="38" t="n">
        <x:f>IF(ISNUMBER('Quarter-End Anchors'!J18),'Quarter-End Anchors'!J18,2*Balance!I18-W18)</x:f>
        <x:v>591</x:v>
      </x:c>
      <x:c r="AA18" s="38" t="n">
        <x:f>Z18+(AC18-Z18)/3+(2*Balance!J18-Z18-AC18)</x:f>
        <x:v>4028.3333333333335</x:v>
      </x:c>
      <x:c r="AB18" s="38" t="n">
        <x:f>Z18+2*(AC18-Z18)/3+(2*Balance!J18-Z18-AC18)</x:f>
        <x:v>4030.6666666666665</x:v>
      </x:c>
      <x:c r="AC18" s="38" t="n">
        <x:f>IF(ISNUMBER('Quarter-End Anchors'!K18),'Quarter-End Anchors'!K18,2*Balance!J18-Z18)</x:f>
        <x:v>598</x:v>
      </x:c>
      <x:c r="AD18" s="38" t="n">
        <x:f>AC18+(AF18-AC18)/3+(2*Balance!K18-AC18-AF18)</x:f>
        <x:v>4676.666666666667</x:v>
      </x:c>
      <x:c r="AE18" s="38" t="n">
        <x:f>AC18+2*(AF18-AC18)/3+(2*Balance!K18-AC18-AF18)</x:f>
        <x:v>4911.333333333333</x:v>
      </x:c>
      <x:c r="AF18" s="38" t="n">
        <x:f>IF(ISNUMBER('Quarter-End Anchors'!L18),'Quarter-End Anchors'!L18,2*Balance!K18-AC18)</x:f>
        <x:v>1302</x:v>
      </x:c>
      <x:c r="AG18" s="38" t="n">
        <x:f>AF18+(AI18-AF18)/3+(2*Balance!L18-AF18-AI18)</x:f>
        <x:v>5020.666666666667</x:v>
      </x:c>
      <x:c r="AH18" s="38" t="n">
        <x:f>AF18+2*(AI18-AF18)/3+(2*Balance!L18-AF18-AI18)</x:f>
        <x:v>4979.333333333333</x:v>
      </x:c>
      <x:c r="AI18" s="38" t="n">
        <x:f>IF(ISNUMBER('Quarter-End Anchors'!M18),'Quarter-End Anchors'!M18,2*Balance!L18-AF18)</x:f>
        <x:v>1178</x:v>
      </x:c>
      <x:c r="AJ18" s="38" t="n">
        <x:f>AI18+(AL18-AI18)/3+(2*Balance!M18-AI18-AL18)</x:f>
        <x:v>5345.333333333333</x:v>
      </x:c>
      <x:c r="AK18" s="38" t="n">
        <x:f>AI18+2*(AL18-AI18)/3+(2*Balance!M18-AI18-AL18)</x:f>
        <x:v>5834.666666666666</x:v>
      </x:c>
      <x:c r="AL18" s="38" t="n">
        <x:f>IF(ISNUMBER('Quarter-End Anchors'!N18),'Quarter-End Anchors'!N18,2*Balance!M18-AI18)</x:f>
        <x:v>2646</x:v>
      </x:c>
      <x:c r="AM18" s="38" t="n">
        <x:f>AL18+(AO18-AL18)/3+(2*Balance!N18-AL18-AO18)</x:f>
        <x:v>5471.333333333334</x:v>
      </x:c>
      <x:c r="AN18" s="38" t="n">
        <x:f>AL18+2*(AO18-AL18)/3+(2*Balance!N18-AL18-AO18)</x:f>
        <x:v>5650.666666666666</x:v>
      </x:c>
      <x:c r="AO18" s="38" t="n">
        <x:f>IF(ISNUMBER('Quarter-End Anchors'!O18),'Quarter-End Anchors'!O18,2*Balance!N18-AL18)</x:f>
        <x:v>3184</x:v>
      </x:c>
      <x:c r="AP18" s="38" t="n">
        <x:f>AO18+(AR18-AO18)/3+(2*Balance!O18-AO18-AR18)</x:f>
        <x:v>5782</x:v>
      </x:c>
      <x:c r="AQ18" s="38" t="n">
        <x:f>AO18+2*(AR18-AO18)/3+(2*Balance!O18-AO18-AR18)</x:f>
        <x:v>5137</x:v>
      </x:c>
      <x:c r="AR18" s="38" t="n">
        <x:f>IF(ISNUMBER('Quarter-End Anchors'!P18),'Quarter-End Anchors'!P18,2*Balance!O18-AO18)</x:f>
        <x:v>1249</x:v>
      </x:c>
    </x:row>
    <x:row r="19">
      <x:c r="A19" s="26" t="str">
        <x:v>  Total interest-bearing liabilities</x:v>
      </x:c>
      <x:c r="B19" s="35" t="n">
        <x:f>SUM(B15:B18)</x:f>
        <x:v>358510</x:v>
      </x:c>
      <x:c r="C19" s="35" t="n">
        <x:f>SUM(C15:C18)</x:f>
        <x:v>358510</x:v>
      </x:c>
      <x:c r="D19" s="35" t="n">
        <x:f>SUM(D15:D18)</x:f>
        <x:v>358510</x:v>
      </x:c>
      <x:c r="E19" s="35" t="n">
        <x:f>SUM(E15:E18)</x:f>
        <x:v>358510</x:v>
      </x:c>
      <x:c r="F19" s="35" t="n">
        <x:f>SUM(F15:F18)</x:f>
        <x:v>361875.3333333334</x:v>
      </x:c>
      <x:c r="G19" s="35" t="n">
        <x:f>SUM(G15:G18)</x:f>
        <x:v>365240.6666666666</x:v>
      </x:c>
      <x:c r="H19" s="35" t="n">
        <x:f>SUM(H15:H18)</x:f>
        <x:v>368606</x:v>
      </x:c>
      <x:c r="I19" s="35" t="n">
        <x:f>SUM(I15:I18)</x:f>
        <x:v>367986</x:v>
      </x:c>
      <x:c r="J19" s="35" t="n">
        <x:f>SUM(J15:J18)</x:f>
        <x:v>367366</x:v>
      </x:c>
      <x:c r="K19" s="35" t="n">
        <x:f>SUM(K15:K18)</x:f>
        <x:v>366746</x:v>
      </x:c>
      <x:c r="L19" s="35" t="n">
        <x:f>SUM(L15:L18)</x:f>
        <x:v>370537.3333333333</x:v>
      </x:c>
      <x:c r="M19" s="35" t="n">
        <x:f>SUM(M15:M18)</x:f>
        <x:v>371712.6666666666</x:v>
      </x:c>
      <x:c r="N19" s="35" t="n">
        <x:f>SUM(N15:N18)</x:f>
        <x:v>370272</x:v>
      </x:c>
      <x:c r="O19" s="35" t="n">
        <x:f>SUM(O15:O18)</x:f>
        <x:v>369158.00000000006</x:v>
      </x:c>
      <x:c r="P19" s="35" t="n">
        <x:f>SUM(P15:P18)</x:f>
        <x:v>370312.99999999994</x:v>
      </x:c>
      <x:c r="Q19" s="35" t="n">
        <x:f>SUM(Q15:Q18)</x:f>
        <x:v>373737</x:v>
      </x:c>
      <x:c r="R19" s="35" t="n">
        <x:f>SUM(R15:R18)</x:f>
        <x:v>374168.3333333334</x:v>
      </x:c>
      <x:c r="S19" s="35" t="n">
        <x:f>SUM(S15:S18)</x:f>
        <x:v>373728.6666666666</x:v>
      </x:c>
      <x:c r="T19" s="35" t="n">
        <x:f>SUM(T15:T18)</x:f>
        <x:v>372418</x:v>
      </x:c>
      <x:c r="U19" s="35" t="n">
        <x:f>SUM(U15:U18)</x:f>
        <x:v>374329.3333333334</x:v>
      </x:c>
      <x:c r="V19" s="35" t="n">
        <x:f>SUM(V15:V18)</x:f>
        <x:v>375727.6666666667</x:v>
      </x:c>
      <x:c r="W19" s="35" t="n">
        <x:f>SUM(W15:W18)</x:f>
        <x:v>376613</x:v>
      </x:c>
      <x:c r="X19" s="35" t="n">
        <x:f>SUM(X15:X18)</x:f>
        <x:v>379393.6666666667</x:v>
      </x:c>
      <x:c r="Y19" s="35" t="n">
        <x:f>SUM(Y15:Y18)</x:f>
        <x:v>381244.33333333326</x:v>
      </x:c>
      <x:c r="Z19" s="35" t="n">
        <x:f>SUM(Z15:Z18)</x:f>
        <x:v>382165</x:v>
      </x:c>
      <x:c r="AA19" s="35" t="n">
        <x:f>SUM(AA15:AA18)</x:f>
        <x:v>385865</x:v>
      </x:c>
      <x:c r="AB19" s="35" t="n">
        <x:f>SUM(AB15:AB18)</x:f>
        <x:v>386064</x:v>
      </x:c>
      <x:c r="AC19" s="35" t="n">
        <x:f>SUM(AC15:AC18)</x:f>
        <x:v>382762</x:v>
      </x:c>
      <x:c r="AD19" s="35" t="n">
        <x:f>SUM(AD15:AD18)</x:f>
        <x:v>415293.3333333334</x:v>
      </x:c>
      <x:c r="AE19" s="35" t="n">
        <x:f>SUM(AE15:AE18)</x:f>
        <x:v>452191.6666666666</x:v>
      </x:c>
      <x:c r="AF19" s="35" t="n">
        <x:f>SUM(AF15:AF18)</x:f>
        <x:v>493457</x:v>
      </x:c>
      <x:c r="AG19" s="35" t="n">
        <x:f>SUM(AG15:AG18)</x:f>
        <x:v>490403.6666666667</x:v>
      </x:c>
      <x:c r="AH19" s="35" t="n">
        <x:f>SUM(AH15:AH18)</x:f>
        <x:v>490311.33333333326</x:v>
      </x:c>
      <x:c r="AI19" s="35" t="n">
        <x:f>SUM(AI15:AI18)</x:f>
        <x:v>493180</x:v>
      </x:c>
      <x:c r="AJ19" s="35" t="n">
        <x:f>SUM(AJ15:AJ18)</x:f>
        <x:v>493963.3333333333</x:v>
      </x:c>
      <x:c r="AK19" s="35" t="n">
        <x:f>SUM(AK15:AK18)</x:f>
        <x:v>496551.6666666667</x:v>
      </x:c>
      <x:c r="AL19" s="35" t="n">
        <x:f>SUM(AL15:AL18)</x:f>
        <x:v>500945</x:v>
      </x:c>
      <x:c r="AM19" s="35" t="n">
        <x:f>SUM(AM15:AM18)</x:f>
        <x:v>503010.3333333334</x:v>
      </x:c>
      <x:c r="AN19" s="35" t="n">
        <x:f>SUM(AN15:AN18)</x:f>
        <x:v>507549.6666666667</x:v>
      </x:c>
      <x:c r="AO19" s="35" t="n">
        <x:f>SUM(AO15:AO18)</x:f>
        <x:v>514563</x:v>
      </x:c>
      <x:c r="AP19" s="35" t="n">
        <x:f>SUM(AP15:AP18)</x:f>
        <x:v>512864.3333333333</x:v>
      </x:c>
      <x:c r="AQ19" s="35" t="n">
        <x:f>SUM(AQ15:AQ18)</x:f>
        <x:v>508806.6666666667</x:v>
      </x:c>
      <x:c r="AR19" s="35" t="n">
        <x:f>SUM(AR15:AR18)</x:f>
        <x:v>502390</x:v>
      </x:c>
    </x:row>
    <x:row r="20">
      <x:c r="A20" s="20"/>
      <x:c r="B20" s="34"/>
      <x:c r="C20" s="34"/>
      <x:c r="D20" s="34"/>
      <x:c r="E20" s="34"/>
      <x:c r="F20" s="34"/>
      <x:c r="G20" s="34"/>
      <x:c r="H20" s="34"/>
      <x:c r="I20" s="34"/>
      <x:c r="J20" s="34"/>
      <x:c r="K20" s="34"/>
      <x:c r="L20" s="34"/>
      <x:c r="M20" s="34"/>
      <x:c r="N20" s="34"/>
      <x:c r="O20" s="34"/>
      <x:c r="P20" s="34"/>
      <x:c r="Q20" s="34"/>
      <x:c r="R20" s="34"/>
      <x:c r="S20" s="34"/>
      <x:c r="T20" s="34"/>
      <x:c r="U20" s="34"/>
      <x:c r="V20" s="34"/>
      <x:c r="W20" s="34"/>
      <x:c r="X20" s="34"/>
      <x:c r="Y20" s="34"/>
      <x:c r="Z20" s="34"/>
      <x:c r="AA20" s="34"/>
      <x:c r="AB20" s="34"/>
      <x:c r="AC20" s="34"/>
      <x:c r="AD20" s="34"/>
      <x:c r="AE20" s="34"/>
      <x:c r="AF20" s="34"/>
      <x:c r="AG20" s="34"/>
      <x:c r="AH20" s="34"/>
      <x:c r="AI20" s="34"/>
      <x:c r="AJ20" s="34"/>
      <x:c r="AK20" s="34"/>
      <x:c r="AL20" s="34"/>
      <x:c r="AM20" s="34"/>
      <x:c r="AN20" s="34"/>
      <x:c r="AO20" s="34"/>
      <x:c r="AP20" s="34"/>
      <x:c r="AQ20" s="34"/>
      <x:c r="AR20" s="34"/>
    </x:row>
    <x:row r="21">
      <x:c r="A21" s="26" t="str">
        <x:v>Net earning assets (assets − liabilities)</x:v>
      </x:c>
      <x:c r="B21" s="35" t="n">
        <x:f>B12-B19</x:f>
        <x:v>70821</x:v>
      </x:c>
      <x:c r="C21" s="35" t="n">
        <x:f>C12-C19</x:f>
        <x:v>72079</x:v>
      </x:c>
      <x:c r="D21" s="35" t="n">
        <x:f>D12-D19</x:f>
        <x:v>77318</x:v>
      </x:c>
      <x:c r="E21" s="35" t="n">
        <x:f>E12-E19</x:f>
        <x:v>86538</x:v>
      </x:c>
      <x:c r="F21" s="35" t="n">
        <x:f>F12-F19</x:f>
        <x:v>71632.66666666663</x:v>
      </x:c>
      <x:c r="G21" s="35" t="n">
        <x:f>G12-G19</x:f>
        <x:v>68128.33333333337</x:v>
      </x:c>
      <x:c r="H21" s="35" t="n">
        <x:f>H12-H19</x:f>
        <x:v>76025</x:v>
      </x:c>
      <x:c r="I21" s="35" t="n">
        <x:f>I12-I19</x:f>
        <x:v>73979</x:v>
      </x:c>
      <x:c r="J21" s="35" t="n">
        <x:f>J12-J19</x:f>
        <x:v>74833</x:v>
      </x:c>
      <x:c r="K21" s="35" t="n">
        <x:f>K12-K19</x:f>
        <x:v>78587</x:v>
      </x:c>
      <x:c r="L21" s="35" t="n">
        <x:f>L12-L19</x:f>
        <x:v>79433.66666666669</x:v>
      </x:c>
      <x:c r="M21" s="35" t="n">
        <x:f>M12-M19</x:f>
        <x:v>77595.33333333337</x:v>
      </x:c>
      <x:c r="N21" s="35" t="n">
        <x:f>N12-N19</x:f>
        <x:v>73072</x:v>
      </x:c>
      <x:c r="O21" s="35" t="n">
        <x:f>O12-O19</x:f>
        <x:v>81963.99999999994</x:v>
      </x:c>
      <x:c r="P21" s="35" t="n">
        <x:f>P12-P19</x:f>
        <x:v>81379.00000000006</x:v>
      </x:c>
      <x:c r="Q21" s="35" t="n">
        <x:f>Q12-Q19</x:f>
        <x:v>71317</x:v>
      </x:c>
      <x:c r="R21" s="35" t="n">
        <x:f>R12-R19</x:f>
        <x:v>82453</x:v>
      </x:c>
      <x:c r="S21" s="35" t="n">
        <x:f>S12-S19</x:f>
        <x:v>82963</x:v>
      </x:c>
      <x:c r="T21" s="35" t="n">
        <x:f>T12-T19</x:f>
        <x:v>72847</x:v>
      </x:c>
      <x:c r="U21" s="35" t="n">
        <x:f>U12-U19</x:f>
        <x:v>83908.99999999994</x:v>
      </x:c>
      <x:c r="V21" s="35" t="n">
        <x:f>V12-V19</x:f>
        <x:v>85243</x:v>
      </x:c>
      <x:c r="W21" s="35" t="n">
        <x:f>W12-W19</x:f>
        <x:v>76849</x:v>
      </x:c>
      <x:c r="X21" s="35" t="n">
        <x:f>X12-X19</x:f>
        <x:v>87859.66666666663</x:v>
      </x:c>
      <x:c r="Y21" s="35" t="n">
        <x:f>Y12-Y19</x:f>
        <x:v>86341.33333333343</x:v>
      </x:c>
      <x:c r="Z21" s="35" t="n">
        <x:f>Z12-Z19</x:f>
        <x:v>72294</x:v>
      </x:c>
      <x:c r="AA21" s="35" t="n">
        <x:f>AA12-AA19</x:f>
        <x:v>83574</x:v>
      </x:c>
      <x:c r="AB21" s="35" t="n">
        <x:f>AB12-AB19</x:f>
        <x:v>84196.99999999994</x:v>
      </x:c>
      <x:c r="AC21" s="35" t="n">
        <x:f>AC12-AC19</x:f>
        <x:v>74163</x:v>
      </x:c>
      <x:c r="AD21" s="35" t="n">
        <x:f>AD12-AD19</x:f>
        <x:v>90209</x:v>
      </x:c>
      <x:c r="AE21" s="35" t="n">
        <x:f>AE12-AE19</x:f>
        <x:v>97026</x:v>
      </x:c>
      <x:c r="AF21" s="35" t="n">
        <x:f>AF12-AF19</x:f>
        <x:v>94614</x:v>
      </x:c>
      <x:c r="AG21" s="35" t="n">
        <x:f>AG12-AG19</x:f>
        <x:v>105787.33333333331</x:v>
      </x:c>
      <x:c r="AH21" s="35" t="n">
        <x:f>AH12-AH19</x:f>
        <x:v>106995.66666666674</x:v>
      </x:c>
      <x:c r="AI21" s="35" t="n">
        <x:f>AI12-AI19</x:f>
        <x:v>98239</x:v>
      </x:c>
      <x:c r="AJ21" s="35" t="n">
        <x:f>AJ12-AJ19</x:f>
        <x:v>113100.33333333331</x:v>
      </x:c>
      <x:c r="AK21" s="35" t="n">
        <x:f>AK12-AK19</x:f>
        <x:v>115627.66666666669</x:v>
      </x:c>
      <x:c r="AL21" s="35" t="n">
        <x:f>AL12-AL19</x:f>
        <x:v>105821</x:v>
      </x:c>
      <x:c r="AM21" s="35" t="n">
        <x:f>AM12-AM19</x:f>
        <x:v>116197.66666666663</x:v>
      </x:c>
      <x:c r="AN21" s="35" t="n">
        <x:f>AN12-AN19</x:f>
        <x:v>115844.33333333331</x:v>
      </x:c>
      <x:c r="AO21" s="35" t="n">
        <x:f>AO12-AO19</x:f>
        <x:v>104761</x:v>
      </x:c>
      <x:c r="AP21" s="35" t="n">
        <x:f>AP12-AP19</x:f>
        <x:v>111975.66666666669</x:v>
      </x:c>
      <x:c r="AQ21" s="35" t="n">
        <x:f>AQ12-AQ19</x:f>
        <x:v>111534.33333333331</x:v>
      </x:c>
      <x:c r="AR21" s="35" t="n">
        <x:f>AR12-AR19</x:f>
        <x:v>103437</x:v>
      </x:c>
    </x:row>
  </x:sheetData>
  <x:pageMargins left="0.7" right="0.7" top="0.75" bottom="0.75" header="0.3" footer="0.3"/>
</x:worksheet>
</file>

<file path=xl/worksheets/sheet7.xml><?xml version="1.0" encoding="utf-8"?>
<x:worksheet xmlns:x="http://schemas.openxmlformats.org/spreadsheetml/2006/main">
  <x:sheetViews>
    <x:sheetView showGridLines="1" workbookViewId="0">
      <x:pane xSplit="1" ySplit="4" topLeftCell="B5" activePane="bottomRight" state="frozen"/>
    </x:sheetView>
  </x:sheetViews>
  <x:sheetFormatPr defaultRowHeight="15"/>
  <x:cols>
    <x:col min="1" max="1" width="43"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 min="39" max="39" width="12" hidden="0" customWidth="1"/>
    <x:col min="40" max="40" width="12" hidden="0" customWidth="1"/>
    <x:col min="41" max="41" width="12" hidden="0" customWidth="1"/>
    <x:col min="42" max="42" width="12" hidden="0" customWidth="1"/>
    <x:col min="43" max="43" width="12" hidden="0" customWidth="1"/>
  </x:cols>
  <x:sheetData>
    <x:row r="1">
      <x:c r="A1" s="28" t="str">
        <x:v>Capital One - Imputed Monthly Average Balance by line item ($mm)</x:v>
      </x:c>
      <x:c r="B1" s="20"/>
      <x:c r="C1" s="20"/>
      <x:c r="D1" s="20"/>
      <x:c r="E1" s="20"/>
      <x:c r="F1" s="20"/>
      <x:c r="G1" s="20"/>
      <x:c r="H1" s="20"/>
      <x:c r="I1" s="20"/>
      <x:c r="J1" s="20"/>
      <x:c r="K1" s="20"/>
      <x:c r="L1" s="20"/>
      <x:c r="M1" s="20"/>
      <x:c r="N1" s="20"/>
      <x:c r="O1" s="20"/>
      <x:c r="P1" s="20"/>
      <x:c r="Q1" s="20"/>
      <x:c r="R1" s="20"/>
      <x:c r="S1" s="20"/>
      <x:c r="T1" s="20"/>
      <x:c r="U1" s="20"/>
      <x:c r="V1" s="20"/>
      <x:c r="W1" s="20"/>
      <x:c r="X1" s="20"/>
      <x:c r="Y1" s="20"/>
      <x:c r="Z1" s="20"/>
      <x:c r="AA1" s="20"/>
      <x:c r="AB1" s="20"/>
      <x:c r="AC1" s="20"/>
      <x:c r="AD1" s="20"/>
      <x:c r="AE1" s="20"/>
      <x:c r="AF1" s="20"/>
      <x:c r="AG1" s="20"/>
      <x:c r="AH1" s="20"/>
      <x:c r="AI1" s="20"/>
      <x:c r="AJ1" s="20"/>
      <x:c r="AK1" s="20"/>
      <x:c r="AL1" s="20"/>
      <x:c r="AM1" s="20"/>
      <x:c r="AN1" s="20"/>
      <x:c r="AO1" s="20"/>
      <x:c r="AP1" s="20"/>
      <x:c r="AQ1" s="20"/>
    </x:row>
    <x:row r="2" ht="31" customHeight="1">
      <x:c r="A2" s="30" t="str">
        <x:v>Monthly average balance is the average of the prior month-end and current month-end. These balances drive monthly income allocation and monthly yields.</x:v>
      </x:c>
      <x:c r="B2" s="30"/>
      <x:c r="C2" s="30"/>
      <x:c r="D2" s="30"/>
      <x:c r="E2" s="30"/>
      <x:c r="F2" s="30"/>
      <x:c r="G2" s="30"/>
      <x:c r="H2" s="30"/>
      <x:c r="I2" s="30"/>
      <x:c r="J2" s="30"/>
      <x:c r="K2" s="30"/>
      <x:c r="L2" s="30"/>
      <x:c r="M2" s="30"/>
      <x:c r="N2" s="30"/>
      <x:c r="O2" s="30"/>
      <x:c r="P2" s="30"/>
      <x:c r="Q2" s="30"/>
      <x:c r="R2" s="30"/>
      <x:c r="S2" s="30"/>
      <x:c r="T2" s="30"/>
      <x:c r="U2" s="30"/>
      <x:c r="V2" s="30"/>
      <x:c r="W2" s="30"/>
      <x:c r="X2" s="30"/>
      <x:c r="Y2" s="30"/>
      <x:c r="Z2" s="30"/>
      <x:c r="AA2" s="30"/>
      <x:c r="AB2" s="30"/>
      <x:c r="AC2" s="30"/>
      <x:c r="AD2" s="30"/>
      <x:c r="AE2" s="30"/>
      <x:c r="AF2" s="30"/>
      <x:c r="AG2" s="30"/>
      <x:c r="AH2" s="30"/>
      <x:c r="AI2" s="30"/>
      <x:c r="AJ2" s="30"/>
      <x:c r="AK2" s="30"/>
      <x:c r="AL2" s="30"/>
      <x:c r="AM2" s="30"/>
      <x:c r="AN2" s="30"/>
      <x:c r="AO2" s="30"/>
      <x:c r="AP2" s="30"/>
      <x:c r="AQ2" s="30"/>
    </x:row>
    <x:row r="3">
      <x:c r="A3" s="20"/>
      <x:c r="B3" s="20"/>
      <x:c r="C3" s="20"/>
      <x:c r="D3" s="20"/>
      <x:c r="E3" s="20"/>
      <x:c r="F3" s="20"/>
      <x:c r="G3" s="20"/>
      <x:c r="H3" s="20"/>
      <x:c r="I3" s="20"/>
      <x:c r="J3" s="20"/>
      <x:c r="K3" s="20"/>
      <x:c r="L3" s="20"/>
      <x:c r="M3" s="20"/>
      <x:c r="N3" s="20"/>
      <x:c r="O3" s="20"/>
      <x:c r="P3" s="20"/>
      <x:c r="Q3" s="20"/>
      <x:c r="R3" s="20"/>
      <x:c r="S3" s="20"/>
      <x:c r="T3" s="20"/>
      <x:c r="U3" s="20"/>
      <x:c r="V3" s="20"/>
      <x:c r="W3" s="20"/>
      <x:c r="X3" s="20"/>
      <x:c r="Y3" s="20"/>
      <x:c r="Z3" s="20"/>
      <x:c r="AA3" s="20"/>
      <x:c r="AB3" s="20"/>
      <x:c r="AC3" s="20"/>
      <x:c r="AD3" s="20"/>
      <x:c r="AE3" s="20"/>
      <x:c r="AF3" s="20"/>
      <x:c r="AG3" s="20"/>
      <x:c r="AH3" s="20"/>
      <x:c r="AI3" s="20"/>
      <x:c r="AJ3" s="20"/>
      <x:c r="AK3" s="20"/>
      <x:c r="AL3" s="20"/>
      <x:c r="AM3" s="20"/>
      <x:c r="AN3" s="20"/>
      <x:c r="AO3" s="20"/>
      <x:c r="AP3" s="20"/>
      <x:c r="AQ3" s="20"/>
    </x:row>
    <x:row r="4">
      <x:c r="A4" s="26" t="str">
        <x:v>Line item (as disclosed)</x:v>
      </x:c>
      <x:c r="B4" s="31" t="n">
        <x:v>44957</x:v>
      </x:c>
      <x:c r="C4" s="31" t="n">
        <x:v>44985</x:v>
      </x:c>
      <x:c r="D4" s="31" t="n">
        <x:v>45016</x:v>
      </x:c>
      <x:c r="E4" s="31" t="n">
        <x:v>45046</x:v>
      </x:c>
      <x:c r="F4" s="31" t="n">
        <x:v>45077</x:v>
      </x:c>
      <x:c r="G4" s="31" t="n">
        <x:v>45107</x:v>
      </x:c>
      <x:c r="H4" s="31" t="n">
        <x:v>45138</x:v>
      </x:c>
      <x:c r="I4" s="31" t="n">
        <x:v>45169</x:v>
      </x:c>
      <x:c r="J4" s="31" t="n">
        <x:v>45199</x:v>
      </x:c>
      <x:c r="K4" s="31" t="n">
        <x:v>45230</x:v>
      </x:c>
      <x:c r="L4" s="31" t="n">
        <x:v>45260</x:v>
      </x:c>
      <x:c r="M4" s="31" t="n">
        <x:v>45291</x:v>
      </x:c>
      <x:c r="N4" s="31" t="n">
        <x:v>45322</x:v>
      </x:c>
      <x:c r="O4" s="31" t="n">
        <x:v>45351</x:v>
      </x:c>
      <x:c r="P4" s="31" t="n">
        <x:v>45382</x:v>
      </x:c>
      <x:c r="Q4" s="31" t="n">
        <x:v>45412</x:v>
      </x:c>
      <x:c r="R4" s="31" t="n">
        <x:v>45443</x:v>
      </x:c>
      <x:c r="S4" s="31" t="n">
        <x:v>45473</x:v>
      </x:c>
      <x:c r="T4" s="31" t="n">
        <x:v>45504</x:v>
      </x:c>
      <x:c r="U4" s="31" t="n">
        <x:v>45535</x:v>
      </x:c>
      <x:c r="V4" s="31" t="n">
        <x:v>45565</x:v>
      </x:c>
      <x:c r="W4" s="31" t="n">
        <x:v>45596</x:v>
      </x:c>
      <x:c r="X4" s="31" t="n">
        <x:v>45626</x:v>
      </x:c>
      <x:c r="Y4" s="31" t="n">
        <x:v>45657</x:v>
      </x:c>
      <x:c r="Z4" s="31" t="n">
        <x:v>45688</x:v>
      </x:c>
      <x:c r="AA4" s="31" t="n">
        <x:v>45716</x:v>
      </x:c>
      <x:c r="AB4" s="31" t="n">
        <x:v>45747</x:v>
      </x:c>
      <x:c r="AC4" s="31" t="n">
        <x:v>45777</x:v>
      </x:c>
      <x:c r="AD4" s="31" t="n">
        <x:v>45808</x:v>
      </x:c>
      <x:c r="AE4" s="31" t="n">
        <x:v>45838</x:v>
      </x:c>
      <x:c r="AF4" s="31" t="n">
        <x:v>45869</x:v>
      </x:c>
      <x:c r="AG4" s="31" t="n">
        <x:v>45900</x:v>
      </x:c>
      <x:c r="AH4" s="31" t="n">
        <x:v>45930</x:v>
      </x:c>
      <x:c r="AI4" s="31" t="n">
        <x:v>45961</x:v>
      </x:c>
      <x:c r="AJ4" s="31" t="n">
        <x:v>45991</x:v>
      </x:c>
      <x:c r="AK4" s="31" t="n">
        <x:v>46022</x:v>
      </x:c>
      <x:c r="AL4" s="31" t="n">
        <x:v>46053</x:v>
      </x:c>
      <x:c r="AM4" s="31" t="n">
        <x:v>46081</x:v>
      </x:c>
      <x:c r="AN4" s="31" t="n">
        <x:v>46112</x:v>
      </x:c>
      <x:c r="AO4" s="31" t="n">
        <x:v>46142</x:v>
      </x:c>
      <x:c r="AP4" s="31" t="n">
        <x:v>46173</x:v>
      </x:c>
      <x:c r="AQ4" s="31" t="n">
        <x:v>46203</x:v>
      </x:c>
    </x:row>
    <x:row r="5">
      <x:c r="A5" s="32" t="str">
        <x:v>INTEREST-EARNING ASSETS</x:v>
      </x:c>
      <x:c r="B5" s="32"/>
      <x:c r="C5" s="32"/>
      <x:c r="D5" s="32"/>
      <x:c r="E5" s="32"/>
      <x:c r="F5" s="32"/>
      <x:c r="G5" s="32"/>
      <x:c r="H5" s="32"/>
      <x:c r="I5" s="32"/>
      <x:c r="J5" s="32"/>
      <x:c r="K5" s="32"/>
      <x:c r="L5" s="32"/>
      <x:c r="M5" s="32"/>
      <x:c r="N5" s="32"/>
      <x:c r="O5" s="32"/>
      <x:c r="P5" s="32"/>
      <x:c r="Q5" s="32"/>
      <x:c r="R5" s="32"/>
      <x:c r="S5" s="32"/>
      <x:c r="T5" s="32"/>
      <x:c r="U5" s="32"/>
      <x:c r="V5" s="32"/>
      <x:c r="W5" s="32"/>
      <x:c r="X5" s="32"/>
      <x:c r="Y5" s="32"/>
      <x:c r="Z5" s="32"/>
      <x:c r="AA5" s="32"/>
      <x:c r="AB5" s="32"/>
      <x:c r="AC5" s="32"/>
      <x:c r="AD5" s="32"/>
      <x:c r="AE5" s="32"/>
      <x:c r="AF5" s="32"/>
      <x:c r="AG5" s="32"/>
      <x:c r="AH5" s="32"/>
      <x:c r="AI5" s="32"/>
      <x:c r="AJ5" s="32"/>
      <x:c r="AK5" s="32"/>
      <x:c r="AL5" s="32"/>
      <x:c r="AM5" s="32"/>
      <x:c r="AN5" s="32"/>
      <x:c r="AO5" s="32"/>
      <x:c r="AP5" s="32"/>
      <x:c r="AQ5" s="32"/>
    </x:row>
    <x:row r="6">
      <x:c r="A6" s="20" t="str">
        <x:v>  Credit card</x:v>
      </x:c>
      <x:c r="B6" s="38" t="n">
        <x:f>AVERAGE('Monthly EOP Balance'!B6,'Monthly EOP Balance'!C6)</x:f>
        <x:v>134669</x:v>
      </x:c>
      <x:c r="C6" s="38" t="n">
        <x:f>AVERAGE('Monthly EOP Balance'!C6,'Monthly EOP Balance'!D6)</x:f>
        <x:v>134669</x:v>
      </x:c>
      <x:c r="D6" s="38" t="n">
        <x:f>AVERAGE('Monthly EOP Balance'!D6,'Monthly EOP Balance'!E6)</x:f>
        <x:v>134669</x:v>
      </x:c>
      <x:c r="E6" s="38" t="n">
        <x:f>AVERAGE('Monthly EOP Balance'!E6,'Monthly EOP Balance'!F6)</x:f>
        <x:v>136033.3333333333</x:v>
      </x:c>
      <x:c r="F6" s="38" t="n">
        <x:f>AVERAGE('Monthly EOP Balance'!F6,'Monthly EOP Balance'!G6)</x:f>
        <x:v>138762</x:v>
      </x:c>
      <x:c r="G6" s="38" t="n">
        <x:f>AVERAGE('Monthly EOP Balance'!G6,'Monthly EOP Balance'!H6)</x:f>
        <x:v>141490.6666666667</x:v>
      </x:c>
      <x:c r="H6" s="38" t="n">
        <x:f>AVERAGE('Monthly EOP Balance'!H6,'Monthly EOP Balance'!I6)</x:f>
        <x:v>143254.3333333333</x:v>
      </x:c>
      <x:c r="I6" s="38" t="n">
        <x:f>AVERAGE('Monthly EOP Balance'!I6,'Monthly EOP Balance'!J6)</x:f>
        <x:v>144053</x:v>
      </x:c>
      <x:c r="J6" s="38" t="n">
        <x:f>AVERAGE('Monthly EOP Balance'!J6,'Monthly EOP Balance'!K6)</x:f>
        <x:v>144851.6666666667</x:v>
      </x:c>
      <x:c r="K6" s="38" t="n">
        <x:f>AVERAGE('Monthly EOP Balance'!K6,'Monthly EOP Balance'!L6)</x:f>
        <x:v>147236.3440409698</x:v>
      </x:c>
      <x:c r="L6" s="38" t="n">
        <x:f>AVERAGE('Monthly EOP Balance'!L6,'Monthly EOP Balance'!M6)</x:f>
        <x:v>150159.51606145472</x:v>
      </x:c>
      <x:c r="M6" s="38" t="n">
        <x:f>AVERAGE('Monthly EOP Balance'!M6,'Monthly EOP Balance'!N6)</x:f>
        <x:v>150987.6559590302</x:v>
      </x:c>
      <x:c r="N6" s="38" t="n">
        <x:f>AVERAGE('Monthly EOP Balance'!N6,'Monthly EOP Balance'!O6)</x:f>
        <x:v>150390.14860445017</x:v>
      </x:c>
      <x:c r="O6" s="38" t="n">
        <x:f>AVERAGE('Monthly EOP Balance'!O6,'Monthly EOP Balance'!P6)</x:f>
        <x:v>149731.7550295847</x:v>
      </x:c>
      <x:c r="P6" s="38" t="n">
        <x:f>AVERAGE('Monthly EOP Balance'!P6,'Monthly EOP Balance'!Q6)</x:f>
        <x:v>149707.85139554983</x:v>
      </x:c>
      <x:c r="Q6" s="38" t="n">
        <x:f>AVERAGE('Monthly EOP Balance'!Q6,'Monthly EOP Balance'!R6)</x:f>
        <x:v>150152.57892314848</x:v>
      </x:c>
      <x:c r="R6" s="38" t="n">
        <x:f>AVERAGE('Monthly EOP Balance'!R6,'Monthly EOP Balance'!S6)</x:f>
        <x:v>150807.34632098267</x:v>
      </x:c>
      <x:c r="S6" s="38" t="n">
        <x:f>AVERAGE('Monthly EOP Balance'!S6,'Monthly EOP Balance'!T6)</x:f>
        <x:v>151579.42107685152</x:v>
      </x:c>
      <x:c r="T6" s="38" t="n">
        <x:f>AVERAGE('Monthly EOP Balance'!T6,'Monthly EOP Balance'!U6)</x:f>
        <x:v>153191.9011395459</x:v>
      </x:c>
      <x:c r="U6" s="38" t="n">
        <x:f>AVERAGE('Monthly EOP Balance'!U6,'Monthly EOP Balance'!V6)</x:f>
        <x:v>154873.06641502422</x:v>
      </x:c>
      <x:c r="V6" s="38" t="n">
        <x:f>AVERAGE('Monthly EOP Balance'!V6,'Monthly EOP Balance'!W6)</x:f>
        <x:v>155128.0988604541</x:v>
      </x:c>
      <x:c r="W6" s="38" t="n">
        <x:f>AVERAGE('Monthly EOP Balance'!W6,'Monthly EOP Balance'!X6)</x:f>
        <x:v>155642.52992379395</x:v>
      </x:c>
      <x:c r="X6" s="38" t="n">
        <x:f>AVERAGE('Monthly EOP Balance'!X6,'Monthly EOP Balance'!Y6)</x:f>
        <x:v>157244.713010034</x:v>
      </x:c>
      <x:c r="Y6" s="38" t="n">
        <x:f>AVERAGE('Monthly EOP Balance'!Y6,'Monthly EOP Balance'!Z6)</x:f>
        <x:v>159077.47007620605</x:v>
      </x:c>
      <x:c r="Z6" s="38" t="n">
        <x:f>AVERAGE('Monthly EOP Balance'!Z6,'Monthly EOP Balance'!AA6)</x:f>
        <x:v>157489.0770714117</x:v>
      </x:c>
      <x:c r="AA6" s="38" t="n">
        <x:f>AVERAGE('Monthly EOP Balance'!AA6,'Monthly EOP Balance'!AB6)</x:f>
        <x:v>154386.12350284244</x:v>
      </x:c>
      <x:c r="AB6" s="38" t="n">
        <x:f>AVERAGE('Monthly EOP Balance'!AB6,'Monthly EOP Balance'!AC6)</x:f>
        <x:v>155326.9229285883</x:v>
      </x:c>
      <x:c r="AC6" s="38" t="n">
        <x:f>AVERAGE('Monthly EOP Balance'!AC6,'Monthly EOP Balance'!AD6)</x:f>
        <x:v>180845.28967624748</x:v>
      </x:c>
      <x:c r="AD6" s="38" t="n">
        <x:f>AVERAGE('Monthly EOP Balance'!AD6,'Monthly EOP Balance'!AE6)</x:f>
        <x:v>219306.1736243312</x:v>
      </x:c>
      <x:c r="AE6" s="38" t="n">
        <x:f>AVERAGE('Monthly EOP Balance'!AE6,'Monthly EOP Balance'!AF6)</x:f>
        <x:v>238540.71032375252</x:v>
      </x:c>
      <x:c r="AF6" s="38" t="n">
        <x:f>AVERAGE('Monthly EOP Balance'!AF6,'Monthly EOP Balance'!AG6)</x:f>
        <x:v>259999.69447524683</x:v>
      </x:c>
      <x:c r="AG6" s="38" t="n">
        <x:f>AVERAGE('Monthly EOP Balance'!AG6,'Monthly EOP Balance'!AH6)</x:f>
        <x:v>281235.6498515727</x:v>
      </x:c>
      <x:c r="AH6" s="38" t="n">
        <x:f>AVERAGE('Monthly EOP Balance'!AH6,'Monthly EOP Balance'!AI6)</x:f>
        <x:v>278350.3055247532</x:v>
      </x:c>
      <x:c r="AI6" s="38" t="n">
        <x:f>AVERAGE('Monthly EOP Balance'!AI6,'Monthly EOP Balance'!AJ6)</x:f>
        <x:v>270531.4674377027</x:v>
      </x:c>
      <x:c r="AJ6" s="38" t="n">
        <x:f>AVERAGE('Monthly EOP Balance'!AJ6,'Monthly EOP Balance'!AK6)</x:f>
        <x:v>271279.892720997</x:v>
      </x:c>
      <x:c r="AK6" s="38" t="n">
        <x:f>AVERAGE('Monthly EOP Balance'!AK6,'Monthly EOP Balance'!AL6)</x:f>
        <x:v>274908.5325622973</x:v>
      </x:c>
      <x:c r="AL6" s="38" t="n">
        <x:f>AVERAGE('Monthly EOP Balance'!AL6,'Monthly EOP Balance'!AM6)</x:f>
        <x:v>272925.9511357411</x:v>
      </x:c>
      <x:c r="AM6" s="38" t="n">
        <x:f>AVERAGE('Monthly EOP Balance'!AM6,'Monthly EOP Balance'!AN6)</x:f>
        <x:v>267433.5205811626</x:v>
      </x:c>
      <x:c r="AN6" s="38" t="n">
        <x:f>AVERAGE('Monthly EOP Balance'!AN6,'Monthly EOP Balance'!AO6)</x:f>
        <x:v>269024.0488642589</x:v>
      </x:c>
      <x:c r="AO6" s="38" t="n">
        <x:f>AVERAGE('Monthly EOP Balance'!AO6,'Monthly EOP Balance'!AP6)</x:f>
        <x:v>270063.64822147513</x:v>
      </x:c>
      <x:c r="AP6" s="38" t="n">
        <x:f>AVERAGE('Monthly EOP Balance'!AP6,'Monthly EOP Balance'!AQ6)</x:f>
        <x:v>269103.9196169869</x:v>
      </x:c>
      <x:c r="AQ6" s="38" t="n">
        <x:f>AVERAGE('Monthly EOP Balance'!AQ6,'Monthly EOP Balance'!AR6)</x:f>
        <x:v>272330.35177852487</x:v>
      </x:c>
    </x:row>
    <x:row r="7">
      <x:c r="A7" s="20" t="str">
        <x:v>  Consumer banking</x:v>
      </x:c>
      <x:c r="B7" s="38" t="n">
        <x:f>AVERAGE('Monthly EOP Balance'!B7,'Monthly EOP Balance'!C7)</x:f>
        <x:v>79000</x:v>
      </x:c>
      <x:c r="C7" s="38" t="n">
        <x:f>AVERAGE('Monthly EOP Balance'!C7,'Monthly EOP Balance'!D7)</x:f>
        <x:v>79000</x:v>
      </x:c>
      <x:c r="D7" s="38" t="n">
        <x:f>AVERAGE('Monthly EOP Balance'!D7,'Monthly EOP Balance'!E7)</x:f>
        <x:v>79000</x:v>
      </x:c>
      <x:c r="E7" s="38" t="n">
        <x:f>AVERAGE('Monthly EOP Balance'!E7,'Monthly EOP Balance'!F7)</x:f>
        <x:v>78566.33333333334</x:v>
      </x:c>
      <x:c r="F7" s="38" t="n">
        <x:f>AVERAGE('Monthly EOP Balance'!F7,'Monthly EOP Balance'!G7)</x:f>
        <x:v>77699</x:v>
      </x:c>
      <x:c r="G7" s="38" t="n">
        <x:f>AVERAGE('Monthly EOP Balance'!G7,'Monthly EOP Balance'!H7)</x:f>
        <x:v>76831.66666666666</x:v>
      </x:c>
      <x:c r="H7" s="38" t="n">
        <x:f>AVERAGE('Monthly EOP Balance'!H7,'Monthly EOP Balance'!I7)</x:f>
        <x:v>76650</x:v>
      </x:c>
      <x:c r="I7" s="38" t="n">
        <x:f>AVERAGE('Monthly EOP Balance'!I7,'Monthly EOP Balance'!J7)</x:f>
        <x:v>77154</x:v>
      </x:c>
      <x:c r="J7" s="38" t="n">
        <x:f>AVERAGE('Monthly EOP Balance'!J7,'Monthly EOP Balance'!K7)</x:f>
        <x:v>77658</x:v>
      </x:c>
      <x:c r="K7" s="38" t="n">
        <x:f>AVERAGE('Monthly EOP Balance'!K7,'Monthly EOP Balance'!L7)</x:f>
        <x:v>76485.08718398842</x:v>
      </x:c>
      <x:c r="L7" s="38" t="n">
        <x:f>AVERAGE('Monthly EOP Balance'!L7,'Monthly EOP Balance'!M7)</x:f>
        <x:v>74929.63077598264</x:v>
      </x:c>
      <x:c r="M7" s="38" t="n">
        <x:f>AVERAGE('Monthly EOP Balance'!M7,'Monthly EOP Balance'!N7)</x:f>
        <x:v>75962.91281601158</x:v>
      </x:c>
      <x:c r="N7" s="38" t="n">
        <x:f>AVERAGE('Monthly EOP Balance'!N7,'Monthly EOP Balance'!O7)</x:f>
        <x:v>75802.02120218697</x:v>
      </x:c>
      <x:c r="O7" s="38" t="n">
        <x:f>AVERAGE('Monthly EOP Balance'!O7,'Monthly EOP Balance'!P7)</x:f>
        <x:v>74121.79335524574</x:v>
      </x:c>
      <x:c r="P7" s="38" t="n">
        <x:f>AVERAGE('Monthly EOP Balance'!P7,'Monthly EOP Balance'!Q7)</x:f>
        <x:v>74379.97879781303</x:v>
      </x:c>
      <x:c r="Q7" s="38" t="n">
        <x:f>AVERAGE('Monthly EOP Balance'!Q7,'Monthly EOP Balance'!R7)</x:f>
        <x:v>75067.21128338635</x:v>
      </x:c>
      <x:c r="R7" s="38" t="n">
        <x:f>AVERAGE('Monthly EOP Balance'!R7,'Monthly EOP Balance'!S7)</x:f>
        <x:v>75300.14208360572</x:v>
      </x:c>
      <x:c r="S7" s="38" t="n">
        <x:f>AVERAGE('Monthly EOP Balance'!S7,'Monthly EOP Balance'!T7)</x:f>
        <x:v>75704.78871661365</x:v>
      </x:c>
      <x:c r="T7" s="38" t="n">
        <x:f>AVERAGE('Monthly EOP Balance'!T7,'Monthly EOP Balance'!U7)</x:f>
        <x:v>75982.93509723619</x:v>
      </x:c>
      <x:c r="U7" s="38" t="n">
        <x:f>AVERAGE('Monthly EOP Balance'!U7,'Monthly EOP Balance'!V7)</x:f>
        <x:v>76115.3616545395</x:v>
      </x:c>
      <x:c r="V7" s="38" t="n">
        <x:f>AVERAGE('Monthly EOP Balance'!V7,'Monthly EOP Balance'!W7)</x:f>
        <x:v>76381.06490276381</x:v>
      </x:c>
      <x:c r="W7" s="38" t="n">
        <x:f>AVERAGE('Monthly EOP Balance'!W7,'Monthly EOP Balance'!X7)</x:f>
        <x:v>76562.75780161153</x:v>
      </x:c>
      <x:c r="X7" s="38" t="n">
        <x:f>AVERAGE('Monthly EOP Balance'!X7,'Monthly EOP Balance'!Y7)</x:f>
        <x:v>76912.40100281106</x:v>
      </x:c>
      <x:c r="Y7" s="38" t="n">
        <x:f>AVERAGE('Monthly EOP Balance'!Y7,'Monthly EOP Balance'!Z7)</x:f>
        <x:v>77899.24219838847</x:v>
      </x:c>
      <x:c r="Z7" s="38" t="n">
        <x:f>AVERAGE('Monthly EOP Balance'!Z7,'Monthly EOP Balance'!AA7)</x:f>
        <x:v>78437.0418477109</x:v>
      </x:c>
      <x:c r="AA7" s="38" t="n">
        <x:f>AVERAGE('Monthly EOP Balance'!AA7,'Monthly EOP Balance'!AB7)</x:f>
        <x:v>78343.6004767947</x:v>
      </x:c>
      <x:c r="AB7" s="38" t="n">
        <x:f>AVERAGE('Monthly EOP Balance'!AB7,'Monthly EOP Balance'!AC7)</x:f>
        <x:v>78522.9581522891</x:v>
      </x:c>
      <x:c r="AC7" s="38" t="n">
        <x:f>AVERAGE('Monthly EOP Balance'!AC7,'Monthly EOP Balance'!AD7)</x:f>
        <x:v>75338.19039394223</x:v>
      </x:c>
      <x:c r="AD7" s="38" t="n">
        <x:f>AVERAGE('Monthly EOP Balance'!AD7,'Monthly EOP Balance'!AE7)</x:f>
        <x:v>74373.94883927444</x:v>
      </x:c>
      <x:c r="AE7" s="38" t="n">
        <x:f>AVERAGE('Monthly EOP Balance'!AE7,'Monthly EOP Balance'!AF7)</x:f>
        <x:v>84851.80960605777</x:v>
      </x:c>
      <x:c r="AF7" s="38" t="n">
        <x:f>AVERAGE('Monthly EOP Balance'!AF7,'Monthly EOP Balance'!AG7)</x:f>
        <x:v>85673.6060023529</x:v>
      </x:c>
      <x:c r="AG7" s="38" t="n">
        <x:f>AVERAGE('Monthly EOP Balance'!AG7,'Monthly EOP Balance'!AH7)</x:f>
        <x:v>76706.64343371717</x:v>
      </x:c>
      <x:c r="AH7" s="38" t="n">
        <x:f>AVERAGE('Monthly EOP Balance'!AH7,'Monthly EOP Balance'!AI7)</x:f>
        <x:v>78916.3939976471</x:v>
      </x:c>
      <x:c r="AI7" s="38" t="n">
        <x:f>AVERAGE('Monthly EOP Balance'!AI7,'Monthly EOP Balance'!AJ7)</x:f>
        <x:v>83112.32049953785</x:v>
      </x:c>
      <x:c r="AJ7" s="38" t="n">
        <x:f>AVERAGE('Monthly EOP Balance'!AJ7,'Monthly EOP Balance'!AK7)</x:f>
        <x:v>83847.03318655328</x:v>
      </x:c>
      <x:c r="AK7" s="38" t="n">
        <x:f>AVERAGE('Monthly EOP Balance'!AK7,'Monthly EOP Balance'!AL7)</x:f>
        <x:v>84863.67950046215</x:v>
      </x:c>
      <x:c r="AL7" s="38" t="n">
        <x:f>AVERAGE('Monthly EOP Balance'!AL7,'Monthly EOP Balance'!AM7)</x:f>
        <x:v>85549.98797980472</x:v>
      </x:c>
      <x:c r="AM7" s="38" t="n">
        <x:f>AVERAGE('Monthly EOP Balance'!AM7,'Monthly EOP Balance'!AN7)</x:f>
        <x:v>85732.99590556714</x:v>
      </x:c>
      <x:c r="AN7" s="38" t="n">
        <x:f>AVERAGE('Monthly EOP Balance'!AN7,'Monthly EOP Balance'!AO7)</x:f>
        <x:v>85852.01202019528</x:v>
      </x:c>
      <x:c r="AO7" s="38" t="n">
        <x:f>AVERAGE('Monthly EOP Balance'!AO7,'Monthly EOP Balance'!AP7)</x:f>
        <x:v>87274.18411117527</x:v>
      </x:c>
      <x:c r="AP7" s="38" t="n">
        <x:f>AVERAGE('Monthly EOP Balance'!AP7,'Monthly EOP Balance'!AQ7)</x:f>
        <x:v>89307.25404203712</x:v>
      </x:c>
      <x:c r="AQ7" s="38" t="n">
        <x:f>AVERAGE('Monthly EOP Balance'!AQ7,'Monthly EOP Balance'!AR7)</x:f>
        <x:v>89891.81588882473</x:v>
      </x:c>
    </x:row>
    <x:row r="8">
      <x:c r="A8" s="20" t="str">
        <x:v>  Commercial banking</x:v>
      </x:c>
      <x:c r="B8" s="38" t="n">
        <x:f>AVERAGE('Monthly EOP Balance'!B8,'Monthly EOP Balance'!C8)</x:f>
        <x:v>94446</x:v>
      </x:c>
      <x:c r="C8" s="38" t="n">
        <x:f>AVERAGE('Monthly EOP Balance'!C8,'Monthly EOP Balance'!D8)</x:f>
        <x:v>94446</x:v>
      </x:c>
      <x:c r="D8" s="38" t="n">
        <x:f>AVERAGE('Monthly EOP Balance'!D8,'Monthly EOP Balance'!E8)</x:f>
        <x:v>94446</x:v>
      </x:c>
      <x:c r="E8" s="38" t="n">
        <x:f>AVERAGE('Monthly EOP Balance'!E8,'Monthly EOP Balance'!F8)</x:f>
        <x:v>94255.33333333334</x:v>
      </x:c>
      <x:c r="F8" s="38" t="n">
        <x:f>AVERAGE('Monthly EOP Balance'!F8,'Monthly EOP Balance'!G8)</x:f>
        <x:v>93874</x:v>
      </x:c>
      <x:c r="G8" s="38" t="n">
        <x:f>AVERAGE('Monthly EOP Balance'!G8,'Monthly EOP Balance'!H8)</x:f>
        <x:v>93492.66666666666</x:v>
      </x:c>
      <x:c r="H8" s="38" t="n">
        <x:f>AVERAGE('Monthly EOP Balance'!H8,'Monthly EOP Balance'!I8)</x:f>
        <x:v>92952.66666666666</x:v>
      </x:c>
      <x:c r="I8" s="38" t="n">
        <x:f>AVERAGE('Monthly EOP Balance'!I8,'Monthly EOP Balance'!J8)</x:f>
        <x:v>92254</x:v>
      </x:c>
      <x:c r="J8" s="38" t="n">
        <x:f>AVERAGE('Monthly EOP Balance'!J8,'Monthly EOP Balance'!K8)</x:f>
        <x:v>91555.33333333334</x:v>
      </x:c>
      <x:c r="K8" s="38" t="n">
        <x:f>AVERAGE('Monthly EOP Balance'!K8,'Monthly EOP Balance'!L8)</x:f>
        <x:v>90964.56877504176</x:v>
      </x:c>
      <x:c r="L8" s="38" t="n">
        <x:f>AVERAGE('Monthly EOP Balance'!L8,'Monthly EOP Balance'!M8)</x:f>
        <x:v>90933.35316256263</x:v>
      </x:c>
      <x:c r="M8" s="38" t="n">
        <x:f>AVERAGE('Monthly EOP Balance'!M8,'Monthly EOP Balance'!N8)</x:f>
        <x:v>91805.43122495824</x:v>
      </x:c>
      <x:c r="N8" s="38" t="n">
        <x:f>AVERAGE('Monthly EOP Balance'!N8,'Monthly EOP Balance'!O8)</x:f>
        <x:v>91143.49686002953</x:v>
      </x:c>
      <x:c r="O8" s="38" t="n">
        <x:f>AVERAGE('Monthly EOP Balance'!O8,'Monthly EOP Balance'!P8)</x:f>
        <x:v>89459.45161516956</x:v>
      </x:c>
      <x:c r="P8" s="38" t="n">
        <x:f>AVERAGE('Monthly EOP Balance'!P8,'Monthly EOP Balance'!Q8)</x:f>
        <x:v>89702.50313997047</x:v>
      </x:c>
      <x:c r="Q8" s="38" t="n">
        <x:f>AVERAGE('Monthly EOP Balance'!Q8,'Monthly EOP Balance'!R8)</x:f>
        <x:v>89592.5431267985</x:v>
      </x:c>
      <x:c r="R8" s="38" t="n">
        <x:f>AVERAGE('Monthly EOP Balance'!R8,'Monthly EOP Balance'!S8)</x:f>
        <x:v>88868.5115954116</x:v>
      </x:c>
      <x:c r="S8" s="38" t="n">
        <x:f>AVERAGE('Monthly EOP Balance'!S8,'Monthly EOP Balance'!T8)</x:f>
        <x:v>89549.4568732015</x:v>
      </x:c>
      <x:c r="T8" s="38" t="n">
        <x:f>AVERAGE('Monthly EOP Balance'!T8,'Monthly EOP Balance'!U8)</x:f>
        <x:v>88854.49709655126</x:v>
      </x:c>
      <x:c r="U8" s="38" t="n">
        <x:f>AVERAGE('Monthly EOP Balance'!U8,'Monthly EOP Balance'!V8)</x:f>
        <x:v>87227.07193043626</x:v>
      </x:c>
      <x:c r="V8" s="38" t="n">
        <x:f>AVERAGE('Monthly EOP Balance'!V8,'Monthly EOP Balance'!W8)</x:f>
        <x:v>87891.50290344874</x:v>
      </x:c>
      <x:c r="W8" s="38" t="n">
        <x:f>AVERAGE('Monthly EOP Balance'!W8,'Monthly EOP Balance'!X8)</x:f>
        <x:v>87547.04560792787</x:v>
      </x:c>
      <x:c r="X8" s="38" t="n">
        <x:f>AVERAGE('Monthly EOP Balance'!X8,'Monthly EOP Balance'!Y8)</x:f>
        <x:v>86359.88598715495</x:v>
      </x:c>
      <x:c r="Y8" s="38" t="n">
        <x:f>AVERAGE('Monthly EOP Balance'!Y8,'Monthly EOP Balance'!Z8)</x:f>
        <x:v>87796.95439207213</x:v>
      </x:c>
      <x:c r="Z8" s="38" t="n">
        <x:f>AVERAGE('Monthly EOP Balance'!Z8,'Monthly EOP Balance'!AA8)</x:f>
        <x:v>88238.21441421073</x:v>
      </x:c>
      <x:c r="AA8" s="38" t="n">
        <x:f>AVERAGE('Monthly EOP Balance'!AA8,'Monthly EOP Balance'!AB8)</x:f>
        <x:v>87127.77602036284</x:v>
      </x:c>
      <x:c r="AB8" s="38" t="n">
        <x:f>AVERAGE('Monthly EOP Balance'!AB8,'Monthly EOP Balance'!AC8)</x:f>
        <x:v>87529.78558578927</x:v>
      </x:c>
      <x:c r="AC8" s="38" t="n">
        <x:f>AVERAGE('Monthly EOP Balance'!AC8,'Monthly EOP Balance'!AD8)</x:f>
        <x:v>83787.18659647694</x:v>
      </x:c>
      <x:c r="AD8" s="38" t="n">
        <x:f>AVERAGE('Monthly EOP Balance'!AD8,'Monthly EOP Balance'!AE8)</x:f>
        <x:v>81946.37753639437</x:v>
      </x:c>
      <x:c r="AE8" s="38" t="n">
        <x:f>AVERAGE('Monthly EOP Balance'!AE8,'Monthly EOP Balance'!AF8)</x:f>
        <x:v>93710.81340352306</x:v>
      </x:c>
      <x:c r="AF8" s="38" t="n">
        <x:f>AVERAGE('Monthly EOP Balance'!AF8,'Monthly EOP Balance'!AG8)</x:f>
        <x:v>93413.36618906692</x:v>
      </x:c>
      <x:c r="AG8" s="38" t="n">
        <x:f>AVERAGE('Monthly EOP Balance'!AG8,'Monthly EOP Balance'!AH8)</x:f>
        <x:v>81577.70671471016</x:v>
      </x:c>
      <x:c r="AH8" s="38" t="n">
        <x:f>AVERAGE('Monthly EOP Balance'!AH8,'Monthly EOP Balance'!AI8)</x:f>
        <x:v>84394.63381093308</x:v>
      </x:c>
      <x:c r="AI8" s="38" t="n">
        <x:f>AVERAGE('Monthly EOP Balance'!AI8,'Monthly EOP Balance'!AJ8)</x:f>
        <x:v>88768.5453960928</x:v>
      </x:c>
      <x:c r="AJ8" s="38" t="n">
        <x:f>AVERAGE('Monthly EOP Balance'!AJ8,'Monthly EOP Balance'!AK8)</x:f>
        <x:v>88282.57409244974</x:v>
      </x:c>
      <x:c r="AK8" s="38" t="n">
        <x:f>AVERAGE('Monthly EOP Balance'!AK8,'Monthly EOP Balance'!AL8)</x:f>
        <x:v>89615.4546039072</x:v>
      </x:c>
      <x:c r="AL8" s="38" t="n">
        <x:f>AVERAGE('Monthly EOP Balance'!AL8,'Monthly EOP Balance'!AM8)</x:f>
        <x:v>90220.06088445423</x:v>
      </x:c>
      <x:c r="AM8" s="38" t="n">
        <x:f>AVERAGE('Monthly EOP Balance'!AM8,'Monthly EOP Balance'!AN8)</x:f>
        <x:v>89625.48351327029</x:v>
      </x:c>
      <x:c r="AN8" s="38" t="n">
        <x:f>AVERAGE('Monthly EOP Balance'!AN8,'Monthly EOP Balance'!AO8)</x:f>
        <x:v>89907.93911554577</x:v>
      </x:c>
      <x:c r="AO8" s="38" t="n">
        <x:f>AVERAGE('Monthly EOP Balance'!AO8,'Monthly EOP Balance'!AP8)</x:f>
        <x:v>90386.1676673496</x:v>
      </x:c>
      <x:c r="AP8" s="38" t="n">
        <x:f>AVERAGE('Monthly EOP Balance'!AP8,'Monthly EOP Balance'!AQ8)</x:f>
        <x:v>90851.82634097604</x:v>
      </x:c>
      <x:c r="AQ8" s="38" t="n">
        <x:f>AVERAGE('Monthly EOP Balance'!AQ8,'Monthly EOP Balance'!AR8)</x:f>
        <x:v>91777.8323326504</x:v>
      </x:c>
    </x:row>
    <x:row r="9">
      <x:c r="A9" s="26" t="str">
        <x:v>  Total loans (incl. HFS)</x:v>
      </x:c>
      <x:c r="B9" s="35" t="n">
        <x:f>AVERAGE('Monthly EOP Balance'!B9,'Monthly EOP Balance'!C9)</x:f>
        <x:v>308115</x:v>
      </x:c>
      <x:c r="C9" s="35" t="n">
        <x:f>AVERAGE('Monthly EOP Balance'!C9,'Monthly EOP Balance'!D9)</x:f>
        <x:v>308115</x:v>
      </x:c>
      <x:c r="D9" s="35" t="n">
        <x:f>AVERAGE('Monthly EOP Balance'!D9,'Monthly EOP Balance'!E9)</x:f>
        <x:v>308115</x:v>
      </x:c>
      <x:c r="E9" s="35" t="n">
        <x:f>AVERAGE('Monthly EOP Balance'!E9,'Monthly EOP Balance'!F9)</x:f>
        <x:v>308855</x:v>
      </x:c>
      <x:c r="F9" s="35" t="n">
        <x:f>AVERAGE('Monthly EOP Balance'!F9,'Monthly EOP Balance'!G9)</x:f>
        <x:v>310335</x:v>
      </x:c>
      <x:c r="G9" s="35" t="n">
        <x:f>AVERAGE('Monthly EOP Balance'!G9,'Monthly EOP Balance'!H9)</x:f>
        <x:v>311815</x:v>
      </x:c>
      <x:c r="H9" s="35" t="n">
        <x:f>AVERAGE('Monthly EOP Balance'!H9,'Monthly EOP Balance'!I9)</x:f>
        <x:v>312857</x:v>
      </x:c>
      <x:c r="I9" s="35" t="n">
        <x:f>AVERAGE('Monthly EOP Balance'!I9,'Monthly EOP Balance'!J9)</x:f>
        <x:v>313461</x:v>
      </x:c>
      <x:c r="J9" s="35" t="n">
        <x:f>AVERAGE('Monthly EOP Balance'!J9,'Monthly EOP Balance'!K9)</x:f>
        <x:v>314065</x:v>
      </x:c>
      <x:c r="K9" s="35" t="n">
        <x:f>AVERAGE('Monthly EOP Balance'!K9,'Monthly EOP Balance'!L9)</x:f>
        <x:v>314686</x:v>
      </x:c>
      <x:c r="L9" s="35" t="n">
        <x:f>AVERAGE('Monthly EOP Balance'!L9,'Monthly EOP Balance'!M9)</x:f>
        <x:v>316022.5</x:v>
      </x:c>
      <x:c r="M9" s="35" t="n">
        <x:f>AVERAGE('Monthly EOP Balance'!M9,'Monthly EOP Balance'!N9)</x:f>
        <x:v>318756</x:v>
      </x:c>
      <x:c r="N9" s="35" t="n">
        <x:f>AVERAGE('Monthly EOP Balance'!N9,'Monthly EOP Balance'!O9)</x:f>
        <x:v>317335.6666666667</x:v>
      </x:c>
      <x:c r="O9" s="35" t="n">
        <x:f>AVERAGE('Monthly EOP Balance'!O9,'Monthly EOP Balance'!P9)</x:f>
        <x:v>313313</x:v>
      </x:c>
      <x:c r="P9" s="35" t="n">
        <x:f>AVERAGE('Monthly EOP Balance'!P9,'Monthly EOP Balance'!Q9)</x:f>
        <x:v>313790.3333333333</x:v>
      </x:c>
      <x:c r="Q9" s="35" t="n">
        <x:f>AVERAGE('Monthly EOP Balance'!Q9,'Monthly EOP Balance'!R9)</x:f>
        <x:v>314812.3333333334</x:v>
      </x:c>
      <x:c r="R9" s="35" t="n">
        <x:f>AVERAGE('Monthly EOP Balance'!R9,'Monthly EOP Balance'!S9)</x:f>
        <x:v>314976</x:v>
      </x:c>
      <x:c r="S9" s="35" t="n">
        <x:f>AVERAGE('Monthly EOP Balance'!S9,'Monthly EOP Balance'!T9)</x:f>
        <x:v>316833.6666666666</x:v>
      </x:c>
      <x:c r="T9" s="35" t="n">
        <x:f>AVERAGE('Monthly EOP Balance'!T9,'Monthly EOP Balance'!U9)</x:f>
        <x:v>318029.3333333333</x:v>
      </x:c>
      <x:c r="U9" s="35" t="n">
        <x:f>AVERAGE('Monthly EOP Balance'!U9,'Monthly EOP Balance'!V9)</x:f>
        <x:v>318215.5</x:v>
      </x:c>
      <x:c r="V9" s="35" t="n">
        <x:f>AVERAGE('Monthly EOP Balance'!V9,'Monthly EOP Balance'!W9)</x:f>
        <x:v>319400.6666666667</x:v>
      </x:c>
      <x:c r="W9" s="35" t="n">
        <x:f>AVERAGE('Monthly EOP Balance'!W9,'Monthly EOP Balance'!X9)</x:f>
        <x:v>319752.3333333333</x:v>
      </x:c>
      <x:c r="X9" s="35" t="n">
        <x:f>AVERAGE('Monthly EOP Balance'!X9,'Monthly EOP Balance'!Y9)</x:f>
        <x:v>320517</x:v>
      </x:c>
      <x:c r="Y9" s="35" t="n">
        <x:f>AVERAGE('Monthly EOP Balance'!Y9,'Monthly EOP Balance'!Z9)</x:f>
        <x:v>324773.6666666667</x:v>
      </x:c>
      <x:c r="Z9" s="35" t="n">
        <x:f>AVERAGE('Monthly EOP Balance'!Z9,'Monthly EOP Balance'!AA9)</x:f>
        <x:v>324164.3333333333</x:v>
      </x:c>
      <x:c r="AA9" s="35" t="n">
        <x:f>AVERAGE('Monthly EOP Balance'!AA9,'Monthly EOP Balance'!AB9)</x:f>
        <x:v>319857.5</x:v>
      </x:c>
      <x:c r="AB9" s="35" t="n">
        <x:f>AVERAGE('Monthly EOP Balance'!AB9,'Monthly EOP Balance'!AC9)</x:f>
        <x:v>321379.6666666666</x:v>
      </x:c>
      <x:c r="AC9" s="35" t="n">
        <x:f>AVERAGE('Monthly EOP Balance'!AC9,'Monthly EOP Balance'!AD9)</x:f>
        <x:v>339970.6666666667</x:v>
      </x:c>
      <x:c r="AD9" s="35" t="n">
        <x:f>AVERAGE('Monthly EOP Balance'!AD9,'Monthly EOP Balance'!AE9)</x:f>
        <x:v>375626.5</x:v>
      </x:c>
      <x:c r="AE9" s="35" t="n">
        <x:f>AVERAGE('Monthly EOP Balance'!AE9,'Monthly EOP Balance'!AF9)</x:f>
        <x:v>417103.3333333334</x:v>
      </x:c>
      <x:c r="AF9" s="35" t="n">
        <x:f>AVERAGE('Monthly EOP Balance'!AF9,'Monthly EOP Balance'!AG9)</x:f>
        <x:v>439086.6666666667</x:v>
      </x:c>
      <x:c r="AG9" s="35" t="n">
        <x:f>AVERAGE('Monthly EOP Balance'!AG9,'Monthly EOP Balance'!AH9)</x:f>
        <x:v>439520</x:v>
      </x:c>
      <x:c r="AH9" s="35" t="n">
        <x:f>AVERAGE('Monthly EOP Balance'!AH9,'Monthly EOP Balance'!AI9)</x:f>
        <x:v>441661.3333333334</x:v>
      </x:c>
      <x:c r="AI9" s="35" t="n">
        <x:f>AVERAGE('Monthly EOP Balance'!AI9,'Monthly EOP Balance'!AJ9)</x:f>
        <x:v>442412.3333333334</x:v>
      </x:c>
      <x:c r="AJ9" s="35" t="n">
        <x:f>AVERAGE('Monthly EOP Balance'!AJ9,'Monthly EOP Balance'!AK9)</x:f>
        <x:v>443409.5</x:v>
      </x:c>
      <x:c r="AK9" s="35" t="n">
        <x:f>AVERAGE('Monthly EOP Balance'!AK9,'Monthly EOP Balance'!AL9)</x:f>
        <x:v>449387.6666666666</x:v>
      </x:c>
      <x:c r="AL9" s="35" t="n">
        <x:f>AVERAGE('Monthly EOP Balance'!AL9,'Monthly EOP Balance'!AM9)</x:f>
        <x:v>448696</x:v>
      </x:c>
      <x:c r="AM9" s="35" t="n">
        <x:f>AVERAGE('Monthly EOP Balance'!AM9,'Monthly EOP Balance'!AN9)</x:f>
        <x:v>442792</x:v>
      </x:c>
      <x:c r="AN9" s="35" t="n">
        <x:f>AVERAGE('Monthly EOP Balance'!AN9,'Monthly EOP Balance'!AO9)</x:f>
        <x:v>444784</x:v>
      </x:c>
      <x:c r="AO9" s="35" t="n">
        <x:f>AVERAGE('Monthly EOP Balance'!AO9,'Monthly EOP Balance'!AP9)</x:f>
        <x:v>447724</x:v>
      </x:c>
      <x:c r="AP9" s="35" t="n">
        <x:f>AVERAGE('Monthly EOP Balance'!AP9,'Monthly EOP Balance'!AQ9)</x:f>
        <x:v>449263</x:v>
      </x:c>
      <x:c r="AQ9" s="35" t="n">
        <x:f>AVERAGE('Monthly EOP Balance'!AQ9,'Monthly EOP Balance'!AR9)</x:f>
        <x:v>454000</x:v>
      </x:c>
    </x:row>
    <x:row r="10">
      <x:c r="A10" s="20" t="str">
        <x:v>  Investment securities</x:v>
      </x:c>
      <x:c r="B10" s="38" t="n">
        <x:f>AVERAGE('Monthly EOP Balance'!B10,'Monthly EOP Balance'!C10)</x:f>
        <x:v>89960</x:v>
      </x:c>
      <x:c r="C10" s="38" t="n">
        <x:f>AVERAGE('Monthly EOP Balance'!C10,'Monthly EOP Balance'!D10)</x:f>
        <x:v>89960</x:v>
      </x:c>
      <x:c r="D10" s="38" t="n">
        <x:f>AVERAGE('Monthly EOP Balance'!D10,'Monthly EOP Balance'!E10)</x:f>
        <x:v>89960</x:v>
      </x:c>
      <x:c r="E10" s="38" t="n">
        <x:f>AVERAGE('Monthly EOP Balance'!E10,'Monthly EOP Balance'!F10)</x:f>
        <x:v>89971.33333333334</x:v>
      </x:c>
      <x:c r="F10" s="38" t="n">
        <x:f>AVERAGE('Monthly EOP Balance'!F10,'Monthly EOP Balance'!G10)</x:f>
        <x:v>89994</x:v>
      </x:c>
      <x:c r="G10" s="38" t="n">
        <x:f>AVERAGE('Monthly EOP Balance'!G10,'Monthly EOP Balance'!H10)</x:f>
        <x:v>90016.66666666666</x:v>
      </x:c>
      <x:c r="H10" s="38" t="n">
        <x:f>AVERAGE('Monthly EOP Balance'!H10,'Monthly EOP Balance'!I10)</x:f>
        <x:v>89300.33333333334</x:v>
      </x:c>
      <x:c r="I10" s="38" t="n">
        <x:f>AVERAGE('Monthly EOP Balance'!I10,'Monthly EOP Balance'!J10)</x:f>
        <x:v>87845</x:v>
      </x:c>
      <x:c r="J10" s="38" t="n">
        <x:f>AVERAGE('Monthly EOP Balance'!J10,'Monthly EOP Balance'!K10)</x:f>
        <x:v>86389.66666666666</x:v>
      </x:c>
      <x:c r="K10" s="38" t="n">
        <x:f>AVERAGE('Monthly EOP Balance'!K10,'Monthly EOP Balance'!L10)</x:f>
        <x:v>90824.66666666666</x:v>
      </x:c>
      <x:c r="L10" s="38" t="n">
        <x:f>AVERAGE('Monthly EOP Balance'!L10,'Monthly EOP Balance'!M10)</x:f>
        <x:v>94896.5</x:v>
      </x:c>
      <x:c r="M10" s="38" t="n">
        <x:f>AVERAGE('Monthly EOP Balance'!M10,'Monthly EOP Balance'!N10)</x:f>
        <x:v>86461.33333333334</x:v>
      </x:c>
      <x:c r="N10" s="38" t="n">
        <x:f>AVERAGE('Monthly EOP Balance'!N10,'Monthly EOP Balance'!O10)</x:f>
        <x:v>88820.66666666666</x:v>
      </x:c>
      <x:c r="O10" s="38" t="n">
        <x:f>AVERAGE('Monthly EOP Balance'!O10,'Monthly EOP Balance'!P10)</x:f>
        <x:v>98404.5</x:v>
      </x:c>
      <x:c r="P10" s="38" t="n">
        <x:f>AVERAGE('Monthly EOP Balance'!P10,'Monthly EOP Balance'!Q10)</x:f>
        <x:v>88341.33333333334</x:v>
      </x:c>
      <x:c r="Q10" s="38" t="n">
        <x:f>AVERAGE('Monthly EOP Balance'!Q10,'Monthly EOP Balance'!R10)</x:f>
        <x:v>89217</x:v>
      </x:c>
      <x:c r="R10" s="38" t="n">
        <x:f>AVERAGE('Monthly EOP Balance'!R10,'Monthly EOP Balance'!S10)</x:f>
        <x:v>100178</x:v>
      </x:c>
      <x:c r="S10" s="38" t="n">
        <x:f>AVERAGE('Monthly EOP Balance'!S10,'Monthly EOP Balance'!T10)</x:f>
        <x:v>89785</x:v>
      </x:c>
      <x:c r="T10" s="38" t="n">
        <x:f>AVERAGE('Monthly EOP Balance'!T10,'Monthly EOP Balance'!U10)</x:f>
        <x:v>89227.33333333334</x:v>
      </x:c>
      <x:c r="U10" s="38" t="n">
        <x:f>AVERAGE('Monthly EOP Balance'!U10,'Monthly EOP Balance'!V10)</x:f>
        <x:v>99913</x:v>
      </x:c>
      <x:c r="V10" s="38" t="n">
        <x:f>AVERAGE('Monthly EOP Balance'!V10,'Monthly EOP Balance'!W10)</x:f>
        <x:v>92060.66666666666</x:v>
      </x:c>
      <x:c r="W10" s="38" t="n">
        <x:f>AVERAGE('Monthly EOP Balance'!W10,'Monthly EOP Balance'!X10)</x:f>
        <x:v>92422.33333333334</x:v>
      </x:c>
      <x:c r="X10" s="38" t="n">
        <x:f>AVERAGE('Monthly EOP Balance'!X10,'Monthly EOP Balance'!Y10)</x:f>
        <x:v>101263.5</x:v>
      </x:c>
      <x:c r="Y10" s="38" t="n">
        <x:f>AVERAGE('Monthly EOP Balance'!Y10,'Monthly EOP Balance'!Z10)</x:f>
        <x:v>92097.66666666666</x:v>
      </x:c>
      <x:c r="Z10" s="38" t="n">
        <x:f>AVERAGE('Monthly EOP Balance'!Z10,'Monthly EOP Balance'!AA10)</x:f>
        <x:v>92209.33333333334</x:v>
      </x:c>
      <x:c r="AA10" s="38" t="n">
        <x:f>AVERAGE('Monthly EOP Balance'!AA10,'Monthly EOP Balance'!AB10)</x:f>
        <x:v>101630.5</x:v>
      </x:c>
      <x:c r="AB10" s="38" t="n">
        <x:f>AVERAGE('Monthly EOP Balance'!AB10,'Monthly EOP Balance'!AC10)</x:f>
        <x:v>93108.66666666666</x:v>
      </x:c>
      <x:c r="AC10" s="38" t="n">
        <x:f>AVERAGE('Monthly EOP Balance'!AC10,'Monthly EOP Balance'!AD10)</x:f>
        <x:v>92079.33333333334</x:v>
      </x:c>
      <x:c r="AD10" s="38" t="n">
        <x:f>AVERAGE('Monthly EOP Balance'!AD10,'Monthly EOP Balance'!AE10)</x:f>
        <x:v>100269</x:v>
      </x:c>
      <x:c r="AE10" s="38" t="n">
        <x:f>AVERAGE('Monthly EOP Balance'!AE10,'Monthly EOP Balance'!AF10)</x:f>
        <x:v>93968.66666666666</x:v>
      </x:c>
      <x:c r="AF10" s="38" t="n">
        <x:f>AVERAGE('Monthly EOP Balance'!AF10,'Monthly EOP Balance'!AG10)</x:f>
        <x:v>95340.33333333334</x:v>
      </x:c>
      <x:c r="AG10" s="38" t="n">
        <x:f>AVERAGE('Monthly EOP Balance'!AG10,'Monthly EOP Balance'!AH10)</x:f>
        <x:v>103907.5</x:v>
      </x:c>
      <x:c r="AH10" s="38" t="n">
        <x:f>AVERAGE('Monthly EOP Balance'!AH10,'Monthly EOP Balance'!AI10)</x:f>
        <x:v>97031.66666666666</x:v>
      </x:c>
      <x:c r="AI10" s="38" t="n">
        <x:f>AVERAGE('Monthly EOP Balance'!AI10,'Monthly EOP Balance'!AJ10)</x:f>
        <x:v>96890.66666666666</x:v>
      </x:c>
      <x:c r="AJ10" s="38" t="n">
        <x:f>AVERAGE('Monthly EOP Balance'!AJ10,'Monthly EOP Balance'!AK10)</x:f>
        <x:v>104268</x:v>
      </x:c>
      <x:c r="AK10" s="38" t="n">
        <x:f>AVERAGE('Monthly EOP Balance'!AK10,'Monthly EOP Balance'!AL10)</x:f>
        <x:v>97769.33333333334</x:v>
      </x:c>
      <x:c r="AL10" s="38" t="n">
        <x:f>AVERAGE('Monthly EOP Balance'!AL10,'Monthly EOP Balance'!AM10)</x:f>
        <x:v>97382</x:v>
      </x:c>
      <x:c r="AM10" s="38" t="n">
        <x:f>AVERAGE('Monthly EOP Balance'!AM10,'Monthly EOP Balance'!AN10)</x:f>
        <x:v>103923.5</x:v>
      </x:c>
      <x:c r="AN10" s="38" t="n">
        <x:f>AVERAGE('Monthly EOP Balance'!AN10,'Monthly EOP Balance'!AO10)</x:f>
        <x:v>98224</x:v>
      </x:c>
      <x:c r="AO10" s="38" t="n">
        <x:f>AVERAGE('Monthly EOP Balance'!AO10,'Monthly EOP Balance'!AP10)</x:f>
        <x:v>99184.33333333334</x:v>
      </x:c>
      <x:c r="AP10" s="38" t="n">
        <x:f>AVERAGE('Monthly EOP Balance'!AP10,'Monthly EOP Balance'!AQ10)</x:f>
        <x:v>106132</x:v>
      </x:c>
      <x:c r="AQ10" s="38" t="n">
        <x:f>AVERAGE('Monthly EOP Balance'!AQ10,'Monthly EOP Balance'!AR10)</x:f>
        <x:v>99493.66666666666</x:v>
      </x:c>
    </x:row>
    <x:row r="11">
      <x:c r="A11" s="20" t="str">
        <x:v>  Cash equivalents and other</x:v>
      </x:c>
      <x:c r="B11" s="38" t="n">
        <x:f>AVERAGE('Monthly EOP Balance'!B11,'Monthly EOP Balance'!C11)</x:f>
        <x:v>31885</x:v>
      </x:c>
      <x:c r="C11" s="38" t="n">
        <x:f>AVERAGE('Monthly EOP Balance'!C11,'Monthly EOP Balance'!D11)</x:f>
        <x:v>35133.5</x:v>
      </x:c>
      <x:c r="D11" s="38" t="n">
        <x:f>AVERAGE('Monthly EOP Balance'!D11,'Monthly EOP Balance'!E11)</x:f>
        <x:v>42363</x:v>
      </x:c>
      <x:c r="E11" s="38" t="n">
        <x:f>AVERAGE('Monthly EOP Balance'!E11,'Monthly EOP Balance'!F11)</x:f>
        <x:v>40451.66666666667</x:v>
      </x:c>
      <x:c r="F11" s="38" t="n">
        <x:f>AVERAGE('Monthly EOP Balance'!F11,'Monthly EOP Balance'!G11)</x:f>
        <x:v>33109.5</x:v>
      </x:c>
      <x:c r="G11" s="38" t="n">
        <x:f>AVERAGE('Monthly EOP Balance'!G11,'Monthly EOP Balance'!H11)</x:f>
        <x:v>37168.33333333333</x:v>
      </x:c>
      <x:c r="H11" s="38" t="n">
        <x:f>AVERAGE('Monthly EOP Balance'!H11,'Monthly EOP Balance'!I11)</x:f>
        <x:v>41140.66666666667</x:v>
      </x:c>
      <x:c r="I11" s="38" t="n">
        <x:f>AVERAGE('Monthly EOP Balance'!I11,'Monthly EOP Balance'!J11)</x:f>
        <x:v>40776</x:v>
      </x:c>
      <x:c r="J11" s="38" t="n">
        <x:f>AVERAGE('Monthly EOP Balance'!J11,'Monthly EOP Balance'!K11)</x:f>
        <x:v>43311.33333333333</x:v>
      </x:c>
      <x:c r="K11" s="38" t="n">
        <x:f>AVERAGE('Monthly EOP Balance'!K11,'Monthly EOP Balance'!L11)</x:f>
        <x:v>42141.33333333333</x:v>
      </x:c>
      <x:c r="L11" s="38" t="n">
        <x:f>AVERAGE('Monthly EOP Balance'!L11,'Monthly EOP Balance'!M11)</x:f>
        <x:v>38720.5</x:v>
      </x:c>
      <x:c r="M11" s="38" t="n">
        <x:f>AVERAGE('Monthly EOP Balance'!M11,'Monthly EOP Balance'!N11)</x:f>
        <x:v>41108.66666666667</x:v>
      </x:c>
      <x:c r="N11" s="38" t="n">
        <x:f>AVERAGE('Monthly EOP Balance'!N11,'Monthly EOP Balance'!O11)</x:f>
        <x:v>41076.66666666667</x:v>
      </x:c>
      <x:c r="O11" s="38" t="n">
        <x:f>AVERAGE('Monthly EOP Balance'!O11,'Monthly EOP Balance'!P11)</x:f>
        <x:v>39689.5</x:v>
      </x:c>
      <x:c r="P11" s="38" t="n">
        <x:f>AVERAGE('Monthly EOP Balance'!P11,'Monthly EOP Balance'!Q11)</x:f>
        <x:v>46241.33333333333</x:v>
      </x:c>
      <x:c r="Q11" s="38" t="n">
        <x:f>AVERAGE('Monthly EOP Balance'!Q11,'Monthly EOP Balance'!R11)</x:f>
        <x:v>46808.33333333333</x:v>
      </x:c>
      <x:c r="R11" s="38" t="n">
        <x:f>AVERAGE('Monthly EOP Balance'!R11,'Monthly EOP Balance'!S11)</x:f>
        <x:v>41502.5</x:v>
      </x:c>
      <x:c r="S11" s="38" t="n">
        <x:f>AVERAGE('Monthly EOP Balance'!S11,'Monthly EOP Balance'!T11)</x:f>
        <x:v>44359.66666666667</x:v>
      </x:c>
      <x:c r="T11" s="38" t="n">
        <x:f>AVERAGE('Monthly EOP Balance'!T11,'Monthly EOP Balance'!U11)</x:f>
        <x:v>44495</x:v>
      </x:c>
      <x:c r="U11" s="38" t="n">
        <x:f>AVERAGE('Monthly EOP Balance'!U11,'Monthly EOP Balance'!V11)</x:f>
        <x:v>41476</x:v>
      </x:c>
      <x:c r="V11" s="38" t="n">
        <x:f>AVERAGE('Monthly EOP Balance'!V11,'Monthly EOP Balance'!W11)</x:f>
        <x:v>45755</x:v>
      </x:c>
      <x:c r="W11" s="38" t="n">
        <x:f>AVERAGE('Monthly EOP Balance'!W11,'Monthly EOP Balance'!X11)</x:f>
        <x:v>48183</x:v>
      </x:c>
      <x:c r="X11" s="38" t="n">
        <x:f>AVERAGE('Monthly EOP Balance'!X11,'Monthly EOP Balance'!Y11)</x:f>
        <x:v>45639</x:v>
      </x:c>
      <x:c r="Y11" s="38" t="n">
        <x:f>AVERAGE('Monthly EOP Balance'!Y11,'Monthly EOP Balance'!Z11)</x:f>
        <x:v>44151</x:v>
      </x:c>
      <x:c r="Z11" s="38" t="n">
        <x:f>AVERAGE('Monthly EOP Balance'!Z11,'Monthly EOP Balance'!AA11)</x:f>
        <x:v>45575.33333333333</x:v>
      </x:c>
      <x:c r="AA11" s="38" t="n">
        <x:f>AVERAGE('Monthly EOP Balance'!AA11,'Monthly EOP Balance'!AB11)</x:f>
        <x:v>48362</x:v>
      </x:c>
      <x:c r="AB11" s="38" t="n">
        <x:f>AVERAGE('Monthly EOP Balance'!AB11,'Monthly EOP Balance'!AC11)</x:f>
        <x:v>49104.66666666667</x:v>
      </x:c>
      <x:c r="AC11" s="38" t="n">
        <x:f>AVERAGE('Monthly EOP Balance'!AC11,'Monthly EOP Balance'!AD11)</x:f>
        <x:v>49163.66666666667</x:v>
      </x:c>
      <x:c r="AD11" s="38" t="n">
        <x:f>AVERAGE('Monthly EOP Balance'!AD11,'Monthly EOP Balance'!AE11)</x:f>
        <x:v>51464.5</x:v>
      </x:c>
      <x:c r="AE11" s="38" t="n">
        <x:f>AVERAGE('Monthly EOP Balance'!AE11,'Monthly EOP Balance'!AF11)</x:f>
        <x:v>57572.33333333333</x:v>
      </x:c>
      <x:c r="AF11" s="38" t="n">
        <x:f>AVERAGE('Monthly EOP Balance'!AF11,'Monthly EOP Balance'!AG11)</x:f>
        <x:v>57704</x:v>
      </x:c>
      <x:c r="AG11" s="38" t="n">
        <x:f>AVERAGE('Monthly EOP Balance'!AG11,'Monthly EOP Balance'!AH11)</x:f>
        <x:v>53321.5</x:v>
      </x:c>
      <x:c r="AH11" s="38" t="n">
        <x:f>AVERAGE('Monthly EOP Balance'!AH11,'Monthly EOP Balance'!AI11)</x:f>
        <x:v>55670</x:v>
      </x:c>
      <x:c r="AI11" s="38" t="n">
        <x:f>AVERAGE('Monthly EOP Balance'!AI11,'Monthly EOP Balance'!AJ11)</x:f>
        <x:v>59938.33333333333</x:v>
      </x:c>
      <x:c r="AJ11" s="38" t="n">
        <x:f>AVERAGE('Monthly EOP Balance'!AJ11,'Monthly EOP Balance'!AK11)</x:f>
        <x:v>61944</x:v>
      </x:c>
      <x:c r="AK11" s="38" t="n">
        <x:f>AVERAGE('Monthly EOP Balance'!AK11,'Monthly EOP Balance'!AL11)</x:f>
        <x:v>62315.66666666667</x:v>
      </x:c>
      <x:c r="AL11" s="38" t="n">
        <x:f>AVERAGE('Monthly EOP Balance'!AL11,'Monthly EOP Balance'!AM11)</x:f>
        <x:v>66909</x:v>
      </x:c>
      <x:c r="AM11" s="38" t="n">
        <x:f>AVERAGE('Monthly EOP Balance'!AM11,'Monthly EOP Balance'!AN11)</x:f>
        <x:v>74585.5</x:v>
      </x:c>
      <x:c r="AN11" s="38" t="n">
        <x:f>AVERAGE('Monthly EOP Balance'!AN11,'Monthly EOP Balance'!AO11)</x:f>
        <x:v>78351</x:v>
      </x:c>
      <x:c r="AO11" s="38" t="n">
        <x:f>AVERAGE('Monthly EOP Balance'!AO11,'Monthly EOP Balance'!AP11)</x:f>
        <x:v>75173.66666666666</x:v>
      </x:c>
      <x:c r="AP11" s="38" t="n">
        <x:f>AVERAGE('Monthly EOP Balance'!AP11,'Monthly EOP Balance'!AQ11)</x:f>
        <x:v>67195.5</x:v>
      </x:c>
      <x:c r="AQ11" s="38" t="n">
        <x:f>AVERAGE('Monthly EOP Balance'!AQ11,'Monthly EOP Balance'!AR11)</x:f>
        <x:v>59590.33333333333</x:v>
      </x:c>
    </x:row>
    <x:row r="12">
      <x:c r="A12" s="26" t="str">
        <x:v>  Total interest-earning assets</x:v>
      </x:c>
      <x:c r="B12" s="35" t="n">
        <x:f>AVERAGE('Monthly EOP Balance'!B12,'Monthly EOP Balance'!C12)</x:f>
        <x:v>429960</x:v>
      </x:c>
      <x:c r="C12" s="35" t="n">
        <x:f>AVERAGE('Monthly EOP Balance'!C12,'Monthly EOP Balance'!D12)</x:f>
        <x:v>433208.5</x:v>
      </x:c>
      <x:c r="D12" s="35" t="n">
        <x:f>AVERAGE('Monthly EOP Balance'!D12,'Monthly EOP Balance'!E12)</x:f>
        <x:v>440438</x:v>
      </x:c>
      <x:c r="E12" s="35" t="n">
        <x:f>AVERAGE('Monthly EOP Balance'!E12,'Monthly EOP Balance'!F12)</x:f>
        <x:v>439278</x:v>
      </x:c>
      <x:c r="F12" s="35" t="n">
        <x:f>AVERAGE('Monthly EOP Balance'!F12,'Monthly EOP Balance'!G12)</x:f>
        <x:v>433438.5</x:v>
      </x:c>
      <x:c r="G12" s="35" t="n">
        <x:f>AVERAGE('Monthly EOP Balance'!G12,'Monthly EOP Balance'!H12)</x:f>
        <x:v>439000</x:v>
      </x:c>
      <x:c r="H12" s="35" t="n">
        <x:f>AVERAGE('Monthly EOP Balance'!H12,'Monthly EOP Balance'!I12)</x:f>
        <x:v>443298</x:v>
      </x:c>
      <x:c r="I12" s="35" t="n">
        <x:f>AVERAGE('Monthly EOP Balance'!I12,'Monthly EOP Balance'!J12)</x:f>
        <x:v>442082</x:v>
      </x:c>
      <x:c r="J12" s="35" t="n">
        <x:f>AVERAGE('Monthly EOP Balance'!J12,'Monthly EOP Balance'!K12)</x:f>
        <x:v>443766</x:v>
      </x:c>
      <x:c r="K12" s="35" t="n">
        <x:f>AVERAGE('Monthly EOP Balance'!K12,'Monthly EOP Balance'!L12)</x:f>
        <x:v>447652</x:v>
      </x:c>
      <x:c r="L12" s="35" t="n">
        <x:f>AVERAGE('Monthly EOP Balance'!L12,'Monthly EOP Balance'!M12)</x:f>
        <x:v>449639.5</x:v>
      </x:c>
      <x:c r="M12" s="35" t="n">
        <x:f>AVERAGE('Monthly EOP Balance'!M12,'Monthly EOP Balance'!N12)</x:f>
        <x:v>446326</x:v>
      </x:c>
      <x:c r="N12" s="35" t="n">
        <x:f>AVERAGE('Monthly EOP Balance'!N12,'Monthly EOP Balance'!O12)</x:f>
        <x:v>447233</x:v>
      </x:c>
      <x:c r="O12" s="35" t="n">
        <x:f>AVERAGE('Monthly EOP Balance'!O12,'Monthly EOP Balance'!P12)</x:f>
        <x:v>451407</x:v>
      </x:c>
      <x:c r="P12" s="35" t="n">
        <x:f>AVERAGE('Monthly EOP Balance'!P12,'Monthly EOP Balance'!Q12)</x:f>
        <x:v>448373</x:v>
      </x:c>
      <x:c r="Q12" s="35" t="n">
        <x:f>AVERAGE('Monthly EOP Balance'!Q12,'Monthly EOP Balance'!R12)</x:f>
        <x:v>450837.6666666667</x:v>
      </x:c>
      <x:c r="R12" s="35" t="n">
        <x:f>AVERAGE('Monthly EOP Balance'!R12,'Monthly EOP Balance'!S12)</x:f>
        <x:v>456656.5</x:v>
      </x:c>
      <x:c r="S12" s="35" t="n">
        <x:f>AVERAGE('Monthly EOP Balance'!S12,'Monthly EOP Balance'!T12)</x:f>
        <x:v>450978.3333333333</x:v>
      </x:c>
      <x:c r="T12" s="35" t="n">
        <x:f>AVERAGE('Monthly EOP Balance'!T12,'Monthly EOP Balance'!U12)</x:f>
        <x:v>451751.6666666666</x:v>
      </x:c>
      <x:c r="U12" s="35" t="n">
        <x:f>AVERAGE('Monthly EOP Balance'!U12,'Monthly EOP Balance'!V12)</x:f>
        <x:v>459604.5</x:v>
      </x:c>
      <x:c r="V12" s="35" t="n">
        <x:f>AVERAGE('Monthly EOP Balance'!V12,'Monthly EOP Balance'!W12)</x:f>
        <x:v>457216.3333333334</x:v>
      </x:c>
      <x:c r="W12" s="35" t="n">
        <x:f>AVERAGE('Monthly EOP Balance'!W12,'Monthly EOP Balance'!X12)</x:f>
        <x:v>460357.6666666666</x:v>
      </x:c>
      <x:c r="X12" s="35" t="n">
        <x:f>AVERAGE('Monthly EOP Balance'!X12,'Monthly EOP Balance'!Y12)</x:f>
        <x:v>467419.5</x:v>
      </x:c>
      <x:c r="Y12" s="35" t="n">
        <x:f>AVERAGE('Monthly EOP Balance'!Y12,'Monthly EOP Balance'!Z12)</x:f>
        <x:v>461022.3333333334</x:v>
      </x:c>
      <x:c r="Z12" s="35" t="n">
        <x:f>AVERAGE('Monthly EOP Balance'!Z12,'Monthly EOP Balance'!AA12)</x:f>
        <x:v>461949</x:v>
      </x:c>
      <x:c r="AA12" s="35" t="n">
        <x:f>AVERAGE('Monthly EOP Balance'!AA12,'Monthly EOP Balance'!AB12)</x:f>
        <x:v>469850</x:v>
      </x:c>
      <x:c r="AB12" s="35" t="n">
        <x:f>AVERAGE('Monthly EOP Balance'!AB12,'Monthly EOP Balance'!AC12)</x:f>
        <x:v>463593</x:v>
      </x:c>
      <x:c r="AC12" s="35" t="n">
        <x:f>AVERAGE('Monthly EOP Balance'!AC12,'Monthly EOP Balance'!AD12)</x:f>
        <x:v>481213.6666666667</x:v>
      </x:c>
      <x:c r="AD12" s="35" t="n">
        <x:f>AVERAGE('Monthly EOP Balance'!AD12,'Monthly EOP Balance'!AE12)</x:f>
        <x:v>527360</x:v>
      </x:c>
      <x:c r="AE12" s="35" t="n">
        <x:f>AVERAGE('Monthly EOP Balance'!AE12,'Monthly EOP Balance'!AF12)</x:f>
        <x:v>568644.3333333333</x:v>
      </x:c>
      <x:c r="AF12" s="35" t="n">
        <x:f>AVERAGE('Monthly EOP Balance'!AF12,'Monthly EOP Balance'!AG12)</x:f>
        <x:v>592131</x:v>
      </x:c>
      <x:c r="AG12" s="35" t="n">
        <x:f>AVERAGE('Monthly EOP Balance'!AG12,'Monthly EOP Balance'!AH12)</x:f>
        <x:v>596749</x:v>
      </x:c>
      <x:c r="AH12" s="35" t="n">
        <x:f>AVERAGE('Monthly EOP Balance'!AH12,'Monthly EOP Balance'!AI12)</x:f>
        <x:v>594363</x:v>
      </x:c>
      <x:c r="AI12" s="35" t="n">
        <x:f>AVERAGE('Monthly EOP Balance'!AI12,'Monthly EOP Balance'!AJ12)</x:f>
        <x:v>599241.3333333333</x:v>
      </x:c>
      <x:c r="AJ12" s="35" t="n">
        <x:f>AVERAGE('Monthly EOP Balance'!AJ12,'Monthly EOP Balance'!AK12)</x:f>
        <x:v>609621.5</x:v>
      </x:c>
      <x:c r="AK12" s="35" t="n">
        <x:f>AVERAGE('Monthly EOP Balance'!AK12,'Monthly EOP Balance'!AL12)</x:f>
        <x:v>609472.6666666667</x:v>
      </x:c>
      <x:c r="AL12" s="35" t="n">
        <x:f>AVERAGE('Monthly EOP Balance'!AL12,'Monthly EOP Balance'!AM12)</x:f>
        <x:v>612987</x:v>
      </x:c>
      <x:c r="AM12" s="35" t="n">
        <x:f>AVERAGE('Monthly EOP Balance'!AM12,'Monthly EOP Balance'!AN12)</x:f>
        <x:v>621301</x:v>
      </x:c>
      <x:c r="AN12" s="35" t="n">
        <x:f>AVERAGE('Monthly EOP Balance'!AN12,'Monthly EOP Balance'!AO12)</x:f>
        <x:v>621359</x:v>
      </x:c>
      <x:c r="AO12" s="35" t="n">
        <x:f>AVERAGE('Monthly EOP Balance'!AO12,'Monthly EOP Balance'!AP12)</x:f>
        <x:v>622082</x:v>
      </x:c>
      <x:c r="AP12" s="35" t="n">
        <x:f>AVERAGE('Monthly EOP Balance'!AP12,'Monthly EOP Balance'!AQ12)</x:f>
        <x:v>622590.5</x:v>
      </x:c>
      <x:c r="AQ12" s="35" t="n">
        <x:f>AVERAGE('Monthly EOP Balance'!AQ12,'Monthly EOP Balance'!AR12)</x:f>
        <x:v>613084</x:v>
      </x:c>
    </x:row>
    <x:row r="13">
      <x:c r="A13" s="20"/>
      <x:c r="B13" s="38"/>
      <x:c r="C13" s="38"/>
      <x:c r="D13" s="38"/>
      <x:c r="E13" s="38"/>
      <x:c r="F13" s="38"/>
      <x:c r="G13" s="38"/>
      <x:c r="H13" s="38"/>
      <x:c r="I13" s="38"/>
      <x:c r="J13" s="38"/>
      <x:c r="K13" s="38"/>
      <x:c r="L13" s="38"/>
      <x:c r="M13" s="38"/>
      <x:c r="N13" s="38"/>
      <x:c r="O13" s="38"/>
      <x:c r="P13" s="38"/>
      <x:c r="Q13" s="38"/>
      <x:c r="R13" s="38"/>
      <x:c r="S13" s="38"/>
      <x:c r="T13" s="38"/>
      <x:c r="U13" s="38"/>
      <x:c r="V13" s="38"/>
      <x:c r="W13" s="38"/>
      <x:c r="X13" s="38"/>
      <x:c r="Y13" s="38"/>
      <x:c r="Z13" s="38"/>
      <x:c r="AA13" s="38"/>
      <x:c r="AB13" s="38"/>
      <x:c r="AC13" s="38"/>
      <x:c r="AD13" s="38"/>
      <x:c r="AE13" s="38"/>
      <x:c r="AF13" s="38"/>
      <x:c r="AG13" s="38"/>
      <x:c r="AH13" s="38"/>
      <x:c r="AI13" s="38"/>
      <x:c r="AJ13" s="38"/>
      <x:c r="AK13" s="38"/>
      <x:c r="AL13" s="38"/>
      <x:c r="AM13" s="38"/>
      <x:c r="AN13" s="38"/>
      <x:c r="AO13" s="38"/>
      <x:c r="AP13" s="38"/>
      <x:c r="AQ13" s="38"/>
    </x:row>
    <x:row r="14">
      <x:c r="A14" s="32" t="str">
        <x:v>INTEREST-BEARING LIABILITIES</x:v>
      </x:c>
      <x:c r="B14" s="36"/>
      <x:c r="C14" s="36"/>
      <x:c r="D14" s="36"/>
      <x:c r="E14" s="36"/>
      <x:c r="F14" s="36"/>
      <x:c r="G14" s="36"/>
      <x:c r="H14" s="36"/>
      <x:c r="I14" s="36"/>
      <x:c r="J14" s="36"/>
      <x:c r="K14" s="36"/>
      <x:c r="L14" s="36"/>
      <x:c r="M14" s="36"/>
      <x:c r="N14" s="36"/>
      <x:c r="O14" s="36"/>
      <x:c r="P14" s="36"/>
      <x:c r="Q14" s="36"/>
      <x:c r="R14" s="36"/>
      <x:c r="S14" s="36"/>
      <x:c r="T14" s="36"/>
      <x:c r="U14" s="36"/>
      <x:c r="V14" s="36"/>
      <x:c r="W14" s="36"/>
      <x:c r="X14" s="36"/>
      <x:c r="Y14" s="36"/>
      <x:c r="Z14" s="36"/>
      <x:c r="AA14" s="36"/>
      <x:c r="AB14" s="36"/>
      <x:c r="AC14" s="36"/>
      <x:c r="AD14" s="36"/>
      <x:c r="AE14" s="36"/>
      <x:c r="AF14" s="36"/>
      <x:c r="AG14" s="36"/>
      <x:c r="AH14" s="36"/>
      <x:c r="AI14" s="36"/>
      <x:c r="AJ14" s="36"/>
      <x:c r="AK14" s="36"/>
      <x:c r="AL14" s="36"/>
      <x:c r="AM14" s="36"/>
      <x:c r="AN14" s="36"/>
      <x:c r="AO14" s="36"/>
      <x:c r="AP14" s="36"/>
      <x:c r="AQ14" s="36"/>
    </x:row>
    <x:row r="15">
      <x:c r="A15" s="20" t="str">
        <x:v>  Interest-bearing deposits</x:v>
      </x:c>
      <x:c r="B15" s="38" t="n">
        <x:f>AVERAGE('Monthly EOP Balance'!B15,'Monthly EOP Balance'!C15)</x:f>
        <x:v>308788</x:v>
      </x:c>
      <x:c r="C15" s="38" t="n">
        <x:f>AVERAGE('Monthly EOP Balance'!C15,'Monthly EOP Balance'!D15)</x:f>
        <x:v>308788</x:v>
      </x:c>
      <x:c r="D15" s="38" t="n">
        <x:f>AVERAGE('Monthly EOP Balance'!D15,'Monthly EOP Balance'!E15)</x:f>
        <x:v>308788</x:v>
      </x:c>
      <x:c r="E15" s="38" t="n">
        <x:f>AVERAGE('Monthly EOP Balance'!E15,'Monthly EOP Balance'!F15)</x:f>
        <x:v>310261</x:v>
      </x:c>
      <x:c r="F15" s="38" t="n">
        <x:f>AVERAGE('Monthly EOP Balance'!F15,'Monthly EOP Balance'!G15)</x:f>
        <x:v>313207</x:v>
      </x:c>
      <x:c r="G15" s="38" t="n">
        <x:f>AVERAGE('Monthly EOP Balance'!G15,'Monthly EOP Balance'!H15)</x:f>
        <x:v>316153</x:v>
      </x:c>
      <x:c r="H15" s="38" t="n">
        <x:f>AVERAGE('Monthly EOP Balance'!H15,'Monthly EOP Balance'!I15)</x:f>
        <x:v>317094.6666666666</x:v>
      </x:c>
      <x:c r="I15" s="38" t="n">
        <x:f>AVERAGE('Monthly EOP Balance'!I15,'Monthly EOP Balance'!J15)</x:f>
        <x:v>316032</x:v>
      </x:c>
      <x:c r="J15" s="38" t="n">
        <x:f>AVERAGE('Monthly EOP Balance'!J15,'Monthly EOP Balance'!K15)</x:f>
        <x:v>314969.3333333334</x:v>
      </x:c>
      <x:c r="K15" s="38" t="n">
        <x:f>AVERAGE('Monthly EOP Balance'!K15,'Monthly EOP Balance'!L15)</x:f>
        <x:v>314858.3333333334</x:v>
      </x:c>
      <x:c r="L15" s="38" t="n">
        <x:f>AVERAGE('Monthly EOP Balance'!L15,'Monthly EOP Balance'!M15)</x:f>
        <x:v>316270.5</x:v>
      </x:c>
      <x:c r="M15" s="38" t="n">
        <x:f>AVERAGE('Monthly EOP Balance'!M15,'Monthly EOP Balance'!N15)</x:f>
        <x:v>318825.6666666666</x:v>
      </x:c>
      <x:c r="N15" s="38" t="n">
        <x:f>AVERAGE('Monthly EOP Balance'!N15,'Monthly EOP Balance'!O15)</x:f>
        <x:v>317462.3333333334</x:v>
      </x:c>
      <x:c r="O15" s="38" t="n">
        <x:f>AVERAGE('Monthly EOP Balance'!O15,'Monthly EOP Balance'!P15)</x:f>
        <x:v>315029.5</x:v>
      </x:c>
      <x:c r="P15" s="38" t="n">
        <x:f>AVERAGE('Monthly EOP Balance'!P15,'Monthly EOP Balance'!Q15)</x:f>
        <x:v>319437.6666666666</x:v>
      </x:c>
      <x:c r="Q15" s="38" t="n">
        <x:f>AVERAGE('Monthly EOP Balance'!Q15,'Monthly EOP Balance'!R15)</x:f>
        <x:v>322219.3333333334</x:v>
      </x:c>
      <x:c r="R15" s="38" t="n">
        <x:f>AVERAGE('Monthly EOP Balance'!R15,'Monthly EOP Balance'!S15)</x:f>
        <x:v>321267.5</x:v>
      </x:c>
      <x:c r="S15" s="38" t="n">
        <x:f>AVERAGE('Monthly EOP Balance'!S15,'Monthly EOP Balance'!T15)</x:f>
        <x:v>322942.6666666666</x:v>
      </x:c>
      <x:c r="T15" s="38" t="n">
        <x:f>AVERAGE('Monthly EOP Balance'!T15,'Monthly EOP Balance'!U15)</x:f>
        <x:v>323570.3333333334</x:v>
      </x:c>
      <x:c r="U15" s="38" t="n">
        <x:f>AVERAGE('Monthly EOP Balance'!U15,'Monthly EOP Balance'!V15)</x:f>
        <x:v>323173</x:v>
      </x:c>
      <x:c r="V15" s="38" t="n">
        <x:f>AVERAGE('Monthly EOP Balance'!V15,'Monthly EOP Balance'!W15)</x:f>
        <x:v>325447.6666666666</x:v>
      </x:c>
      <x:c r="W15" s="38" t="n">
        <x:f>AVERAGE('Monthly EOP Balance'!W15,'Monthly EOP Balance'!X15)</x:f>
        <x:v>328509.3333333334</x:v>
      </x:c>
      <x:c r="X15" s="38" t="n">
        <x:f>AVERAGE('Monthly EOP Balance'!X15,'Monthly EOP Balance'!Y15)</x:f>
        <x:v>331321</x:v>
      </x:c>
      <x:c r="Y15" s="38" t="n">
        <x:f>AVERAGE('Monthly EOP Balance'!Y15,'Monthly EOP Balance'!Z15)</x:f>
        <x:v>334730.6666666666</x:v>
      </x:c>
      <x:c r="Z15" s="38" t="n">
        <x:f>AVERAGE('Monthly EOP Balance'!Z15,'Monthly EOP Balance'!AA15)</x:f>
        <x:v>336380.3333333334</x:v>
      </x:c>
      <x:c r="AA15" s="38" t="n">
        <x:f>AVERAGE('Monthly EOP Balance'!AA15,'Monthly EOP Balance'!AB15)</x:f>
        <x:v>336905.5</x:v>
      </x:c>
      <x:c r="AB15" s="38" t="n">
        <x:f>AVERAGE('Monthly EOP Balance'!AB15,'Monthly EOP Balance'!AC15)</x:f>
        <x:v>339299.6666666666</x:v>
      </x:c>
      <x:c r="AC15" s="38" t="n">
        <x:f>AVERAGE('Monthly EOP Balance'!AC15,'Monthly EOP Balance'!AD15)</x:f>
        <x:v>354050</x:v>
      </x:c>
      <x:c r="AD15" s="38" t="n">
        <x:f>AVERAGE('Monthly EOP Balance'!AD15,'Monthly EOP Balance'!AE15)</x:f>
        <x:v>383680.5</x:v>
      </x:c>
      <x:c r="AE15" s="38" t="n">
        <x:f>AVERAGE('Monthly EOP Balance'!AE15,'Monthly EOP Balance'!AF15)</x:f>
        <x:v>420228</x:v>
      </x:c>
      <x:c r="AF15" s="38" t="n">
        <x:f>AVERAGE('Monthly EOP Balance'!AF15,'Monthly EOP Balance'!AG15)</x:f>
        <x:v>439225.3333333334</x:v>
      </x:c>
      <x:c r="AG15" s="38" t="n">
        <x:f>AVERAGE('Monthly EOP Balance'!AG15,'Monthly EOP Balance'!AH15)</x:f>
        <x:v>438370.5</x:v>
      </x:c>
      <x:c r="AH15" s="38" t="n">
        <x:f>AVERAGE('Monthly EOP Balance'!AH15,'Monthly EOP Balance'!AI15)</x:f>
        <x:v>439828.6666666666</x:v>
      </x:c>
      <x:c r="AI15" s="38" t="n">
        <x:f>AVERAGE('Monthly EOP Balance'!AI15,'Monthly EOP Balance'!AJ15)</x:f>
        <x:v>440796.3333333334</x:v>
      </x:c>
      <x:c r="AJ15" s="38" t="n">
        <x:f>AVERAGE('Monthly EOP Balance'!AJ15,'Monthly EOP Balance'!AK15)</x:f>
        <x:v>441665</x:v>
      </x:c>
      <x:c r="AK15" s="38" t="n">
        <x:f>AVERAGE('Monthly EOP Balance'!AK15,'Monthly EOP Balance'!AL15)</x:f>
        <x:v>445629.6666666666</x:v>
      </x:c>
      <x:c r="AL15" s="38" t="n">
        <x:f>AVERAGE('Monthly EOP Balance'!AL15,'Monthly EOP Balance'!AM15)</x:f>
        <x:v>447713.3333333334</x:v>
      </x:c>
      <x:c r="AM15" s="38" t="n">
        <x:f>AVERAGE('Monthly EOP Balance'!AM15,'Monthly EOP Balance'!AN15)</x:f>
        <x:v>449162.5</x:v>
      </x:c>
      <x:c r="AN15" s="38" t="n">
        <x:f>AVERAGE('Monthly EOP Balance'!AN15,'Monthly EOP Balance'!AO15)</x:f>
        <x:v>456200.6666666666</x:v>
      </x:c>
      <x:c r="AO15" s="38" t="n">
        <x:f>AVERAGE('Monthly EOP Balance'!AO15,'Monthly EOP Balance'!AP15)</x:f>
        <x:v>459681</x:v>
      </x:c>
      <x:c r="AP15" s="38" t="n">
        <x:f>AVERAGE('Monthly EOP Balance'!AP15,'Monthly EOP Balance'!AQ15)</x:f>
        <x:v>457469.5</x:v>
      </x:c>
      <x:c r="AQ15" s="38" t="n">
        <x:f>AVERAGE('Monthly EOP Balance'!AQ15,'Monthly EOP Balance'!AR15)</x:f>
        <x:v>456579</x:v>
      </x:c>
    </x:row>
    <x:row r="16">
      <x:c r="A16" s="20" t="str">
        <x:v>  Securitized debt obligations</x:v>
      </x:c>
      <x:c r="B16" s="38" t="n">
        <x:f>AVERAGE('Monthly EOP Balance'!B16,'Monthly EOP Balance'!C16)</x:f>
        <x:v>17251</x:v>
      </x:c>
      <x:c r="C16" s="38" t="n">
        <x:f>AVERAGE('Monthly EOP Balance'!C16,'Monthly EOP Balance'!D16)</x:f>
        <x:v>17251</x:v>
      </x:c>
      <x:c r="D16" s="38" t="n">
        <x:f>AVERAGE('Monthly EOP Balance'!D16,'Monthly EOP Balance'!E16)</x:f>
        <x:v>17251</x:v>
      </x:c>
      <x:c r="E16" s="38" t="n">
        <x:f>AVERAGE('Monthly EOP Balance'!E16,'Monthly EOP Balance'!F16)</x:f>
        <x:v>17424.333333333336</x:v>
      </x:c>
      <x:c r="F16" s="38" t="n">
        <x:f>AVERAGE('Monthly EOP Balance'!F16,'Monthly EOP Balance'!G16)</x:f>
        <x:v>17771</x:v>
      </x:c>
      <x:c r="G16" s="38" t="n">
        <x:f>AVERAGE('Monthly EOP Balance'!G16,'Monthly EOP Balance'!H16)</x:f>
        <x:v>18117.666666666664</x:v>
      </x:c>
      <x:c r="H16" s="38" t="n">
        <x:f>AVERAGE('Monthly EOP Balance'!H16,'Monthly EOP Balance'!I16)</x:f>
        <x:v>18077</x:v>
      </x:c>
      <x:c r="I16" s="38" t="n">
        <x:f>AVERAGE('Monthly EOP Balance'!I16,'Monthly EOP Balance'!J16)</x:f>
        <x:v>17649</x:v>
      </x:c>
      <x:c r="J16" s="38" t="n">
        <x:f>AVERAGE('Monthly EOP Balance'!J16,'Monthly EOP Balance'!K16)</x:f>
        <x:v>17221</x:v>
      </x:c>
      <x:c r="K16" s="38" t="n">
        <x:f>AVERAGE('Monthly EOP Balance'!K16,'Monthly EOP Balance'!L16)</x:f>
        <x:v>17841.923252154564</x:v>
      </x:c>
      <x:c r="L16" s="38" t="n">
        <x:f>AVERAGE('Monthly EOP Balance'!L16,'Monthly EOP Balance'!M16)</x:f>
        <x:v>18768.884878231846</x:v>
      </x:c>
      <x:c r="M16" s="38" t="n">
        <x:f>AVERAGE('Monthly EOP Balance'!M16,'Monthly EOP Balance'!N16)</x:f>
        <x:v>18210.076747845436</x:v>
      </x:c>
      <x:c r="N16" s="38" t="n">
        <x:f>AVERAGE('Monthly EOP Balance'!N16,'Monthly EOP Balance'!O16)</x:f>
        <x:v>17773.917344351386</x:v>
      </x:c>
      <x:c r="O16" s="38" t="n">
        <x:f>AVERAGE('Monthly EOP Balance'!O16,'Monthly EOP Balance'!P16)</x:f>
        <x:v>18019.64577299077</x:v>
      </x:c>
      <x:c r="P16" s="38" t="n">
        <x:f>AVERAGE('Monthly EOP Balance'!P16,'Monthly EOP Balance'!Q16)</x:f>
        <x:v>17898.082655648614</x:v>
      </x:c>
      <x:c r="Q16" s="38" t="n">
        <x:f>AVERAGE('Monthly EOP Balance'!Q16,'Monthly EOP Balance'!R16)</x:f>
        <x:v>17692.646828643752</x:v>
      </x:c>
      <x:c r="R16" s="38" t="n">
        <x:f>AVERAGE('Monthly EOP Balance'!R16,'Monthly EOP Balance'!S16)</x:f>
        <x:v>17519.49203248348</x:v>
      </x:c>
      <x:c r="S16" s="38" t="n">
        <x:f>AVERAGE('Monthly EOP Balance'!S16,'Monthly EOP Balance'!T16)</x:f>
        <x:v>17211.353171356248</x:v>
      </x:c>
      <x:c r="T16" s="38" t="n">
        <x:f>AVERAGE('Monthly EOP Balance'!T16,'Monthly EOP Balance'!U16)</x:f>
        <x:v>16125.999101984025</x:v>
      </x:c>
      <x:c r="U16" s="38" t="n">
        <x:f>AVERAGE('Monthly EOP Balance'!U16,'Monthly EOP Balance'!V16)</x:f>
        <x:v>15081.96092842514</x:v>
      </x:c>
      <x:c r="V16" s="38" t="n">
        <x:f>AVERAGE('Monthly EOP Balance'!V16,'Monthly EOP Balance'!W16)</x:f>
        <x:v>15540.000898015975</x:v>
      </x:c>
      <x:c r="W16" s="38" t="n">
        <x:f>AVERAGE('Monthly EOP Balance'!W16,'Monthly EOP Balance'!X16)</x:f>
        <x:v>15416.671683211804</x:v>
      </x:c>
      <x:c r="X16" s="38" t="n">
        <x:f>AVERAGE('Monthly EOP Balance'!X16,'Monthly EOP Balance'!Y16)</x:f>
        <x:v>14440.467106218883</x:v>
      </x:c>
      <x:c r="Y16" s="38" t="n">
        <x:f>AVERAGE('Monthly EOP Balance'!Y16,'Monthly EOP Balance'!Z16)</x:f>
        <x:v>14423.328316788196</x:v>
      </x:c>
      <x:c r="Z16" s="38" t="n">
        <x:f>AVERAGE('Monthly EOP Balance'!Z16,'Monthly EOP Balance'!AA16)</x:f>
        <x:v>14336.1359206517</x:v>
      </x:c>
      <x:c r="AA16" s="38" t="n">
        <x:f>AVERAGE('Monthly EOP Balance'!AA16,'Monthly EOP Balance'!AB16)</x:f>
        <x:v>13715.178512014143</x:v>
      </x:c>
      <x:c r="AB16" s="38" t="n">
        <x:f>AVERAGE('Monthly EOP Balance'!AB16,'Monthly EOP Balance'!AC16)</x:f>
        <x:v>13125.8640793483</x:v>
      </x:c>
      <x:c r="AC16" s="38" t="n">
        <x:f>AVERAGE('Monthly EOP Balance'!AC16,'Monthly EOP Balance'!AD16)</x:f>
        <x:v>12406.050222699818</x:v>
      </x:c>
      <x:c r="AD16" s="38" t="n">
        <x:f>AVERAGE('Monthly EOP Balance'!AD16,'Monthly EOP Balance'!AE16)</x:f>
        <x:v>12291.45772704142</x:v>
      </x:c>
      <x:c r="AE16" s="38" t="n">
        <x:f>AVERAGE('Monthly EOP Balance'!AE16,'Monthly EOP Balance'!AF16)</x:f>
        <x:v>13679.949777300182</x:v>
      </x:c>
      <x:c r="AF16" s="38" t="n">
        <x:f>AVERAGE('Monthly EOP Balance'!AF16,'Monthly EOP Balance'!AG16)</x:f>
        <x:v>13382.68759659196</x:v>
      </x:c>
      <x:c r="AG16" s="38" t="n">
        <x:f>AVERAGE('Monthly EOP Balance'!AG16,'Monthly EOP Balance'!AH16)</x:f>
        <x:v>11783.564455979087</x:v>
      </x:c>
      <x:c r="AH16" s="38" t="n">
        <x:f>AVERAGE('Monthly EOP Balance'!AH16,'Monthly EOP Balance'!AI16)</x:f>
        <x:v>12455.31240340804</x:v>
      </x:c>
      <x:c r="AI16" s="38" t="n">
        <x:f>AVERAGE('Monthly EOP Balance'!AI16,'Monthly EOP Balance'!AJ16)</x:f>
        <x:v>12836.758737300766</x:v>
      </x:c>
      <x:c r="AJ16" s="38" t="n">
        <x:f>AVERAGE('Monthly EOP Balance'!AJ16,'Monthly EOP Balance'!AK16)</x:f>
        <x:v>12230.23395681818</x:v>
      </x:c>
      <x:c r="AK16" s="38" t="n">
        <x:f>AVERAGE('Monthly EOP Balance'!AK16,'Monthly EOP Balance'!AL16)</x:f>
        <x:v>12499.241262699234</x:v>
      </x:c>
      <x:c r="AL16" s="38" t="n">
        <x:f>AVERAGE('Monthly EOP Balance'!AL16,'Monthly EOP Balance'!AM16)</x:f>
        <x:v>12606.501113213053</x:v>
      </x:c>
      <x:c r="AM16" s="38" t="n">
        <x:f>AVERAGE('Monthly EOP Balance'!AM16,'Monthly EOP Balance'!AN16)</x:f>
        <x:v>12295.12373258891</x:v>
      </x:c>
      <x:c r="AN16" s="38" t="n">
        <x:f>AVERAGE('Monthly EOP Balance'!AN16,'Monthly EOP Balance'!AO16)</x:f>
        <x:v>12345.498886786947</x:v>
      </x:c>
      <x:c r="AO16" s="38" t="n">
        <x:f>AVERAGE('Monthly EOP Balance'!AO16,'Monthly EOP Balance'!AP16)</x:f>
        <x:v>11161.50561853397</x:v>
      </x:c>
      <x:c r="AP16" s="38" t="n">
        <x:f>AVERAGE('Monthly EOP Balance'!AP16,'Monthly EOP Balance'!AQ16)</x:f>
        <x:v>9376.133830209445</x:v>
      </x:c>
      <x:c r="AQ16" s="38" t="n">
        <x:f>AVERAGE('Monthly EOP Balance'!AQ16,'Monthly EOP Balance'!AR16)</x:f>
        <x:v>9218.49438146603</x:v>
      </x:c>
    </x:row>
    <x:row r="17">
      <x:c r="A17" s="20" t="str">
        <x:v>  Senior and subordinated notes</x:v>
      </x:c>
      <x:c r="B17" s="38" t="n">
        <x:f>AVERAGE('Monthly EOP Balance'!B17,'Monthly EOP Balance'!C17)</x:f>
        <x:v>30136</x:v>
      </x:c>
      <x:c r="C17" s="38" t="n">
        <x:f>AVERAGE('Monthly EOP Balance'!C17,'Monthly EOP Balance'!D17)</x:f>
        <x:v>30136</x:v>
      </x:c>
      <x:c r="D17" s="38" t="n">
        <x:f>AVERAGE('Monthly EOP Balance'!D17,'Monthly EOP Balance'!E17)</x:f>
        <x:v>30136</x:v>
      </x:c>
      <x:c r="E17" s="38" t="n">
        <x:f>AVERAGE('Monthly EOP Balance'!E17,'Monthly EOP Balance'!F17)</x:f>
        <x:v>30144.333333333336</x:v>
      </x:c>
      <x:c r="F17" s="38" t="n">
        <x:f>AVERAGE('Monthly EOP Balance'!F17,'Monthly EOP Balance'!G17)</x:f>
        <x:v>30161</x:v>
      </x:c>
      <x:c r="G17" s="38" t="n">
        <x:f>AVERAGE('Monthly EOP Balance'!G17,'Monthly EOP Balance'!H17)</x:f>
        <x:v>30177.666666666664</x:v>
      </x:c>
      <x:c r="H17" s="38" t="n">
        <x:f>AVERAGE('Monthly EOP Balance'!H17,'Monthly EOP Balance'!I17)</x:f>
        <x:v>30631.333333333336</x:v>
      </x:c>
      <x:c r="I17" s="38" t="n">
        <x:f>AVERAGE('Monthly EOP Balance'!I17,'Monthly EOP Balance'!J17)</x:f>
        <x:v>31522</x:v>
      </x:c>
      <x:c r="J17" s="38" t="n">
        <x:f>AVERAGE('Monthly EOP Balance'!J17,'Monthly EOP Balance'!K17)</x:f>
        <x:v>32412.666666666664</x:v>
      </x:c>
      <x:c r="K17" s="38" t="n">
        <x:f>AVERAGE('Monthly EOP Balance'!K17,'Monthly EOP Balance'!L17)</x:f>
        <x:v>32969.41008117877</x:v>
      </x:c>
      <x:c r="L17" s="38" t="n">
        <x:f>AVERAGE('Monthly EOP Balance'!L17,'Monthly EOP Balance'!M17)</x:f>
        <x:v>32897.61512176816</x:v>
      </x:c>
      <x:c r="M17" s="38" t="n">
        <x:f>AVERAGE('Monthly EOP Balance'!M17,'Monthly EOP Balance'!N17)</x:f>
        <x:v>32236.589918821228</x:v>
      </x:c>
      <x:c r="N17" s="38" t="n">
        <x:f>AVERAGE('Monthly EOP Balance'!N17,'Monthly EOP Balance'!O17)</x:f>
        <x:v>32114.749322315278</x:v>
      </x:c>
      <x:c r="O17" s="38" t="n">
        <x:f>AVERAGE('Monthly EOP Balance'!O17,'Monthly EOP Balance'!P17)</x:f>
        <x:v>32518.85422700923</x:v>
      </x:c>
      <x:c r="P17" s="38" t="n">
        <x:f>AVERAGE('Monthly EOP Balance'!P17,'Monthly EOP Balance'!Q17)</x:f>
        <x:v>32307.250677684722</x:v>
      </x:c>
      <x:c r="Q17" s="38" t="n">
        <x:f>AVERAGE('Monthly EOP Balance'!Q17,'Monthly EOP Balance'!R17)</x:f>
        <x:v>31588.01983802292</x:v>
      </x:c>
      <x:c r="R17" s="38" t="n">
        <x:f>AVERAGE('Monthly EOP Balance'!R17,'Monthly EOP Balance'!S17)</x:f>
        <x:v>30823.50796751652</x:v>
      </x:c>
      <x:c r="S17" s="38" t="n">
        <x:f>AVERAGE('Monthly EOP Balance'!S17,'Monthly EOP Balance'!T17)</x:f>
        <x:v>30367.98016197708</x:v>
      </x:c>
      <x:c r="T17" s="38" t="n">
        <x:f>AVERAGE('Monthly EOP Balance'!T17,'Monthly EOP Balance'!U17)</x:f>
        <x:v>31223.000898015976</x:v>
      </x:c>
      <x:c r="U17" s="38" t="n">
        <x:f>AVERAGE('Monthly EOP Balance'!U17,'Monthly EOP Balance'!V17)</x:f>
        <x:v>32637.539071574865</x:v>
      </x:c>
      <x:c r="V17" s="38" t="n">
        <x:f>AVERAGE('Monthly EOP Balance'!V17,'Monthly EOP Balance'!W17)</x:f>
        <x:v>32858.99910198402</x:v>
      </x:c>
      <x:c r="W17" s="38" t="n">
        <x:f>AVERAGE('Monthly EOP Balance'!W17,'Monthly EOP Balance'!X17)</x:f>
        <x:v>31662.99498345486</x:v>
      </x:c>
      <x:c r="X17" s="38" t="n">
        <x:f>AVERAGE('Monthly EOP Balance'!X17,'Monthly EOP Balance'!Y17)</x:f>
        <x:v>30265.032893781114</x:v>
      </x:c>
      <x:c r="Y17" s="38" t="n">
        <x:f>AVERAGE('Monthly EOP Balance'!Y17,'Monthly EOP Balance'!Z17)</x:f>
        <x:v>30105.00501654514</x:v>
      </x:c>
      <x:c r="Z17" s="38" t="n">
        <x:f>AVERAGE('Monthly EOP Balance'!Z17,'Monthly EOP Balance'!AA17)</x:f>
        <x:v>30988.8640793483</x:v>
      </x:c>
      <x:c r="AA17" s="38" t="n">
        <x:f>AVERAGE('Monthly EOP Balance'!AA17,'Monthly EOP Balance'!AB17)</x:f>
        <x:v>31314.321487985857</x:v>
      </x:c>
      <x:c r="AB17" s="38" t="n">
        <x:f>AVERAGE('Monthly EOP Balance'!AB17,'Monthly EOP Balance'!AC17)</x:f>
        <x:v>29673.1359206517</x:v>
      </x:c>
      <x:c r="AC17" s="38" t="n">
        <x:f>AVERAGE('Monthly EOP Balance'!AC17,'Monthly EOP Balance'!AD17)</x:f>
        <x:v>29934.283110633514</x:v>
      </x:c>
      <x:c r="AD17" s="38" t="n">
        <x:f>AVERAGE('Monthly EOP Balance'!AD17,'Monthly EOP Balance'!AE17)</x:f>
        <x:v>32976.54227295858</x:v>
      </x:c>
      <x:c r="AE17" s="38" t="n">
        <x:f>AVERAGE('Monthly EOP Balance'!AE17,'Monthly EOP Balance'!AF17)</x:f>
        <x:v>35809.71688936648</x:v>
      </x:c>
      <x:c r="AF17" s="38" t="n">
        <x:f>AVERAGE('Monthly EOP Balance'!AF17,'Monthly EOP Balance'!AG17)</x:f>
        <x:v>36160.97907007471</x:v>
      </x:c>
      <x:c r="AG17" s="38" t="n">
        <x:f>AVERAGE('Monthly EOP Balance'!AG17,'Monthly EOP Balance'!AH17)</x:f>
        <x:v>35203.43554402091</x:v>
      </x:c>
      <x:c r="AH17" s="38" t="n">
        <x:f>AVERAGE('Monthly EOP Balance'!AH17,'Monthly EOP Balance'!AI17)</x:f>
        <x:v>36383.02092992529</x:v>
      </x:c>
      <x:c r="AI17" s="38" t="n">
        <x:f>AVERAGE('Monthly EOP Balance'!AI17,'Monthly EOP Balance'!AJ17)</x:f>
        <x:v>36676.9079293659</x:v>
      </x:c>
      <x:c r="AJ17" s="38" t="n">
        <x:f>AVERAGE('Monthly EOP Balance'!AJ17,'Monthly EOP Balance'!AK17)</x:f>
        <x:v>35772.26604318182</x:v>
      </x:c>
      <x:c r="AK17" s="38" t="n">
        <x:f>AVERAGE('Monthly EOP Balance'!AK17,'Monthly EOP Balance'!AL17)</x:f>
        <x:v>36379.0920706341</x:v>
      </x:c>
      <x:c r="AL17" s="38" t="n">
        <x:f>AVERAGE('Monthly EOP Balance'!AL17,'Monthly EOP Balance'!AM17)</x:f>
        <x:v>37599.16555345361</x:v>
      </x:c>
      <x:c r="AM17" s="38" t="n">
        <x:f>AVERAGE('Monthly EOP Balance'!AM17,'Monthly EOP Balance'!AN17)</x:f>
        <x:v>38261.37626741109</x:v>
      </x:c>
      <x:c r="AN17" s="38" t="n">
        <x:f>AVERAGE('Monthly EOP Balance'!AN17,'Monthly EOP Balance'!AO17)</x:f>
        <x:v>38092.83444654639</x:v>
      </x:c>
      <x:c r="AO17" s="38" t="n">
        <x:f>AVERAGE('Monthly EOP Balance'!AO17,'Monthly EOP Balance'!AP17)</x:f>
        <x:v>38388.16104813269</x:v>
      </x:c>
      <x:c r="AP17" s="38" t="n">
        <x:f>AVERAGE('Monthly EOP Balance'!AP17,'Monthly EOP Balance'!AQ17)</x:f>
        <x:v>38530.36616979055</x:v>
      </x:c>
      <x:c r="AQ17" s="38" t="n">
        <x:f>AVERAGE('Monthly EOP Balance'!AQ17,'Monthly EOP Balance'!AR17)</x:f>
        <x:v>36607.83895186731</x:v>
      </x:c>
    </x:row>
    <x:row r="18">
      <x:c r="A18" s="20" t="str">
        <x:v>  Other borrowings</x:v>
      </x:c>
      <x:c r="B18" s="38" t="n">
        <x:f>AVERAGE('Monthly EOP Balance'!B18,'Monthly EOP Balance'!C18)</x:f>
        <x:v>2335</x:v>
      </x:c>
      <x:c r="C18" s="38" t="n">
        <x:f>AVERAGE('Monthly EOP Balance'!C18,'Monthly EOP Balance'!D18)</x:f>
        <x:v>2335</x:v>
      </x:c>
      <x:c r="D18" s="38" t="n">
        <x:f>AVERAGE('Monthly EOP Balance'!D18,'Monthly EOP Balance'!E18)</x:f>
        <x:v>2335</x:v>
      </x:c>
      <x:c r="E18" s="38" t="n">
        <x:f>AVERAGE('Monthly EOP Balance'!E18,'Monthly EOP Balance'!F18)</x:f>
        <x:v>2363</x:v>
      </x:c>
      <x:c r="F18" s="38" t="n">
        <x:f>AVERAGE('Monthly EOP Balance'!F18,'Monthly EOP Balance'!G18)</x:f>
        <x:v>2419</x:v>
      </x:c>
      <x:c r="G18" s="38" t="n">
        <x:f>AVERAGE('Monthly EOP Balance'!G18,'Monthly EOP Balance'!H18)</x:f>
        <x:v>2475</x:v>
      </x:c>
      <x:c r="H18" s="38" t="n">
        <x:f>AVERAGE('Monthly EOP Balance'!H18,'Monthly EOP Balance'!I18)</x:f>
        <x:v>2493</x:v>
      </x:c>
      <x:c r="I18" s="38" t="n">
        <x:f>AVERAGE('Monthly EOP Balance'!I18,'Monthly EOP Balance'!J18)</x:f>
        <x:v>2473</x:v>
      </x:c>
      <x:c r="J18" s="38" t="n">
        <x:f>AVERAGE('Monthly EOP Balance'!J18,'Monthly EOP Balance'!K18)</x:f>
        <x:v>2453</x:v>
      </x:c>
      <x:c r="K18" s="38" t="n">
        <x:f>AVERAGE('Monthly EOP Balance'!K18,'Monthly EOP Balance'!L18)</x:f>
        <x:v>2972</x:v>
      </x:c>
      <x:c r="L18" s="38" t="n">
        <x:f>AVERAGE('Monthly EOP Balance'!L18,'Monthly EOP Balance'!M18)</x:f>
        <x:v>3188</x:v>
      </x:c>
      <x:c r="M18" s="38" t="n">
        <x:f>AVERAGE('Monthly EOP Balance'!M18,'Monthly EOP Balance'!N18)</x:f>
        <x:v>1720</x:v>
      </x:c>
      <x:c r="N18" s="38" t="n">
        <x:f>AVERAGE('Monthly EOP Balance'!N18,'Monthly EOP Balance'!O18)</x:f>
        <x:v>2364</x:v>
      </x:c>
      <x:c r="O18" s="38" t="n">
        <x:f>AVERAGE('Monthly EOP Balance'!O18,'Monthly EOP Balance'!P18)</x:f>
        <x:v>4167.5</x:v>
      </x:c>
      <x:c r="P18" s="38" t="n">
        <x:f>AVERAGE('Monthly EOP Balance'!P18,'Monthly EOP Balance'!Q18)</x:f>
        <x:v>2382</x:v>
      </x:c>
      <x:c r="Q18" s="38" t="n">
        <x:f>AVERAGE('Monthly EOP Balance'!Q18,'Monthly EOP Balance'!R18)</x:f>
        <x:v>2452.6666666666665</x:v>
      </x:c>
      <x:c r="R18" s="38" t="n">
        <x:f>AVERAGE('Monthly EOP Balance'!R18,'Monthly EOP Balance'!S18)</x:f>
        <x:v>4338</x:v>
      </x:c>
      <x:c r="S18" s="38" t="n">
        <x:f>AVERAGE('Monthly EOP Balance'!S18,'Monthly EOP Balance'!T18)</x:f>
        <x:v>2551.3333333333335</x:v>
      </x:c>
      <x:c r="T18" s="38" t="n">
        <x:f>AVERAGE('Monthly EOP Balance'!T18,'Monthly EOP Balance'!U18)</x:f>
        <x:v>2454.3333333333335</x:v>
      </x:c>
      <x:c r="U18" s="38" t="n">
        <x:f>AVERAGE('Monthly EOP Balance'!U18,'Monthly EOP Balance'!V18)</x:f>
        <x:v>4136</x:v>
      </x:c>
      <x:c r="V18" s="38" t="n">
        <x:f>AVERAGE('Monthly EOP Balance'!V18,'Monthly EOP Balance'!W18)</x:f>
        <x:v>2323.6666666666665</x:v>
      </x:c>
      <x:c r="W18" s="38" t="n">
        <x:f>AVERAGE('Monthly EOP Balance'!W18,'Monthly EOP Balance'!X18)</x:f>
        <x:v>2414.3333333333335</x:v>
      </x:c>
      <x:c r="X18" s="38" t="n">
        <x:f>AVERAGE('Monthly EOP Balance'!X18,'Monthly EOP Balance'!Y18)</x:f>
        <x:v>4292.5</x:v>
      </x:c>
      <x:c r="Y18" s="38" t="n">
        <x:f>AVERAGE('Monthly EOP Balance'!Y18,'Monthly EOP Balance'!Z18)</x:f>
        <x:v>2445.6666666666665</x:v>
      </x:c>
      <x:c r="Z18" s="38" t="n">
        <x:f>AVERAGE('Monthly EOP Balance'!Z18,'Monthly EOP Balance'!AA18)</x:f>
        <x:v>2309.666666666667</x:v>
      </x:c>
      <x:c r="AA18" s="38" t="n">
        <x:f>AVERAGE('Monthly EOP Balance'!AA18,'Monthly EOP Balance'!AB18)</x:f>
        <x:v>4029.5</x:v>
      </x:c>
      <x:c r="AB18" s="38" t="n">
        <x:f>AVERAGE('Monthly EOP Balance'!AB18,'Monthly EOP Balance'!AC18)</x:f>
        <x:v>2314.333333333333</x:v>
      </x:c>
      <x:c r="AC18" s="38" t="n">
        <x:f>AVERAGE('Monthly EOP Balance'!AC18,'Monthly EOP Balance'!AD18)</x:f>
        <x:v>2637.3333333333335</x:v>
      </x:c>
      <x:c r="AD18" s="38" t="n">
        <x:f>AVERAGE('Monthly EOP Balance'!AD18,'Monthly EOP Balance'!AE18)</x:f>
        <x:v>4794</x:v>
      </x:c>
      <x:c r="AE18" s="38" t="n">
        <x:f>AVERAGE('Monthly EOP Balance'!AE18,'Monthly EOP Balance'!AF18)</x:f>
        <x:v>3106.6666666666665</x:v>
      </x:c>
      <x:c r="AF18" s="38" t="n">
        <x:f>AVERAGE('Monthly EOP Balance'!AF18,'Monthly EOP Balance'!AG18)</x:f>
        <x:v>3161.3333333333335</x:v>
      </x:c>
      <x:c r="AG18" s="38" t="n">
        <x:f>AVERAGE('Monthly EOP Balance'!AG18,'Monthly EOP Balance'!AH18)</x:f>
        <x:v>5000</x:v>
      </x:c>
      <x:c r="AH18" s="38" t="n">
        <x:f>AVERAGE('Monthly EOP Balance'!AH18,'Monthly EOP Balance'!AI18)</x:f>
        <x:v>3078.6666666666665</x:v>
      </x:c>
      <x:c r="AI18" s="38" t="n">
        <x:f>AVERAGE('Monthly EOP Balance'!AI18,'Monthly EOP Balance'!AJ18)</x:f>
        <x:v>3261.6666666666665</x:v>
      </x:c>
      <x:c r="AJ18" s="38" t="n">
        <x:f>AVERAGE('Monthly EOP Balance'!AJ18,'Monthly EOP Balance'!AK18)</x:f>
        <x:v>5590</x:v>
      </x:c>
      <x:c r="AK18" s="38" t="n">
        <x:f>AVERAGE('Monthly EOP Balance'!AK18,'Monthly EOP Balance'!AL18)</x:f>
        <x:v>4240.333333333333</x:v>
      </x:c>
      <x:c r="AL18" s="38" t="n">
        <x:f>AVERAGE('Monthly EOP Balance'!AL18,'Monthly EOP Balance'!AM18)</x:f>
        <x:v>4058.666666666667</x:v>
      </x:c>
      <x:c r="AM18" s="38" t="n">
        <x:f>AVERAGE('Monthly EOP Balance'!AM18,'Monthly EOP Balance'!AN18)</x:f>
        <x:v>5561</x:v>
      </x:c>
      <x:c r="AN18" s="38" t="n">
        <x:f>AVERAGE('Monthly EOP Balance'!AN18,'Monthly EOP Balance'!AO18)</x:f>
        <x:v>4417.333333333333</x:v>
      </x:c>
      <x:c r="AO18" s="38" t="n">
        <x:f>AVERAGE('Monthly EOP Balance'!AO18,'Monthly EOP Balance'!AP18)</x:f>
        <x:v>4483</x:v>
      </x:c>
      <x:c r="AP18" s="38" t="n">
        <x:f>AVERAGE('Monthly EOP Balance'!AP18,'Monthly EOP Balance'!AQ18)</x:f>
        <x:v>5459.5</x:v>
      </x:c>
      <x:c r="AQ18" s="38" t="n">
        <x:f>AVERAGE('Monthly EOP Balance'!AQ18,'Monthly EOP Balance'!AR18)</x:f>
        <x:v>3193</x:v>
      </x:c>
    </x:row>
    <x:row r="19">
      <x:c r="A19" s="26" t="str">
        <x:v>  Total interest-bearing liabilities</x:v>
      </x:c>
      <x:c r="B19" s="35" t="n">
        <x:f>AVERAGE('Monthly EOP Balance'!B19,'Monthly EOP Balance'!C19)</x:f>
        <x:v>358510</x:v>
      </x:c>
      <x:c r="C19" s="35" t="n">
        <x:f>AVERAGE('Monthly EOP Balance'!C19,'Monthly EOP Balance'!D19)</x:f>
        <x:v>358510</x:v>
      </x:c>
      <x:c r="D19" s="35" t="n">
        <x:f>AVERAGE('Monthly EOP Balance'!D19,'Monthly EOP Balance'!E19)</x:f>
        <x:v>358510</x:v>
      </x:c>
      <x:c r="E19" s="35" t="n">
        <x:f>AVERAGE('Monthly EOP Balance'!E19,'Monthly EOP Balance'!F19)</x:f>
        <x:v>360192.6666666667</x:v>
      </x:c>
      <x:c r="F19" s="35" t="n">
        <x:f>AVERAGE('Monthly EOP Balance'!F19,'Monthly EOP Balance'!G19)</x:f>
        <x:v>363558</x:v>
      </x:c>
      <x:c r="G19" s="35" t="n">
        <x:f>AVERAGE('Monthly EOP Balance'!G19,'Monthly EOP Balance'!H19)</x:f>
        <x:v>366923.3333333333</x:v>
      </x:c>
      <x:c r="H19" s="35" t="n">
        <x:f>AVERAGE('Monthly EOP Balance'!H19,'Monthly EOP Balance'!I19)</x:f>
        <x:v>368296</x:v>
      </x:c>
      <x:c r="I19" s="35" t="n">
        <x:f>AVERAGE('Monthly EOP Balance'!I19,'Monthly EOP Balance'!J19)</x:f>
        <x:v>367676</x:v>
      </x:c>
      <x:c r="J19" s="35" t="n">
        <x:f>AVERAGE('Monthly EOP Balance'!J19,'Monthly EOP Balance'!K19)</x:f>
        <x:v>367056</x:v>
      </x:c>
      <x:c r="K19" s="35" t="n">
        <x:f>AVERAGE('Monthly EOP Balance'!K19,'Monthly EOP Balance'!L19)</x:f>
        <x:v>368641.6666666666</x:v>
      </x:c>
      <x:c r="L19" s="35" t="n">
        <x:f>AVERAGE('Monthly EOP Balance'!L19,'Monthly EOP Balance'!M19)</x:f>
        <x:v>371125</x:v>
      </x:c>
      <x:c r="M19" s="35" t="n">
        <x:f>AVERAGE('Monthly EOP Balance'!M19,'Monthly EOP Balance'!N19)</x:f>
        <x:v>370992.3333333333</x:v>
      </x:c>
      <x:c r="N19" s="35" t="n">
        <x:f>AVERAGE('Monthly EOP Balance'!N19,'Monthly EOP Balance'!O19)</x:f>
        <x:v>369715</x:v>
      </x:c>
      <x:c r="O19" s="35" t="n">
        <x:f>AVERAGE('Monthly EOP Balance'!O19,'Monthly EOP Balance'!P19)</x:f>
        <x:v>369735.5</x:v>
      </x:c>
      <x:c r="P19" s="35" t="n">
        <x:f>AVERAGE('Monthly EOP Balance'!P19,'Monthly EOP Balance'!Q19)</x:f>
        <x:v>372025</x:v>
      </x:c>
      <x:c r="Q19" s="35" t="n">
        <x:f>AVERAGE('Monthly EOP Balance'!Q19,'Monthly EOP Balance'!R19)</x:f>
        <x:v>373952.6666666667</x:v>
      </x:c>
      <x:c r="R19" s="35" t="n">
        <x:f>AVERAGE('Monthly EOP Balance'!R19,'Monthly EOP Balance'!S19)</x:f>
        <x:v>373948.5</x:v>
      </x:c>
      <x:c r="S19" s="35" t="n">
        <x:f>AVERAGE('Monthly EOP Balance'!S19,'Monthly EOP Balance'!T19)</x:f>
        <x:v>373073.3333333333</x:v>
      </x:c>
      <x:c r="T19" s="35" t="n">
        <x:f>AVERAGE('Monthly EOP Balance'!T19,'Monthly EOP Balance'!U19)</x:f>
        <x:v>373373.6666666667</x:v>
      </x:c>
      <x:c r="U19" s="35" t="n">
        <x:f>AVERAGE('Monthly EOP Balance'!U19,'Monthly EOP Balance'!V19)</x:f>
        <x:v>375028.5</x:v>
      </x:c>
      <x:c r="V19" s="35" t="n">
        <x:f>AVERAGE('Monthly EOP Balance'!V19,'Monthly EOP Balance'!W19)</x:f>
        <x:v>376170.3333333334</x:v>
      </x:c>
      <x:c r="W19" s="35" t="n">
        <x:f>AVERAGE('Monthly EOP Balance'!W19,'Monthly EOP Balance'!X19)</x:f>
        <x:v>378003.3333333334</x:v>
      </x:c>
      <x:c r="X19" s="35" t="n">
        <x:f>AVERAGE('Monthly EOP Balance'!X19,'Monthly EOP Balance'!Y19)</x:f>
        <x:v>380319</x:v>
      </x:c>
      <x:c r="Y19" s="35" t="n">
        <x:f>AVERAGE('Monthly EOP Balance'!Y19,'Monthly EOP Balance'!Z19)</x:f>
        <x:v>381704.6666666666</x:v>
      </x:c>
      <x:c r="Z19" s="35" t="n">
        <x:f>AVERAGE('Monthly EOP Balance'!Z19,'Monthly EOP Balance'!AA19)</x:f>
        <x:v>384015</x:v>
      </x:c>
      <x:c r="AA19" s="35" t="n">
        <x:f>AVERAGE('Monthly EOP Balance'!AA19,'Monthly EOP Balance'!AB19)</x:f>
        <x:v>385964.5</x:v>
      </x:c>
      <x:c r="AB19" s="35" t="n">
        <x:f>AVERAGE('Monthly EOP Balance'!AB19,'Monthly EOP Balance'!AC19)</x:f>
        <x:v>384413</x:v>
      </x:c>
      <x:c r="AC19" s="35" t="n">
        <x:f>AVERAGE('Monthly EOP Balance'!AC19,'Monthly EOP Balance'!AD19)</x:f>
        <x:v>399027.6666666667</x:v>
      </x:c>
      <x:c r="AD19" s="35" t="n">
        <x:f>AVERAGE('Monthly EOP Balance'!AD19,'Monthly EOP Balance'!AE19)</x:f>
        <x:v>433742.5</x:v>
      </x:c>
      <x:c r="AE19" s="35" t="n">
        <x:f>AVERAGE('Monthly EOP Balance'!AE19,'Monthly EOP Balance'!AF19)</x:f>
        <x:v>472824.3333333333</x:v>
      </x:c>
      <x:c r="AF19" s="35" t="n">
        <x:f>AVERAGE('Monthly EOP Balance'!AF19,'Monthly EOP Balance'!AG19)</x:f>
        <x:v>491930.3333333334</x:v>
      </x:c>
      <x:c r="AG19" s="35" t="n">
        <x:f>AVERAGE('Monthly EOP Balance'!AG19,'Monthly EOP Balance'!AH19)</x:f>
        <x:v>490357.5</x:v>
      </x:c>
      <x:c r="AH19" s="35" t="n">
        <x:f>AVERAGE('Monthly EOP Balance'!AH19,'Monthly EOP Balance'!AI19)</x:f>
        <x:v>491745.6666666666</x:v>
      </x:c>
      <x:c r="AI19" s="35" t="n">
        <x:f>AVERAGE('Monthly EOP Balance'!AI19,'Monthly EOP Balance'!AJ19)</x:f>
        <x:v>493571.6666666666</x:v>
      </x:c>
      <x:c r="AJ19" s="35" t="n">
        <x:f>AVERAGE('Monthly EOP Balance'!AJ19,'Monthly EOP Balance'!AK19)</x:f>
        <x:v>495257.5</x:v>
      </x:c>
      <x:c r="AK19" s="35" t="n">
        <x:f>AVERAGE('Monthly EOP Balance'!AK19,'Monthly EOP Balance'!AL19)</x:f>
        <x:v>498748.3333333334</x:v>
      </x:c>
      <x:c r="AL19" s="35" t="n">
        <x:f>AVERAGE('Monthly EOP Balance'!AL19,'Monthly EOP Balance'!AM19)</x:f>
        <x:v>501977.6666666667</x:v>
      </x:c>
      <x:c r="AM19" s="35" t="n">
        <x:f>AVERAGE('Monthly EOP Balance'!AM19,'Monthly EOP Balance'!AN19)</x:f>
        <x:v>505280</x:v>
      </x:c>
      <x:c r="AN19" s="35" t="n">
        <x:f>AVERAGE('Monthly EOP Balance'!AN19,'Monthly EOP Balance'!AO19)</x:f>
        <x:v>511056.3333333334</x:v>
      </x:c>
      <x:c r="AO19" s="35" t="n">
        <x:f>AVERAGE('Monthly EOP Balance'!AO19,'Monthly EOP Balance'!AP19)</x:f>
        <x:v>513713.6666666666</x:v>
      </x:c>
      <x:c r="AP19" s="35" t="n">
        <x:f>AVERAGE('Monthly EOP Balance'!AP19,'Monthly EOP Balance'!AQ19)</x:f>
        <x:v>510835.5</x:v>
      </x:c>
      <x:c r="AQ19" s="35" t="n">
        <x:f>AVERAGE('Monthly EOP Balance'!AQ19,'Monthly EOP Balance'!AR19)</x:f>
        <x:v>505598.3333333334</x:v>
      </x:c>
    </x:row>
    <x:row r="20">
      <x:c r="A20" s="20"/>
      <x:c r="B20" s="38"/>
      <x:c r="C20" s="38"/>
      <x:c r="D20" s="38"/>
      <x:c r="E20" s="38"/>
      <x:c r="F20" s="38"/>
      <x:c r="G20" s="38"/>
      <x:c r="H20" s="38"/>
      <x:c r="I20" s="38"/>
      <x:c r="J20" s="38"/>
      <x:c r="K20" s="38"/>
      <x:c r="L20" s="38"/>
      <x:c r="M20" s="38"/>
      <x:c r="N20" s="38"/>
      <x:c r="O20" s="38"/>
      <x:c r="P20" s="38"/>
      <x:c r="Q20" s="38"/>
      <x:c r="R20" s="38"/>
      <x:c r="S20" s="38"/>
      <x:c r="T20" s="38"/>
      <x:c r="U20" s="38"/>
      <x:c r="V20" s="38"/>
      <x:c r="W20" s="38"/>
      <x:c r="X20" s="38"/>
      <x:c r="Y20" s="38"/>
      <x:c r="Z20" s="38"/>
      <x:c r="AA20" s="38"/>
      <x:c r="AB20" s="38"/>
      <x:c r="AC20" s="38"/>
      <x:c r="AD20" s="38"/>
      <x:c r="AE20" s="38"/>
      <x:c r="AF20" s="38"/>
      <x:c r="AG20" s="38"/>
      <x:c r="AH20" s="38"/>
      <x:c r="AI20" s="38"/>
      <x:c r="AJ20" s="38"/>
      <x:c r="AK20" s="38"/>
      <x:c r="AL20" s="38"/>
      <x:c r="AM20" s="38"/>
      <x:c r="AN20" s="38"/>
      <x:c r="AO20" s="38"/>
      <x:c r="AP20" s="38"/>
      <x:c r="AQ20" s="38"/>
    </x:row>
    <x:row r="21">
      <x:c r="A21" s="26" t="str">
        <x:v>Net earning assets (assets − liabilities)</x:v>
      </x:c>
      <x:c r="B21" s="35" t="n">
        <x:f>B12-B19</x:f>
        <x:v>71450</x:v>
      </x:c>
      <x:c r="C21" s="35" t="n">
        <x:f>C12-C19</x:f>
        <x:v>74698.5</x:v>
      </x:c>
      <x:c r="D21" s="35" t="n">
        <x:f>D12-D19</x:f>
        <x:v>81928</x:v>
      </x:c>
      <x:c r="E21" s="35" t="n">
        <x:f>E12-E19</x:f>
        <x:v>79085.33333333331</x:v>
      </x:c>
      <x:c r="F21" s="35" t="n">
        <x:f>F12-F19</x:f>
        <x:v>69880.5</x:v>
      </x:c>
      <x:c r="G21" s="35" t="n">
        <x:f>G12-G19</x:f>
        <x:v>72076.66666666669</x:v>
      </x:c>
      <x:c r="H21" s="35" t="n">
        <x:f>H12-H19</x:f>
        <x:v>75002</x:v>
      </x:c>
      <x:c r="I21" s="35" t="n">
        <x:f>I12-I19</x:f>
        <x:v>74406</x:v>
      </x:c>
      <x:c r="J21" s="35" t="n">
        <x:f>J12-J19</x:f>
        <x:v>76710</x:v>
      </x:c>
      <x:c r="K21" s="35" t="n">
        <x:f>K12-K19</x:f>
        <x:v>79010.33333333337</x:v>
      </x:c>
      <x:c r="L21" s="35" t="n">
        <x:f>L12-L19</x:f>
        <x:v>78514.5</x:v>
      </x:c>
      <x:c r="M21" s="35" t="n">
        <x:f>M12-M19</x:f>
        <x:v>75333.66666666669</x:v>
      </x:c>
      <x:c r="N21" s="35" t="n">
        <x:f>N12-N19</x:f>
        <x:v>77518</x:v>
      </x:c>
      <x:c r="O21" s="35" t="n">
        <x:f>O12-O19</x:f>
        <x:v>81671.5</x:v>
      </x:c>
      <x:c r="P21" s="35" t="n">
        <x:f>P12-P19</x:f>
        <x:v>76348</x:v>
      </x:c>
      <x:c r="Q21" s="35" t="n">
        <x:f>Q12-Q19</x:f>
        <x:v>76885</x:v>
      </x:c>
      <x:c r="R21" s="35" t="n">
        <x:f>R12-R19</x:f>
        <x:v>82708</x:v>
      </x:c>
      <x:c r="S21" s="35" t="n">
        <x:f>S12-S19</x:f>
        <x:v>77905</x:v>
      </x:c>
      <x:c r="T21" s="35" t="n">
        <x:f>T12-T19</x:f>
        <x:v>78377.99999999994</x:v>
      </x:c>
      <x:c r="U21" s="35" t="n">
        <x:f>U12-U19</x:f>
        <x:v>84576</x:v>
      </x:c>
      <x:c r="V21" s="35" t="n">
        <x:f>V12-V19</x:f>
        <x:v>81046</x:v>
      </x:c>
      <x:c r="W21" s="35" t="n">
        <x:f>W12-W19</x:f>
        <x:v>82354.33333333326</x:v>
      </x:c>
      <x:c r="X21" s="35" t="n">
        <x:f>X12-X19</x:f>
        <x:v>87100.5</x:v>
      </x:c>
      <x:c r="Y21" s="35" t="n">
        <x:f>Y12-Y19</x:f>
        <x:v>79317.66666666674</x:v>
      </x:c>
      <x:c r="Z21" s="35" t="n">
        <x:f>Z12-Z19</x:f>
        <x:v>77934</x:v>
      </x:c>
      <x:c r="AA21" s="35" t="n">
        <x:f>AA12-AA19</x:f>
        <x:v>83885.5</x:v>
      </x:c>
      <x:c r="AB21" s="35" t="n">
        <x:f>AB12-AB19</x:f>
        <x:v>79180</x:v>
      </x:c>
      <x:c r="AC21" s="35" t="n">
        <x:f>AC12-AC19</x:f>
        <x:v>82186</x:v>
      </x:c>
      <x:c r="AD21" s="35" t="n">
        <x:f>AD12-AD19</x:f>
        <x:v>93617.5</x:v>
      </x:c>
      <x:c r="AE21" s="35" t="n">
        <x:f>AE12-AE19</x:f>
        <x:v>95819.99999999994</x:v>
      </x:c>
      <x:c r="AF21" s="35" t="n">
        <x:f>AF12-AF19</x:f>
        <x:v>100200.66666666663</x:v>
      </x:c>
      <x:c r="AG21" s="35" t="n">
        <x:f>AG12-AG19</x:f>
        <x:v>106391.5</x:v>
      </x:c>
      <x:c r="AH21" s="35" t="n">
        <x:f>AH12-AH19</x:f>
        <x:v>102617.33333333337</x:v>
      </x:c>
      <x:c r="AI21" s="35" t="n">
        <x:f>AI12-AI19</x:f>
        <x:v>105669.66666666663</x:v>
      </x:c>
      <x:c r="AJ21" s="35" t="n">
        <x:f>AJ12-AJ19</x:f>
        <x:v>114364</x:v>
      </x:c>
      <x:c r="AK21" s="35" t="n">
        <x:f>AK12-AK19</x:f>
        <x:v>110724.33333333337</x:v>
      </x:c>
      <x:c r="AL21" s="35" t="n">
        <x:f>AL12-AL19</x:f>
        <x:v>111009.33333333331</x:v>
      </x:c>
      <x:c r="AM21" s="35" t="n">
        <x:f>AM12-AM19</x:f>
        <x:v>116021</x:v>
      </x:c>
      <x:c r="AN21" s="35" t="n">
        <x:f>AN12-AN19</x:f>
        <x:v>110302.66666666663</x:v>
      </x:c>
      <x:c r="AO21" s="35" t="n">
        <x:f>AO12-AO19</x:f>
        <x:v>108368.33333333337</x:v>
      </x:c>
      <x:c r="AP21" s="35" t="n">
        <x:f>AP12-AP19</x:f>
        <x:v>111755</x:v>
      </x:c>
      <x:c r="AQ21" s="35" t="n">
        <x:f>AQ12-AQ19</x:f>
        <x:v>107485.66666666663</x:v>
      </x:c>
    </x:row>
  </x:sheetData>
  <x:pageMargins left="0.7" right="0.7" top="0.75" bottom="0.75" header="0.3" footer="0.3"/>
</x:worksheet>
</file>

<file path=xl/worksheets/sheet8.xml><?xml version="1.0" encoding="utf-8"?>
<x:worksheet xmlns:x="http://schemas.openxmlformats.org/spreadsheetml/2006/main">
  <x:sheetViews>
    <x:sheetView showGridLines="1" workbookViewId="0">
      <x:pane xSplit="1" ySplit="4" topLeftCell="B5" activePane="bottomRight" state="frozen"/>
    </x:sheetView>
  </x:sheetViews>
  <x:sheetFormatPr defaultRowHeight="15"/>
  <x:cols>
    <x:col min="1" max="1" width="43"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 min="39" max="39" width="12" hidden="0" customWidth="1"/>
    <x:col min="40" max="40" width="12" hidden="0" customWidth="1"/>
    <x:col min="41" max="41" width="12" hidden="0" customWidth="1"/>
    <x:col min="42" max="42" width="12" hidden="0" customWidth="1"/>
    <x:col min="43" max="43" width="12" hidden="0" customWidth="1"/>
  </x:cols>
  <x:sheetData>
    <x:row r="1">
      <x:c r="A1" s="28" t="str">
        <x:v>Capital One - Imputed Monthly Interest Income / Expense by line item ($mm)</x:v>
      </x:c>
      <x:c r="B1" s="20"/>
      <x:c r="C1" s="20"/>
      <x:c r="D1" s="20"/>
      <x:c r="E1" s="20"/>
      <x:c r="F1" s="20"/>
      <x:c r="G1" s="20"/>
      <x:c r="H1" s="20"/>
      <x:c r="I1" s="20"/>
      <x:c r="J1" s="20"/>
      <x:c r="K1" s="20"/>
      <x:c r="L1" s="20"/>
      <x:c r="M1" s="20"/>
      <x:c r="N1" s="20"/>
      <x:c r="O1" s="20"/>
      <x:c r="P1" s="20"/>
      <x:c r="Q1" s="20"/>
      <x:c r="R1" s="20"/>
      <x:c r="S1" s="20"/>
      <x:c r="T1" s="20"/>
      <x:c r="U1" s="20"/>
      <x:c r="V1" s="20"/>
      <x:c r="W1" s="20"/>
      <x:c r="X1" s="20"/>
      <x:c r="Y1" s="20"/>
      <x:c r="Z1" s="20"/>
      <x:c r="AA1" s="20"/>
      <x:c r="AB1" s="20"/>
      <x:c r="AC1" s="20"/>
      <x:c r="AD1" s="20"/>
      <x:c r="AE1" s="20"/>
      <x:c r="AF1" s="20"/>
      <x:c r="AG1" s="20"/>
      <x:c r="AH1" s="20"/>
      <x:c r="AI1" s="20"/>
      <x:c r="AJ1" s="20"/>
      <x:c r="AK1" s="20"/>
      <x:c r="AL1" s="20"/>
      <x:c r="AM1" s="20"/>
      <x:c r="AN1" s="20"/>
      <x:c r="AO1" s="20"/>
      <x:c r="AP1" s="20"/>
      <x:c r="AQ1" s="20"/>
    </x:row>
    <x:row r="2" ht="31" customHeight="1">
      <x:c r="A2" s="30" t="str">
        <x:v>Monthly income starts from the disclosed quarterly rate on each monthly average balance. Any residual needed to match reported quarterly income is allocated in proportion to monthly average balance.</x:v>
      </x:c>
      <x:c r="B2" s="30"/>
      <x:c r="C2" s="30"/>
      <x:c r="D2" s="30"/>
      <x:c r="E2" s="30"/>
      <x:c r="F2" s="30"/>
      <x:c r="G2" s="30"/>
      <x:c r="H2" s="30"/>
      <x:c r="I2" s="30"/>
      <x:c r="J2" s="30"/>
      <x:c r="K2" s="30"/>
      <x:c r="L2" s="30"/>
      <x:c r="M2" s="30"/>
      <x:c r="N2" s="30"/>
      <x:c r="O2" s="30"/>
      <x:c r="P2" s="30"/>
      <x:c r="Q2" s="30"/>
      <x:c r="R2" s="30"/>
      <x:c r="S2" s="30"/>
      <x:c r="T2" s="30"/>
      <x:c r="U2" s="30"/>
      <x:c r="V2" s="30"/>
      <x:c r="W2" s="30"/>
      <x:c r="X2" s="30"/>
      <x:c r="Y2" s="30"/>
      <x:c r="Z2" s="30"/>
      <x:c r="AA2" s="30"/>
      <x:c r="AB2" s="30"/>
      <x:c r="AC2" s="30"/>
      <x:c r="AD2" s="30"/>
      <x:c r="AE2" s="30"/>
      <x:c r="AF2" s="30"/>
      <x:c r="AG2" s="30"/>
      <x:c r="AH2" s="30"/>
      <x:c r="AI2" s="30"/>
      <x:c r="AJ2" s="30"/>
      <x:c r="AK2" s="30"/>
      <x:c r="AL2" s="30"/>
      <x:c r="AM2" s="30"/>
      <x:c r="AN2" s="30"/>
      <x:c r="AO2" s="30"/>
      <x:c r="AP2" s="30"/>
      <x:c r="AQ2" s="30"/>
    </x:row>
    <x:row r="3">
      <x:c r="A3" s="20"/>
      <x:c r="B3" s="20"/>
      <x:c r="C3" s="20"/>
      <x:c r="D3" s="20"/>
      <x:c r="E3" s="20"/>
      <x:c r="F3" s="20"/>
      <x:c r="G3" s="20"/>
      <x:c r="H3" s="20"/>
      <x:c r="I3" s="20"/>
      <x:c r="J3" s="20"/>
      <x:c r="K3" s="20"/>
      <x:c r="L3" s="20"/>
      <x:c r="M3" s="20"/>
      <x:c r="N3" s="20"/>
      <x:c r="O3" s="20"/>
      <x:c r="P3" s="20"/>
      <x:c r="Q3" s="20"/>
      <x:c r="R3" s="20"/>
      <x:c r="S3" s="20"/>
      <x:c r="T3" s="20"/>
      <x:c r="U3" s="20"/>
      <x:c r="V3" s="20"/>
      <x:c r="W3" s="20"/>
      <x:c r="X3" s="20"/>
      <x:c r="Y3" s="20"/>
      <x:c r="Z3" s="20"/>
      <x:c r="AA3" s="20"/>
      <x:c r="AB3" s="20"/>
      <x:c r="AC3" s="20"/>
      <x:c r="AD3" s="20"/>
      <x:c r="AE3" s="20"/>
      <x:c r="AF3" s="20"/>
      <x:c r="AG3" s="20"/>
      <x:c r="AH3" s="20"/>
      <x:c r="AI3" s="20"/>
      <x:c r="AJ3" s="20"/>
      <x:c r="AK3" s="20"/>
      <x:c r="AL3" s="20"/>
      <x:c r="AM3" s="20"/>
      <x:c r="AN3" s="20"/>
      <x:c r="AO3" s="20"/>
      <x:c r="AP3" s="20"/>
      <x:c r="AQ3" s="20"/>
    </x:row>
    <x:row r="4">
      <x:c r="A4" s="26" t="str">
        <x:v>Line item (as disclosed)</x:v>
      </x:c>
      <x:c r="B4" s="31" t="n">
        <x:v>44957</x:v>
      </x:c>
      <x:c r="C4" s="31" t="n">
        <x:v>44985</x:v>
      </x:c>
      <x:c r="D4" s="31" t="n">
        <x:v>45016</x:v>
      </x:c>
      <x:c r="E4" s="31" t="n">
        <x:v>45046</x:v>
      </x:c>
      <x:c r="F4" s="31" t="n">
        <x:v>45077</x:v>
      </x:c>
      <x:c r="G4" s="31" t="n">
        <x:v>45107</x:v>
      </x:c>
      <x:c r="H4" s="31" t="n">
        <x:v>45138</x:v>
      </x:c>
      <x:c r="I4" s="31" t="n">
        <x:v>45169</x:v>
      </x:c>
      <x:c r="J4" s="31" t="n">
        <x:v>45199</x:v>
      </x:c>
      <x:c r="K4" s="31" t="n">
        <x:v>45230</x:v>
      </x:c>
      <x:c r="L4" s="31" t="n">
        <x:v>45260</x:v>
      </x:c>
      <x:c r="M4" s="31" t="n">
        <x:v>45291</x:v>
      </x:c>
      <x:c r="N4" s="31" t="n">
        <x:v>45322</x:v>
      </x:c>
      <x:c r="O4" s="31" t="n">
        <x:v>45351</x:v>
      </x:c>
      <x:c r="P4" s="31" t="n">
        <x:v>45382</x:v>
      </x:c>
      <x:c r="Q4" s="31" t="n">
        <x:v>45412</x:v>
      </x:c>
      <x:c r="R4" s="31" t="n">
        <x:v>45443</x:v>
      </x:c>
      <x:c r="S4" s="31" t="n">
        <x:v>45473</x:v>
      </x:c>
      <x:c r="T4" s="31" t="n">
        <x:v>45504</x:v>
      </x:c>
      <x:c r="U4" s="31" t="n">
        <x:v>45535</x:v>
      </x:c>
      <x:c r="V4" s="31" t="n">
        <x:v>45565</x:v>
      </x:c>
      <x:c r="W4" s="31" t="n">
        <x:v>45596</x:v>
      </x:c>
      <x:c r="X4" s="31" t="n">
        <x:v>45626</x:v>
      </x:c>
      <x:c r="Y4" s="31" t="n">
        <x:v>45657</x:v>
      </x:c>
      <x:c r="Z4" s="31" t="n">
        <x:v>45688</x:v>
      </x:c>
      <x:c r="AA4" s="31" t="n">
        <x:v>45716</x:v>
      </x:c>
      <x:c r="AB4" s="31" t="n">
        <x:v>45747</x:v>
      </x:c>
      <x:c r="AC4" s="31" t="n">
        <x:v>45777</x:v>
      </x:c>
      <x:c r="AD4" s="31" t="n">
        <x:v>45808</x:v>
      </x:c>
      <x:c r="AE4" s="31" t="n">
        <x:v>45838</x:v>
      </x:c>
      <x:c r="AF4" s="31" t="n">
        <x:v>45869</x:v>
      </x:c>
      <x:c r="AG4" s="31" t="n">
        <x:v>45900</x:v>
      </x:c>
      <x:c r="AH4" s="31" t="n">
        <x:v>45930</x:v>
      </x:c>
      <x:c r="AI4" s="31" t="n">
        <x:v>45961</x:v>
      </x:c>
      <x:c r="AJ4" s="31" t="n">
        <x:v>45991</x:v>
      </x:c>
      <x:c r="AK4" s="31" t="n">
        <x:v>46022</x:v>
      </x:c>
      <x:c r="AL4" s="31" t="n">
        <x:v>46053</x:v>
      </x:c>
      <x:c r="AM4" s="31" t="n">
        <x:v>46081</x:v>
      </x:c>
      <x:c r="AN4" s="31" t="n">
        <x:v>46112</x:v>
      </x:c>
      <x:c r="AO4" s="31" t="n">
        <x:v>46142</x:v>
      </x:c>
      <x:c r="AP4" s="31" t="n">
        <x:v>46173</x:v>
      </x:c>
      <x:c r="AQ4" s="31" t="n">
        <x:v>46203</x:v>
      </x:c>
    </x:row>
    <x:row r="5">
      <x:c r="A5" s="32" t="str">
        <x:v>INTEREST-EARNING ASSETS</x:v>
      </x:c>
      <x:c r="B5" s="32"/>
      <x:c r="C5" s="32"/>
      <x:c r="D5" s="32"/>
      <x:c r="E5" s="32"/>
      <x:c r="F5" s="32"/>
      <x:c r="G5" s="32"/>
      <x:c r="H5" s="32"/>
      <x:c r="I5" s="32"/>
      <x:c r="J5" s="32"/>
      <x:c r="K5" s="32"/>
      <x:c r="L5" s="32"/>
      <x:c r="M5" s="32"/>
      <x:c r="N5" s="32"/>
      <x:c r="O5" s="32"/>
      <x:c r="P5" s="32"/>
      <x:c r="Q5" s="32"/>
      <x:c r="R5" s="32"/>
      <x:c r="S5" s="32"/>
      <x:c r="T5" s="32"/>
      <x:c r="U5" s="32"/>
      <x:c r="V5" s="32"/>
      <x:c r="W5" s="32"/>
      <x:c r="X5" s="32"/>
      <x:c r="Y5" s="32"/>
      <x:c r="Z5" s="32"/>
      <x:c r="AA5" s="32"/>
      <x:c r="AB5" s="32"/>
      <x:c r="AC5" s="32"/>
      <x:c r="AD5" s="32"/>
      <x:c r="AE5" s="32"/>
      <x:c r="AF5" s="32"/>
      <x:c r="AG5" s="32"/>
      <x:c r="AH5" s="32"/>
      <x:c r="AI5" s="32"/>
      <x:c r="AJ5" s="32"/>
      <x:c r="AK5" s="32"/>
      <x:c r="AL5" s="32"/>
      <x:c r="AM5" s="32"/>
      <x:c r="AN5" s="32"/>
      <x:c r="AO5" s="32"/>
      <x:c r="AP5" s="32"/>
      <x:c r="AQ5" s="32"/>
    </x:row>
    <x:row r="6">
      <x:c r="A6" s="20" t="str">
        <x:v>  Credit card</x:v>
      </x:c>
      <x:c r="B6" s="43" t="n">
        <x:f>IF(SUM('Monthly Avg Balance'!B6:'Monthly Avg Balance'!D6)=0,"",'Monthly Avg Balance'!B6*Rate!B6/12+('Net Interest Income'!B6-SUM('Monthly Avg Balance'!B6:'Monthly Avg Balance'!D6)*Rate!B6/12)*'Monthly Avg Balance'!B6/SUM('Monthly Avg Balance'!B6:'Monthly Avg Balance'!D6))</x:f>
        <x:v>2017.6666666666667</x:v>
      </x:c>
      <x:c r="C6" s="43" t="n">
        <x:f>IF(SUM('Monthly Avg Balance'!B6:'Monthly Avg Balance'!D6)=0,"",'Monthly Avg Balance'!C6*Rate!B6/12+('Net Interest Income'!B6-SUM('Monthly Avg Balance'!B6:'Monthly Avg Balance'!D6)*Rate!B6/12)*'Monthly Avg Balance'!C6/SUM('Monthly Avg Balance'!B6:'Monthly Avg Balance'!D6))</x:f>
        <x:v>2017.6666666666667</x:v>
      </x:c>
      <x:c r="D6" s="43" t="n">
        <x:f>IF(SUM('Monthly Avg Balance'!B6:'Monthly Avg Balance'!D6)=0,"",'Monthly Avg Balance'!D6*Rate!B6/12+('Net Interest Income'!B6-SUM('Monthly Avg Balance'!B6:'Monthly Avg Balance'!D6)*Rate!B6/12)*'Monthly Avg Balance'!D6/SUM('Monthly Avg Balance'!B6:'Monthly Avg Balance'!D6))</x:f>
        <x:v>2017.6666666666667</x:v>
      </x:c>
      <x:c r="E6" s="43" t="n">
        <x:f>IF(SUM('Monthly Avg Balance'!E6:'Monthly Avg Balance'!G6)=0,"",'Monthly Avg Balance'!E6*Rate!C6/12+('Net Interest Income'!C6-SUM('Monthly Avg Balance'!E6:'Monthly Avg Balance'!G6)*Rate!C6/12)*'Monthly Avg Balance'!E6/SUM('Monthly Avg Balance'!E6:'Monthly Avg Balance'!G6))</x:f>
        <x:v>2059.358389824944</x:v>
      </x:c>
      <x:c r="F6" s="43" t="n">
        <x:f>IF(SUM('Monthly Avg Balance'!E6:'Monthly Avg Balance'!G6)=0,"",'Monthly Avg Balance'!F6*Rate!C6/12+('Net Interest Income'!C6-SUM('Monthly Avg Balance'!E6:'Monthly Avg Balance'!G6)*Rate!C6/12)*'Monthly Avg Balance'!F6/SUM('Monthly Avg Balance'!E6:'Monthly Avg Balance'!G6))</x:f>
        <x:v>2100.6666666666665</x:v>
      </x:c>
      <x:c r="G6" s="43" t="n">
        <x:f>IF(SUM('Monthly Avg Balance'!E6:'Monthly Avg Balance'!G6)=0,"",'Monthly Avg Balance'!G6*Rate!C6/12+('Net Interest Income'!C6-SUM('Monthly Avg Balance'!E6:'Monthly Avg Balance'!G6)*Rate!C6/12)*'Monthly Avg Balance'!G6/SUM('Monthly Avg Balance'!E6:'Monthly Avg Balance'!G6))</x:f>
        <x:v>2141.9749435083895</x:v>
      </x:c>
      <x:c r="H6" s="43" t="n">
        <x:f>IF(SUM('Monthly Avg Balance'!H6:'Monthly Avg Balance'!J6)=0,"",'Monthly Avg Balance'!H6*Rate!D6/12+('Net Interest Income'!D6-SUM('Monthly Avg Balance'!H6:'Monthly Avg Balance'!J6)*Rate!D6/12)*'Monthly Avg Balance'!H6/SUM('Monthly Avg Balance'!H6:'Monthly Avg Balance'!J6))</x:f>
        <x:v>2270.6739494800136</x:v>
      </x:c>
      <x:c r="I6" s="43" t="n">
        <x:f>IF(SUM('Monthly Avg Balance'!H6:'Monthly Avg Balance'!J6)=0,"",'Monthly Avg Balance'!I6*Rate!D6/12+('Net Interest Income'!D6-SUM('Monthly Avg Balance'!H6:'Monthly Avg Balance'!J6)*Rate!D6/12)*'Monthly Avg Balance'!I6/SUM('Monthly Avg Balance'!H6:'Monthly Avg Balance'!J6))</x:f>
        <x:v>2283.333333333333</x:v>
      </x:c>
      <x:c r="J6" s="43" t="n">
        <x:f>IF(SUM('Monthly Avg Balance'!H6:'Monthly Avg Balance'!J6)=0,"",'Monthly Avg Balance'!J6*Rate!D6/12+('Net Interest Income'!D6-SUM('Monthly Avg Balance'!H6:'Monthly Avg Balance'!J6)*Rate!D6/12)*'Monthly Avg Balance'!J6/SUM('Monthly Avg Balance'!H6:'Monthly Avg Balance'!J6))</x:f>
        <x:v>2295.992717186653</x:v>
      </x:c>
      <x:c r="K6" s="43" t="n">
        <x:f>IF(SUM('Monthly Avg Balance'!K6:'Monthly Avg Balance'!M6)=0,"",'Monthly Avg Balance'!K6*Rate!E6/12+('Net Interest Income'!E6-SUM('Monthly Avg Balance'!K6:'Monthly Avg Balance'!M6)*Rate!E6/12)*'Monthly Avg Balance'!K6/SUM('Monthly Avg Balance'!K6:'Monthly Avg Balance'!M6))</x:f>
        <x:v>2318.9591596735186</x:v>
      </x:c>
      <x:c r="L6" s="43" t="n">
        <x:f>IF(SUM('Monthly Avg Balance'!K6:'Monthly Avg Balance'!M6)=0,"",'Monthly Avg Balance'!L6*Rate!E6/12+('Net Interest Income'!E6-SUM('Monthly Avg Balance'!K6:'Monthly Avg Balance'!M6)*Rate!E6/12)*'Monthly Avg Balance'!L6/SUM('Monthly Avg Balance'!K6:'Monthly Avg Balance'!M6))</x:f>
        <x:v>2364.998855757786</x:v>
      </x:c>
      <x:c r="M6" s="43" t="n">
        <x:f>IF(SUM('Monthly Avg Balance'!K6:'Monthly Avg Balance'!M6)=0,"",'Monthly Avg Balance'!M6*Rate!E6/12+('Net Interest Income'!E6-SUM('Monthly Avg Balance'!K6:'Monthly Avg Balance'!M6)*Rate!E6/12)*'Monthly Avg Balance'!M6/SUM('Monthly Avg Balance'!K6:'Monthly Avg Balance'!M6))</x:f>
        <x:v>2378.0419845686956</x:v>
      </x:c>
      <x:c r="N6" s="43" t="n">
        <x:f>IF(SUM('Monthly Avg Balance'!N6:'Monthly Avg Balance'!P6)=0,"",'Monthly Avg Balance'!N6*Rate!F6/12+('Net Interest Income'!F6-SUM('Monthly Avg Balance'!N6:'Monthly Avg Balance'!P6)*Rate!F6/12)*'Monthly Avg Balance'!N6/SUM('Monthly Avg Balance'!N6:'Monthly Avg Balance'!P6))</x:f>
        <x:v>2362.6875908147736</x:v>
      </x:c>
      <x:c r="O6" s="43" t="n">
        <x:f>IF(SUM('Monthly Avg Balance'!N6:'Monthly Avg Balance'!P6)=0,"",'Monthly Avg Balance'!O6*Rate!F6/12+('Net Interest Income'!F6-SUM('Monthly Avg Balance'!N6:'Monthly Avg Balance'!P6)*Rate!F6/12)*'Monthly Avg Balance'!O6/SUM('Monthly Avg Balance'!N6:'Monthly Avg Balance'!P6))</x:f>
        <x:v>2352.3439722756484</x:v>
      </x:c>
      <x:c r="P6" s="43" t="n">
        <x:f>IF(SUM('Monthly Avg Balance'!N6:'Monthly Avg Balance'!P6)=0,"",'Monthly Avg Balance'!P6*Rate!F6/12+('Net Interest Income'!F6-SUM('Monthly Avg Balance'!N6:'Monthly Avg Balance'!P6)*Rate!F6/12)*'Monthly Avg Balance'!P6/SUM('Monthly Avg Balance'!N6:'Monthly Avg Balance'!P6))</x:f>
        <x:v>2351.9684369095776</x:v>
      </x:c>
      <x:c r="Q6" s="43" t="n">
        <x:f>IF(SUM('Monthly Avg Balance'!Q6:'Monthly Avg Balance'!S6)=0,"",'Monthly Avg Balance'!Q6*Rate!G6/12+('Net Interest Income'!G6-SUM('Monthly Avg Balance'!Q6:'Monthly Avg Balance'!S6)*Rate!G6/12)*'Monthly Avg Balance'!Q6/SUM('Monthly Avg Balance'!Q6:'Monthly Avg Balance'!S6))</x:f>
        <x:v>2351.7987729897627</x:v>
      </x:c>
      <x:c r="R6" s="43" t="n">
        <x:f>IF(SUM('Monthly Avg Balance'!Q6:'Monthly Avg Balance'!S6)=0,"",'Monthly Avg Balance'!R6*Rate!G6/12+('Net Interest Income'!G6-SUM('Monthly Avg Balance'!Q6:'Monthly Avg Balance'!S6)*Rate!G6/12)*'Monthly Avg Balance'!R6/SUM('Monthly Avg Balance'!Q6:'Monthly Avg Balance'!S6))</x:f>
        <x:v>2362.054215645918</x:v>
      </x:c>
      <x:c r="S6" s="43" t="n">
        <x:f>IF(SUM('Monthly Avg Balance'!Q6:'Monthly Avg Balance'!S6)=0,"",'Monthly Avg Balance'!S6*Rate!G6/12+('Net Interest Income'!G6-SUM('Monthly Avg Balance'!Q6:'Monthly Avg Balance'!S6)*Rate!G6/12)*'Monthly Avg Balance'!S6/SUM('Monthly Avg Balance'!Q6:'Monthly Avg Balance'!S6))</x:f>
        <x:v>2374.1470113643186</x:v>
      </x:c>
      <x:c r="T6" s="43" t="n">
        <x:f>IF(SUM('Monthly Avg Balance'!T6:'Monthly Avg Balance'!V6)=0,"",'Monthly Avg Balance'!T6*Rate!H6/12+('Net Interest Income'!H6-SUM('Monthly Avg Balance'!T6:'Monthly Avg Balance'!V6)*Rate!H6/12)*'Monthly Avg Balance'!T6/SUM('Monthly Avg Balance'!T6:'Monthly Avg Balance'!V6))</x:f>
        <x:v>2506.27289354827</x:v>
      </x:c>
      <x:c r="U6" s="43" t="n">
        <x:f>IF(SUM('Monthly Avg Balance'!T6:'Monthly Avg Balance'!V6)=0,"",'Monthly Avg Balance'!U6*Rate!H6/12+('Net Interest Income'!H6-SUM('Monthly Avg Balance'!T6:'Monthly Avg Balance'!V6)*Rate!H6/12)*'Monthly Avg Balance'!U6/SUM('Monthly Avg Balance'!T6:'Monthly Avg Balance'!V6))</x:f>
        <x:v>2533.7773433799084</x:v>
      </x:c>
      <x:c r="V6" s="43" t="n">
        <x:f>IF(SUM('Monthly Avg Balance'!T6:'Monthly Avg Balance'!V6)=0,"",'Monthly Avg Balance'!V6*Rate!H6/12+('Net Interest Income'!H6-SUM('Monthly Avg Balance'!T6:'Monthly Avg Balance'!V6)*Rate!H6/12)*'Monthly Avg Balance'!V6/SUM('Monthly Avg Balance'!T6:'Monthly Avg Balance'!V6))</x:f>
        <x:v>2537.9497630718215</x:v>
      </x:c>
      <x:c r="W6" s="43" t="n">
        <x:f>IF(SUM('Monthly Avg Balance'!W6:'Monthly Avg Balance'!Y6)=0,"",'Monthly Avg Balance'!W6*Rate!I6/12+('Net Interest Income'!I6-SUM('Monthly Avg Balance'!W6:'Monthly Avg Balance'!Y6)*Rate!I6/12)*'Monthly Avg Balance'!W6/SUM('Monthly Avg Balance'!W6:'Monthly Avg Balance'!Y6))</x:f>
        <x:v>2471.009896653427</x:v>
      </x:c>
      <x:c r="X6" s="43" t="n">
        <x:f>IF(SUM('Monthly Avg Balance'!W6:'Monthly Avg Balance'!Y6)=0,"",'Monthly Avg Balance'!X6*Rate!I6/12+('Net Interest Income'!I6-SUM('Monthly Avg Balance'!W6:'Monthly Avg Balance'!Y6)*Rate!I6/12)*'Monthly Avg Balance'!X6/SUM('Monthly Avg Balance'!W6:'Monthly Avg Balance'!Y6))</x:f>
        <x:v>2496.4464547991233</x:v>
      </x:c>
      <x:c r="Y6" s="43" t="n">
        <x:f>IF(SUM('Monthly Avg Balance'!W6:'Monthly Avg Balance'!Y6)=0,"",'Monthly Avg Balance'!Y6*Rate!I6/12+('Net Interest Income'!I6-SUM('Monthly Avg Balance'!W6:'Monthly Avg Balance'!Y6)*Rate!I6/12)*'Monthly Avg Balance'!Y6/SUM('Monthly Avg Balance'!W6:'Monthly Avg Balance'!Y6))</x:f>
        <x:v>2525.543648547452</x:v>
      </x:c>
      <x:c r="Z6" s="43" t="n">
        <x:f>IF(SUM('Monthly Avg Balance'!Z6:'Monthly Avg Balance'!AB6)=0,"",'Monthly Avg Balance'!Z6*Rate!J6/12+('Net Interest Income'!J6-SUM('Monthly Avg Balance'!Z6:'Monthly Avg Balance'!AB6)*Rate!J6/12)*'Monthly Avg Balance'!Z6/SUM('Monthly Avg Balance'!Z6:'Monthly Avg Balance'!AB6))</x:f>
        <x:v>2443.226974345392</x:v>
      </x:c>
      <x:c r="AA6" s="43" t="n">
        <x:f>IF(SUM('Monthly Avg Balance'!Z6:'Monthly Avg Balance'!AB6)=0,"",'Monthly Avg Balance'!AA6*Rate!J6/12+('Net Interest Income'!J6-SUM('Monthly Avg Balance'!Z6:'Monthly Avg Balance'!AB6)*Rate!J6/12)*'Monthly Avg Balance'!AA6/SUM('Monthly Avg Balance'!Z6:'Monthly Avg Balance'!AB6))</x:f>
        <x:v>2395.088906614942</x:v>
      </x:c>
      <x:c r="AB6" s="43" t="n">
        <x:f>IF(SUM('Monthly Avg Balance'!Z6:'Monthly Avg Balance'!AB6)=0,"",'Monthly Avg Balance'!AB6*Rate!J6/12+('Net Interest Income'!J6-SUM('Monthly Avg Balance'!Z6:'Monthly Avg Balance'!AB6)*Rate!J6/12)*'Monthly Avg Balance'!AB6/SUM('Monthly Avg Balance'!Z6:'Monthly Avg Balance'!AB6))</x:f>
        <x:v>2409.684119039666</x:v>
      </x:c>
      <x:c r="AC6" s="43" t="n">
        <x:f>IF(SUM('Monthly Avg Balance'!AC6:'Monthly Avg Balance'!AE6)=0,"",'Monthly Avg Balance'!AC6*Rate!K6/12+('Net Interest Income'!K6-SUM('Monthly Avg Balance'!AC6:'Monthly Avg Balance'!AE6)*Rate!K6/12)*'Monthly Avg Balance'!AC6/SUM('Monthly Avg Balance'!AC6:'Monthly Avg Balance'!AE6))</x:f>
        <x:v>2663.586169109826</x:v>
      </x:c>
      <x:c r="AD6" s="43" t="n">
        <x:f>IF(SUM('Monthly Avg Balance'!AC6:'Monthly Avg Balance'!AE6)=0,"",'Monthly Avg Balance'!AD6*Rate!K6/12+('Net Interest Income'!K6-SUM('Monthly Avg Balance'!AC6:'Monthly Avg Balance'!AE6)*Rate!K6/12)*'Monthly Avg Balance'!AD6/SUM('Monthly Avg Balance'!AC6:'Monthly Avg Balance'!AE6))</x:f>
        <x:v>3230.0586424556936</x:v>
      </x:c>
      <x:c r="AE6" s="43" t="n">
        <x:f>IF(SUM('Monthly Avg Balance'!AC6:'Monthly Avg Balance'!AE6)=0,"",'Monthly Avg Balance'!AE6*Rate!K6/12+('Net Interest Income'!K6-SUM('Monthly Avg Balance'!AC6:'Monthly Avg Balance'!AE6)*Rate!K6/12)*'Monthly Avg Balance'!AE6/SUM('Monthly Avg Balance'!AC6:'Monthly Avg Balance'!AE6))</x:f>
        <x:v>3513.35518843448</x:v>
      </x:c>
      <x:c r="AF6" s="43" t="n">
        <x:f>IF(SUM('Monthly Avg Balance'!AF6:'Monthly Avg Balance'!AH6)=0,"",'Monthly Avg Balance'!AF6*Rate!L6/12+('Net Interest Income'!L6-SUM('Monthly Avg Balance'!AF6:'Monthly Avg Balance'!AH6)*Rate!L6/12)*'Monthly Avg Balance'!AF6/SUM('Monthly Avg Balance'!AF6:'Monthly Avg Balance'!AH6))</x:f>
        <x:v>3841.375579197768</x:v>
      </x:c>
      <x:c r="AG6" s="43" t="n">
        <x:f>IF(SUM('Monthly Avg Balance'!AF6:'Monthly Avg Balance'!AH6)=0,"",'Monthly Avg Balance'!AG6*Rate!L6/12+('Net Interest Income'!L6-SUM('Monthly Avg Balance'!AF6:'Monthly Avg Balance'!AH6)*Rate!L6/12)*'Monthly Avg Balance'!AG6/SUM('Monthly Avg Balance'!AF6:'Monthly Avg Balance'!AH6))</x:f>
        <x:v>4155.127026283863</x:v>
      </x:c>
      <x:c r="AH6" s="43" t="n">
        <x:f>IF(SUM('Monthly Avg Balance'!AF6:'Monthly Avg Balance'!AH6)=0,"",'Monthly Avg Balance'!AH6*Rate!L6/12+('Net Interest Income'!L6-SUM('Monthly Avg Balance'!AF6:'Monthly Avg Balance'!AH6)*Rate!L6/12)*'Monthly Avg Balance'!AH6/SUM('Monthly Avg Balance'!AF6:'Monthly Avg Balance'!AH6))</x:f>
        <x:v>4112.497394518368</x:v>
      </x:c>
      <x:c r="AI6" s="43" t="n">
        <x:f>IF(SUM('Monthly Avg Balance'!AI6:'Monthly Avg Balance'!AK6)=0,"",'Monthly Avg Balance'!AI6*Rate!M6/12+('Net Interest Income'!M6-SUM('Monthly Avg Balance'!AI6:'Monthly Avg Balance'!AK6)*Rate!M6/12)*'Monthly Avg Balance'!AI6/SUM('Monthly Avg Balance'!AI6:'Monthly Avg Balance'!AK6))</x:f>
        <x:v>3991.128023461058</x:v>
      </x:c>
      <x:c r="AJ6" s="43" t="n">
        <x:f>IF(SUM('Monthly Avg Balance'!AI6:'Monthly Avg Balance'!AK6)=0,"",'Monthly Avg Balance'!AJ6*Rate!M6/12+('Net Interest Income'!M6-SUM('Monthly Avg Balance'!AI6:'Monthly Avg Balance'!AK6)*Rate!M6/12)*'Monthly Avg Balance'!AJ6/SUM('Monthly Avg Balance'!AI6:'Monthly Avg Balance'!AK6))</x:f>
        <x:v>4002.169478822662</x:v>
      </x:c>
      <x:c r="AK6" s="43" t="n">
        <x:f>IF(SUM('Monthly Avg Balance'!AI6:'Monthly Avg Balance'!AK6)=0,"",'Monthly Avg Balance'!AK6*Rate!M6/12+('Net Interest Income'!M6-SUM('Monthly Avg Balance'!AI6:'Monthly Avg Balance'!AK6)*Rate!M6/12)*'Monthly Avg Balance'!AK6/SUM('Monthly Avg Balance'!AI6:'Monthly Avg Balance'!AK6))</x:f>
        <x:v>4055.702497716281</x:v>
      </x:c>
      <x:c r="AL6" s="43" t="n">
        <x:f>IF(SUM('Monthly Avg Balance'!AL6:'Monthly Avg Balance'!AN6)=0,"",'Monthly Avg Balance'!AL6*Rate!N6/12+('Net Interest Income'!N6-SUM('Monthly Avg Balance'!AL6:'Monthly Avg Balance'!AN6)*Rate!N6/12)*'Monthly Avg Balance'!AL6/SUM('Monthly Avg Balance'!AL6:'Monthly Avg Balance'!AN6))</x:f>
        <x:v>3922.6738731749383</x:v>
      </x:c>
      <x:c r="AM6" s="43" t="n">
        <x:f>IF(SUM('Monthly Avg Balance'!AL6:'Monthly Avg Balance'!AN6)=0,"",'Monthly Avg Balance'!AM6*Rate!N6/12+('Net Interest Income'!N6-SUM('Monthly Avg Balance'!AL6:'Monthly Avg Balance'!AN6)*Rate!N6/12)*'Monthly Avg Balance'!AM6/SUM('Monthly Avg Balance'!AL6:'Monthly Avg Balance'!AN6))</x:f>
        <x:v>3843.732996548819</x:v>
      </x:c>
      <x:c r="AN6" s="43" t="n">
        <x:f>IF(SUM('Monthly Avg Balance'!AL6:'Monthly Avg Balance'!AN6)=0,"",'Monthly Avg Balance'!AN6*Rate!N6/12+('Net Interest Income'!N6-SUM('Monthly Avg Balance'!AL6:'Monthly Avg Balance'!AN6)*Rate!N6/12)*'Monthly Avg Balance'!AN6/SUM('Monthly Avg Balance'!AL6:'Monthly Avg Balance'!AN6))</x:f>
        <x:v>3866.5931302762438</x:v>
      </x:c>
      <x:c r="AO6" s="43" t="n">
        <x:f>IF(SUM('Monthly Avg Balance'!AO6:'Monthly Avg Balance'!AQ6)=0,"",'Monthly Avg Balance'!AO6*Rate!O6/12+('Net Interest Income'!O6-SUM('Monthly Avg Balance'!AO6:'Monthly Avg Balance'!AQ6)*Rate!O6/12)*'Monthly Avg Balance'!AO6/SUM('Monthly Avg Balance'!AO6:'Monthly Avg Balance'!AQ6))</x:f>
        <x:v>3883.7348791135973</x:v>
      </x:c>
      <x:c r="AP6" s="43" t="n">
        <x:f>IF(SUM('Monthly Avg Balance'!AO6:'Monthly Avg Balance'!AQ6)=0,"",'Monthly Avg Balance'!AP6*Rate!O6/12+('Net Interest Income'!O6-SUM('Monthly Avg Balance'!AO6:'Monthly Avg Balance'!AQ6)*Rate!O6/12)*'Monthly Avg Balance'!AP6/SUM('Monthly Avg Balance'!AO6:'Monthly Avg Balance'!AQ6))</x:f>
        <x:v>3869.9332013228964</x:v>
      </x:c>
      <x:c r="AQ6" s="43" t="n">
        <x:f>IF(SUM('Monthly Avg Balance'!AO6:'Monthly Avg Balance'!AQ6)=0,"",'Monthly Avg Balance'!AQ6*Rate!O6/12+('Net Interest Income'!O6-SUM('Monthly Avg Balance'!AO6:'Monthly Avg Balance'!AQ6)*Rate!O6/12)*'Monthly Avg Balance'!AQ6/SUM('Monthly Avg Balance'!AO6:'Monthly Avg Balance'!AQ6))</x:f>
        <x:v>3916.331919563505</x:v>
      </x:c>
    </x:row>
    <x:row r="7">
      <x:c r="A7" s="20" t="str">
        <x:v>  Consumer banking</x:v>
      </x:c>
      <x:c r="B7" s="43" t="n">
        <x:f>IF(SUM('Monthly Avg Balance'!B7:'Monthly Avg Balance'!D7)=0,"",'Monthly Avg Balance'!B7*Rate!B7/12+('Net Interest Income'!B7-SUM('Monthly Avg Balance'!B7:'Monthly Avg Balance'!D7)*Rate!B7/12)*'Monthly Avg Balance'!B7/SUM('Monthly Avg Balance'!B7:'Monthly Avg Balance'!D7))</x:f>
        <x:v>487</x:v>
      </x:c>
      <x:c r="C7" s="43" t="n">
        <x:f>IF(SUM('Monthly Avg Balance'!B7:'Monthly Avg Balance'!D7)=0,"",'Monthly Avg Balance'!C7*Rate!B7/12+('Net Interest Income'!B7-SUM('Monthly Avg Balance'!B7:'Monthly Avg Balance'!D7)*Rate!B7/12)*'Monthly Avg Balance'!C7/SUM('Monthly Avg Balance'!B7:'Monthly Avg Balance'!D7))</x:f>
        <x:v>487</x:v>
      </x:c>
      <x:c r="D7" s="43" t="n">
        <x:f>IF(SUM('Monthly Avg Balance'!B7:'Monthly Avg Balance'!D7)=0,"",'Monthly Avg Balance'!D7*Rate!B7/12+('Net Interest Income'!B7-SUM('Monthly Avg Balance'!B7:'Monthly Avg Balance'!D7)*Rate!B7/12)*'Monthly Avg Balance'!D7/SUM('Monthly Avg Balance'!B7:'Monthly Avg Balance'!D7))</x:f>
        <x:v>487</x:v>
      </x:c>
      <x:c r="E7" s="43" t="n">
        <x:f>IF(SUM('Monthly Avg Balance'!E7:'Monthly Avg Balance'!G7)=0,"",'Monthly Avg Balance'!E7*Rate!C7/12+('Net Interest Income'!C7-SUM('Monthly Avg Balance'!E7:'Monthly Avg Balance'!G7)*Rate!C7/12)*'Monthly Avg Balance'!E7/SUM('Monthly Avg Balance'!E7:'Monthly Avg Balance'!G7))</x:f>
        <x:v>500.86260798437274</x:v>
      </x:c>
      <x:c r="F7" s="43" t="n">
        <x:f>IF(SUM('Monthly Avg Balance'!E7:'Monthly Avg Balance'!G7)=0,"",'Monthly Avg Balance'!F7*Rate!C7/12+('Net Interest Income'!C7-SUM('Monthly Avg Balance'!E7:'Monthly Avg Balance'!G7)*Rate!C7/12)*'Monthly Avg Balance'!F7/SUM('Monthly Avg Balance'!E7:'Monthly Avg Balance'!G7))</x:f>
        <x:v>495.3333333333333</x:v>
      </x:c>
      <x:c r="G7" s="43" t="n">
        <x:f>IF(SUM('Monthly Avg Balance'!E7:'Monthly Avg Balance'!G7)=0,"",'Monthly Avg Balance'!G7*Rate!C7/12+('Net Interest Income'!C7-SUM('Monthly Avg Balance'!E7:'Monthly Avg Balance'!G7)*Rate!C7/12)*'Monthly Avg Balance'!G7/SUM('Monthly Avg Balance'!E7:'Monthly Avg Balance'!G7))</x:f>
        <x:v>489.8040586822939</x:v>
      </x:c>
      <x:c r="H7" s="43" t="n">
        <x:f>IF(SUM('Monthly Avg Balance'!H7:'Monthly Avg Balance'!J7)=0,"",'Monthly Avg Balance'!H7*Rate!D7/12+('Net Interest Income'!D7-SUM('Monthly Avg Balance'!H7:'Monthly Avg Balance'!J7)*Rate!D7/12)*'Monthly Avg Balance'!H7/SUM('Monthly Avg Balance'!H7:'Monthly Avg Balance'!J7))</x:f>
        <x:v>508.9865723099256</x:v>
      </x:c>
      <x:c r="I7" s="43" t="n">
        <x:f>IF(SUM('Monthly Avg Balance'!H7:'Monthly Avg Balance'!J7)=0,"",'Monthly Avg Balance'!I7*Rate!D7/12+('Net Interest Income'!D7-SUM('Monthly Avg Balance'!H7:'Monthly Avg Balance'!J7)*Rate!D7/12)*'Monthly Avg Balance'!I7/SUM('Monthly Avg Balance'!H7:'Monthly Avg Balance'!J7))</x:f>
        <x:v>512.3333333333334</x:v>
      </x:c>
      <x:c r="J7" s="43" t="n">
        <x:f>IF(SUM('Monthly Avg Balance'!H7:'Monthly Avg Balance'!J7)=0,"",'Monthly Avg Balance'!J7*Rate!D7/12+('Net Interest Income'!D7-SUM('Monthly Avg Balance'!H7:'Monthly Avg Balance'!J7)*Rate!D7/12)*'Monthly Avg Balance'!J7/SUM('Monthly Avg Balance'!H7:'Monthly Avg Balance'!J7))</x:f>
        <x:v>515.6800943567409</x:v>
      </x:c>
      <x:c r="K7" s="43" t="n">
        <x:f>IF(SUM('Monthly Avg Balance'!K7:'Monthly Avg Balance'!M7)=0,"",'Monthly Avg Balance'!K7*Rate!E7/12+('Net Interest Income'!E7-SUM('Monthly Avg Balance'!K7:'Monthly Avg Balance'!M7)*Rate!E7/12)*'Monthly Avg Balance'!K7/SUM('Monthly Avg Balance'!K7:'Monthly Avg Balance'!M7))</x:f>
        <x:v>523.742288716155</x:v>
      </x:c>
      <x:c r="L7" s="43" t="n">
        <x:f>IF(SUM('Monthly Avg Balance'!K7:'Monthly Avg Balance'!M7)=0,"",'Monthly Avg Balance'!L7*Rate!E7/12+('Net Interest Income'!E7-SUM('Monthly Avg Balance'!K7:'Monthly Avg Balance'!M7)*Rate!E7/12)*'Monthly Avg Balance'!L7/SUM('Monthly Avg Balance'!K7:'Monthly Avg Balance'!M7))</x:f>
        <x:v>513.0910842902849</x:v>
      </x:c>
      <x:c r="M7" s="43" t="n">
        <x:f>IF(SUM('Monthly Avg Balance'!K7:'Monthly Avg Balance'!M7)=0,"",'Monthly Avg Balance'!M7*Rate!E7/12+('Net Interest Income'!E7-SUM('Monthly Avg Balance'!K7:'Monthly Avg Balance'!M7)*Rate!E7/12)*'Monthly Avg Balance'!M7/SUM('Monthly Avg Balance'!K7:'Monthly Avg Balance'!M7))</x:f>
        <x:v>520.1666269935604</x:v>
      </x:c>
      <x:c r="N7" s="43" t="n">
        <x:f>IF(SUM('Monthly Avg Balance'!N7:'Monthly Avg Balance'!P7)=0,"",'Monthly Avg Balance'!N7*Rate!F7/12+('Net Interest Income'!F7-SUM('Monthly Avg Balance'!N7:'Monthly Avg Balance'!P7)*Rate!F7/12)*'Monthly Avg Balance'!N7/SUM('Monthly Avg Balance'!N7:'Monthly Avg Balance'!P7))</x:f>
        <x:v>528.5437191535032</x:v>
      </x:c>
      <x:c r="O7" s="43" t="n">
        <x:f>IF(SUM('Monthly Avg Balance'!N7:'Monthly Avg Balance'!P7)=0,"",'Monthly Avg Balance'!O7*Rate!F7/12+('Net Interest Income'!F7-SUM('Monthly Avg Balance'!N7:'Monthly Avg Balance'!P7)*Rate!F7/12)*'Monthly Avg Balance'!O7/SUM('Monthly Avg Balance'!N7:'Monthly Avg Balance'!P7))</x:f>
        <x:v>516.8280173666229</x:v>
      </x:c>
      <x:c r="P7" s="43" t="n">
        <x:f>IF(SUM('Monthly Avg Balance'!N7:'Monthly Avg Balance'!P7)=0,"",'Monthly Avg Balance'!P7*Rate!F7/12+('Net Interest Income'!F7-SUM('Monthly Avg Balance'!N7:'Monthly Avg Balance'!P7)*Rate!F7/12)*'Monthly Avg Balance'!P7/SUM('Monthly Avg Balance'!N7:'Monthly Avg Balance'!P7))</x:f>
        <x:v>518.6282634798739</x:v>
      </x:c>
      <x:c r="Q7" s="43" t="n">
        <x:f>IF(SUM('Monthly Avg Balance'!Q7:'Monthly Avg Balance'!S7)=0,"",'Monthly Avg Balance'!Q7*Rate!G7/12+('Net Interest Income'!G7-SUM('Monthly Avg Balance'!Q7:'Monthly Avg Balance'!S7)*Rate!G7/12)*'Monthly Avg Balance'!Q7/SUM('Monthly Avg Balance'!Q7:'Monthly Avg Balance'!S7))</x:f>
        <x:v>534.9322400493379</x:v>
      </x:c>
      <x:c r="R7" s="43" t="n">
        <x:f>IF(SUM('Monthly Avg Balance'!Q7:'Monthly Avg Balance'!S7)=0,"",'Monthly Avg Balance'!R7*Rate!G7/12+('Net Interest Income'!G7-SUM('Monthly Avg Balance'!Q7:'Monthly Avg Balance'!S7)*Rate!G7/12)*'Monthly Avg Balance'!R7/SUM('Monthly Avg Balance'!Q7:'Monthly Avg Balance'!S7))</x:f>
        <x:v>536.5921151480338</x:v>
      </x:c>
      <x:c r="S7" s="43" t="n">
        <x:f>IF(SUM('Monthly Avg Balance'!Q7:'Monthly Avg Balance'!S7)=0,"",'Monthly Avg Balance'!S7*Rate!G7/12+('Net Interest Income'!G7-SUM('Monthly Avg Balance'!Q7:'Monthly Avg Balance'!S7)*Rate!G7/12)*'Monthly Avg Balance'!S7/SUM('Monthly Avg Balance'!Q7:'Monthly Avg Balance'!S7))</x:f>
        <x:v>539.4756448026283</x:v>
      </x:c>
      <x:c r="T7" s="43" t="n">
        <x:f>IF(SUM('Monthly Avg Balance'!T7:'Monthly Avg Balance'!V7)=0,"",'Monthly Avg Balance'!T7*Rate!H7/12+('Net Interest Income'!H7-SUM('Monthly Avg Balance'!T7:'Monthly Avg Balance'!V7)*Rate!H7/12)*'Monthly Avg Balance'!T7/SUM('Monthly Avg Balance'!T7:'Monthly Avg Balance'!V7))</x:f>
        <x:v>562.6903246469626</x:v>
      </x:c>
      <x:c r="U7" s="43" t="n">
        <x:f>IF(SUM('Monthly Avg Balance'!T7:'Monthly Avg Balance'!V7)=0,"",'Monthly Avg Balance'!U7*Rate!H7/12+('Net Interest Income'!H7-SUM('Monthly Avg Balance'!T7:'Monthly Avg Balance'!V7)*Rate!H7/12)*'Monthly Avg Balance'!U7/SUM('Monthly Avg Balance'!T7:'Monthly Avg Balance'!V7))</x:f>
        <x:v>563.6710072492539</x:v>
      </x:c>
      <x:c r="V7" s="43" t="n">
        <x:f>IF(SUM('Monthly Avg Balance'!T7:'Monthly Avg Balance'!V7)=0,"",'Monthly Avg Balance'!V7*Rate!H7/12+('Net Interest Income'!H7-SUM('Monthly Avg Balance'!T7:'Monthly Avg Balance'!V7)*Rate!H7/12)*'Monthly Avg Balance'!V7/SUM('Monthly Avg Balance'!T7:'Monthly Avg Balance'!V7))</x:f>
        <x:v>565.6386681037834</x:v>
      </x:c>
      <x:c r="W7" s="43" t="n">
        <x:f>IF(SUM('Monthly Avg Balance'!W7:'Monthly Avg Balance'!Y7)=0,"",'Monthly Avg Balance'!W7*Rate!I7/12+('Net Interest Income'!I7-SUM('Monthly Avg Balance'!W7:'Monthly Avg Balance'!Y7)*Rate!I7/12)*'Monthly Avg Balance'!W7/SUM('Monthly Avg Balance'!W7:'Monthly Avg Balance'!Y7))</x:f>
        <x:v>577.427804393058</x:v>
      </x:c>
      <x:c r="X7" s="43" t="n">
        <x:f>IF(SUM('Monthly Avg Balance'!W7:'Monthly Avg Balance'!Y7)=0,"",'Monthly Avg Balance'!X7*Rate!I7/12+('Net Interest Income'!I7-SUM('Monthly Avg Balance'!W7:'Monthly Avg Balance'!Y7)*Rate!I7/12)*'Monthly Avg Balance'!X7/SUM('Monthly Avg Balance'!W7:'Monthly Avg Balance'!Y7))</x:f>
        <x:v>580.0647745308466</x:v>
      </x:c>
      <x:c r="Y7" s="43" t="n">
        <x:f>IF(SUM('Monthly Avg Balance'!W7:'Monthly Avg Balance'!Y7)=0,"",'Monthly Avg Balance'!Y7*Rate!I7/12+('Net Interest Income'!I7-SUM('Monthly Avg Balance'!W7:'Monthly Avg Balance'!Y7)*Rate!I7/12)*'Monthly Avg Balance'!Y7/SUM('Monthly Avg Balance'!W7:'Monthly Avg Balance'!Y7))</x:f>
        <x:v>587.5074210760955</x:v>
      </x:c>
      <x:c r="Z7" s="43" t="n">
        <x:f>IF(SUM('Monthly Avg Balance'!Z7:'Monthly Avg Balance'!AB7)=0,"",'Monthly Avg Balance'!Z7*Rate!J7/12+('Net Interest Income'!J7-SUM('Monthly Avg Balance'!Z7:'Monthly Avg Balance'!AB7)*Rate!J7/12)*'Monthly Avg Balance'!Z7/SUM('Monthly Avg Balance'!Z7:'Monthly Avg Balance'!AB7))</x:f>
        <x:v>591.0189003236532</x:v>
      </x:c>
      <x:c r="AA7" s="43" t="n">
        <x:f>IF(SUM('Monthly Avg Balance'!Z7:'Monthly Avg Balance'!AB7)=0,"",'Monthly Avg Balance'!AA7*Rate!J7/12+('Net Interest Income'!J7-SUM('Monthly Avg Balance'!Z7:'Monthly Avg Balance'!AB7)*Rate!J7/12)*'Monthly Avg Balance'!AA7/SUM('Monthly Avg Balance'!Z7:'Monthly Avg Balance'!AB7))</x:f>
        <x:v>590.3148246091349</x:v>
      </x:c>
      <x:c r="AB7" s="43" t="n">
        <x:f>IF(SUM('Monthly Avg Balance'!Z7:'Monthly Avg Balance'!AB7)=0,"",'Monthly Avg Balance'!AB7*Rate!J7/12+('Net Interest Income'!J7-SUM('Monthly Avg Balance'!Z7:'Monthly Avg Balance'!AB7)*Rate!J7/12)*'Monthly Avg Balance'!AB7/SUM('Monthly Avg Balance'!Z7:'Monthly Avg Balance'!AB7))</x:f>
        <x:v>591.666275067212</x:v>
      </x:c>
      <x:c r="AC7" s="43" t="n">
        <x:f>IF(SUM('Monthly Avg Balance'!AC7:'Monthly Avg Balance'!AE7)=0,"",'Monthly Avg Balance'!AC7*Rate!K7/12+('Net Interest Income'!K7-SUM('Monthly Avg Balance'!AC7:'Monthly Avg Balance'!AE7)*Rate!K7/12)*'Monthly Avg Balance'!AC7/SUM('Monthly Avg Balance'!AC7:'Monthly Avg Balance'!AE7))</x:f>
        <x:v>597.7234481978982</x:v>
      </x:c>
      <x:c r="AD7" s="43" t="n">
        <x:f>IF(SUM('Monthly Avg Balance'!AC7:'Monthly Avg Balance'!AE7)=0,"",'Monthly Avg Balance'!AD7*Rate!K7/12+('Net Interest Income'!K7-SUM('Monthly Avg Balance'!AC7:'Monthly Avg Balance'!AE7)*Rate!K7/12)*'Monthly Avg Balance'!AD7/SUM('Monthly Avg Balance'!AC7:'Monthly Avg Balance'!AE7))</x:f>
        <x:v>590.0732805480247</x:v>
      </x:c>
      <x:c r="AE7" s="43" t="n">
        <x:f>IF(SUM('Monthly Avg Balance'!AC7:'Monthly Avg Balance'!AE7)=0,"",'Monthly Avg Balance'!AE7*Rate!K7/12+('Net Interest Income'!K7-SUM('Monthly Avg Balance'!AC7:'Monthly Avg Balance'!AE7)*Rate!K7/12)*'Monthly Avg Balance'!AE7/SUM('Monthly Avg Balance'!AC7:'Monthly Avg Balance'!AE7))</x:f>
        <x:v>673.203271254077</x:v>
      </x:c>
      <x:c r="AF7" s="43" t="n">
        <x:f>IF(SUM('Monthly Avg Balance'!AF7:'Monthly Avg Balance'!AH7)=0,"",'Monthly Avg Balance'!AF7*Rate!L7/12+('Net Interest Income'!L7-SUM('Monthly Avg Balance'!AF7:'Monthly Avg Balance'!AH7)*Rate!L7/12)*'Monthly Avg Balance'!AF7/SUM('Monthly Avg Balance'!AF7:'Monthly Avg Balance'!AH7))</x:f>
        <x:v>695.1979031514654</x:v>
      </x:c>
      <x:c r="AG7" s="43" t="n">
        <x:f>IF(SUM('Monthly Avg Balance'!AF7:'Monthly Avg Balance'!AH7)=0,"",'Monthly Avg Balance'!AG7*Rate!L7/12+('Net Interest Income'!L7-SUM('Monthly Avg Balance'!AF7:'Monthly Avg Balance'!AH7)*Rate!L7/12)*'Monthly Avg Balance'!AG7/SUM('Monthly Avg Balance'!AF7:'Monthly Avg Balance'!AH7))</x:f>
        <x:v>622.4355453351966</x:v>
      </x:c>
      <x:c r="AH7" s="43" t="n">
        <x:f>IF(SUM('Monthly Avg Balance'!AF7:'Monthly Avg Balance'!AH7)=0,"",'Monthly Avg Balance'!AH7*Rate!L7/12+('Net Interest Income'!L7-SUM('Monthly Avg Balance'!AF7:'Monthly Avg Balance'!AH7)*Rate!L7/12)*'Monthly Avg Balance'!AH7/SUM('Monthly Avg Balance'!AF7:'Monthly Avg Balance'!AH7))</x:f>
        <x:v>640.3665515133382</x:v>
      </x:c>
      <x:c r="AI7" s="43" t="n">
        <x:f>IF(SUM('Monthly Avg Balance'!AI7:'Monthly Avg Balance'!AK7)=0,"",'Monthly Avg Balance'!AI7*Rate!M7/12+('Net Interest Income'!M7-SUM('Monthly Avg Balance'!AI7:'Monthly Avg Balance'!AK7)*Rate!M7/12)*'Monthly Avg Balance'!AI7/SUM('Monthly Avg Balance'!AI7:'Monthly Avg Balance'!AK7))</x:f>
        <x:v>664.045646377352</x:v>
      </x:c>
      <x:c r="AJ7" s="43" t="n">
        <x:f>IF(SUM('Monthly Avg Balance'!AI7:'Monthly Avg Balance'!AK7)=0,"",'Monthly Avg Balance'!AJ7*Rate!M7/12+('Net Interest Income'!M7-SUM('Monthly Avg Balance'!AI7:'Monthly Avg Balance'!AK7)*Rate!M7/12)*'Monthly Avg Balance'!AJ7/SUM('Monthly Avg Balance'!AI7:'Monthly Avg Balance'!AK7))</x:f>
        <x:v>669.9158080840452</x:v>
      </x:c>
      <x:c r="AK7" s="43" t="n">
        <x:f>IF(SUM('Monthly Avg Balance'!AI7:'Monthly Avg Balance'!AK7)=0,"",'Monthly Avg Balance'!AK7*Rate!M7/12+('Net Interest Income'!M7-SUM('Monthly Avg Balance'!AI7:'Monthly Avg Balance'!AK7)*Rate!M7/12)*'Monthly Avg Balance'!AK7/SUM('Monthly Avg Balance'!AI7:'Monthly Avg Balance'!AK7))</x:f>
        <x:v>678.0385455386026</x:v>
      </x:c>
      <x:c r="AL7" s="43" t="n">
        <x:f>IF(SUM('Monthly Avg Balance'!AL7:'Monthly Avg Balance'!AN7)=0,"",'Monthly Avg Balance'!AL7*Rate!N7/12+('Net Interest Income'!N7-SUM('Monthly Avg Balance'!AL7:'Monthly Avg Balance'!AN7)*Rate!N7/12)*'Monthly Avg Balance'!AL7/SUM('Monthly Avg Balance'!AL7:'Monthly Avg Balance'!AN7))</x:f>
        <x:v>672.0632293189309</x:v>
      </x:c>
      <x:c r="AM7" s="43" t="n">
        <x:f>IF(SUM('Monthly Avg Balance'!AL7:'Monthly Avg Balance'!AN7)=0,"",'Monthly Avg Balance'!AM7*Rate!N7/12+('Net Interest Income'!N7-SUM('Monthly Avg Balance'!AL7:'Monthly Avg Balance'!AN7)*Rate!N7/12)*'Monthly Avg Balance'!AM7/SUM('Monthly Avg Balance'!AL7:'Monthly Avg Balance'!AN7))</x:f>
        <x:v>673.5009021986499</x:v>
      </x:c>
      <x:c r="AN7" s="43" t="n">
        <x:f>IF(SUM('Monthly Avg Balance'!AL7:'Monthly Avg Balance'!AN7)=0,"",'Monthly Avg Balance'!AN7*Rate!N7/12+('Net Interest Income'!N7-SUM('Monthly Avg Balance'!AL7:'Monthly Avg Balance'!AN7)*Rate!N7/12)*'Monthly Avg Balance'!AN7/SUM('Monthly Avg Balance'!AL7:'Monthly Avg Balance'!AN7))</x:f>
        <x:v>674.4358684824192</x:v>
      </x:c>
      <x:c r="AO7" s="43" t="n">
        <x:f>IF(SUM('Monthly Avg Balance'!AO7:'Monthly Avg Balance'!AQ7)=0,"",'Monthly Avg Balance'!AO7*Rate!O7/12+('Net Interest Income'!O7-SUM('Monthly Avg Balance'!AO7:'Monthly Avg Balance'!AQ7)*Rate!O7/12)*'Monthly Avg Balance'!AO7/SUM('Monthly Avg Balance'!AO7:'Monthly Avg Balance'!AQ7))</x:f>
        <x:v>694.6608775625984</x:v>
      </x:c>
      <x:c r="AP7" s="43" t="n">
        <x:f>IF(SUM('Monthly Avg Balance'!AO7:'Monthly Avg Balance'!AQ7)=0,"",'Monthly Avg Balance'!AP7*Rate!O7/12+('Net Interest Income'!O7-SUM('Monthly Avg Balance'!AO7:'Monthly Avg Balance'!AQ7)*Rate!O7/12)*'Monthly Avg Balance'!AP7/SUM('Monthly Avg Balance'!AO7:'Monthly Avg Balance'!AQ7))</x:f>
        <x:v>710.8431444803799</x:v>
      </x:c>
      <x:c r="AQ7" s="43" t="n">
        <x:f>IF(SUM('Monthly Avg Balance'!AO7:'Monthly Avg Balance'!AQ7)=0,"",'Monthly Avg Balance'!AQ7*Rate!O7/12+('Net Interest Income'!O7-SUM('Monthly Avg Balance'!AO7:'Monthly Avg Balance'!AQ7)*Rate!O7/12)*'Monthly Avg Balance'!AQ7/SUM('Monthly Avg Balance'!AO7:'Monthly Avg Balance'!AQ7))</x:f>
        <x:v>715.4959779570219</x:v>
      </x:c>
    </x:row>
    <x:row r="8">
      <x:c r="A8" s="20" t="str">
        <x:v>  Commercial banking</x:v>
      </x:c>
      <x:c r="B8" s="43" t="n">
        <x:f>IF(SUM('Monthly Avg Balance'!B8:'Monthly Avg Balance'!D8)=0,"",'Monthly Avg Balance'!B8*Rate!B8/12+('Net Interest Income'!B8-SUM('Monthly Avg Balance'!B8:'Monthly Avg Balance'!D8)*Rate!B8/12)*'Monthly Avg Balance'!B8/SUM('Monthly Avg Balance'!B8:'Monthly Avg Balance'!D8))</x:f>
        <x:v>495.99999999999994</x:v>
      </x:c>
      <x:c r="C8" s="43" t="n">
        <x:f>IF(SUM('Monthly Avg Balance'!B8:'Monthly Avg Balance'!D8)=0,"",'Monthly Avg Balance'!C8*Rate!B8/12+('Net Interest Income'!B8-SUM('Monthly Avg Balance'!B8:'Monthly Avg Balance'!D8)*Rate!B8/12)*'Monthly Avg Balance'!C8/SUM('Monthly Avg Balance'!B8:'Monthly Avg Balance'!D8))</x:f>
        <x:v>495.99999999999994</x:v>
      </x:c>
      <x:c r="D8" s="43" t="n">
        <x:f>IF(SUM('Monthly Avg Balance'!B8:'Monthly Avg Balance'!D8)=0,"",'Monthly Avg Balance'!D8*Rate!B8/12+('Net Interest Income'!B8-SUM('Monthly Avg Balance'!B8:'Monthly Avg Balance'!D8)*Rate!B8/12)*'Monthly Avg Balance'!D8/SUM('Monthly Avg Balance'!B8:'Monthly Avg Balance'!D8))</x:f>
        <x:v>495.99999999999994</x:v>
      </x:c>
      <x:c r="E8" s="43" t="n">
        <x:f>IF(SUM('Monthly Avg Balance'!E8:'Monthly Avg Balance'!G8)=0,"",'Monthly Avg Balance'!E8*Rate!C8/12+('Net Interest Income'!C8-SUM('Monthly Avg Balance'!E8:'Monthly Avg Balance'!G8)*Rate!C8/12)*'Monthly Avg Balance'!E8/SUM('Monthly Avg Balance'!E8:'Monthly Avg Balance'!G8))</x:f>
        <x:v>528.8060828581101</x:v>
      </x:c>
      <x:c r="F8" s="43" t="n">
        <x:f>IF(SUM('Monthly Avg Balance'!E8:'Monthly Avg Balance'!G8)=0,"",'Monthly Avg Balance'!F8*Rate!C8/12+('Net Interest Income'!C8-SUM('Monthly Avg Balance'!E8:'Monthly Avg Balance'!G8)*Rate!C8/12)*'Monthly Avg Balance'!F8/SUM('Monthly Avg Balance'!E8:'Monthly Avg Balance'!G8))</x:f>
        <x:v>526.6666666666666</x:v>
      </x:c>
      <x:c r="G8" s="43" t="n">
        <x:f>IF(SUM('Monthly Avg Balance'!E8:'Monthly Avg Balance'!G8)=0,"",'Monthly Avg Balance'!G8*Rate!C8/12+('Net Interest Income'!C8-SUM('Monthly Avg Balance'!E8:'Monthly Avg Balance'!G8)*Rate!C8/12)*'Monthly Avg Balance'!G8/SUM('Monthly Avg Balance'!E8:'Monthly Avg Balance'!G8))</x:f>
        <x:v>524.5272504752232</x:v>
      </x:c>
      <x:c r="H8" s="43" t="n">
        <x:f>IF(SUM('Monthly Avg Balance'!H8:'Monthly Avg Balance'!J8)=0,"",'Monthly Avg Balance'!H8*Rate!D8/12+('Net Interest Income'!D8-SUM('Monthly Avg Balance'!H8:'Monthly Avg Balance'!J8)*Rate!D8/12)*'Monthly Avg Balance'!H8/SUM('Monthly Avg Balance'!H8:'Monthly Avg Balance'!J8))</x:f>
        <x:v>551.4784495944771</x:v>
      </x:c>
      <x:c r="I8" s="43" t="n">
        <x:f>IF(SUM('Monthly Avg Balance'!H8:'Monthly Avg Balance'!J8)=0,"",'Monthly Avg Balance'!I8*Rate!D8/12+('Net Interest Income'!D8-SUM('Monthly Avg Balance'!H8:'Monthly Avg Balance'!J8)*Rate!D8/12)*'Monthly Avg Balance'!I8/SUM('Monthly Avg Balance'!H8:'Monthly Avg Balance'!J8))</x:f>
        <x:v>547.3333333333334</x:v>
      </x:c>
      <x:c r="J8" s="43" t="n">
        <x:f>IF(SUM('Monthly Avg Balance'!H8:'Monthly Avg Balance'!J8)=0,"",'Monthly Avg Balance'!J8*Rate!D8/12+('Net Interest Income'!D8-SUM('Monthly Avg Balance'!H8:'Monthly Avg Balance'!J8)*Rate!D8/12)*'Monthly Avg Balance'!J8/SUM('Monthly Avg Balance'!H8:'Monthly Avg Balance'!J8))</x:f>
        <x:v>543.1882170721897</x:v>
      </x:c>
      <x:c r="K8" s="43" t="n">
        <x:f>IF(SUM('Monthly Avg Balance'!K8:'Monthly Avg Balance'!M8)=0,"",'Monthly Avg Balance'!K8*Rate!E8/12+('Net Interest Income'!E8-SUM('Monthly Avg Balance'!K8:'Monthly Avg Balance'!M8)*Rate!E8/12)*'Monthly Avg Balance'!K8/SUM('Monthly Avg Balance'!K8:'Monthly Avg Balance'!M8))</x:f>
        <x:v>549.3700769381404</x:v>
      </x:c>
      <x:c r="L8" s="43" t="n">
        <x:f>IF(SUM('Monthly Avg Balance'!K8:'Monthly Avg Balance'!M8)=0,"",'Monthly Avg Balance'!L8*Rate!E8/12+('Net Interest Income'!E8-SUM('Monthly Avg Balance'!K8:'Monthly Avg Balance'!M8)*Rate!E8/12)*'Monthly Avg Balance'!L8/SUM('Monthly Avg Balance'!K8:'Monthly Avg Balance'!M8))</x:f>
        <x:v>549.181553827876</x:v>
      </x:c>
      <x:c r="M8" s="43" t="n">
        <x:f>IF(SUM('Monthly Avg Balance'!K8:'Monthly Avg Balance'!M8)=0,"",'Monthly Avg Balance'!M8*Rate!E8/12+('Net Interest Income'!E8-SUM('Monthly Avg Balance'!K8:'Monthly Avg Balance'!M8)*Rate!E8/12)*'Monthly Avg Balance'!M8/SUM('Monthly Avg Balance'!K8:'Monthly Avg Balance'!M8))</x:f>
        <x:v>554.4483692339837</x:v>
      </x:c>
      <x:c r="N8" s="43" t="n">
        <x:f>IF(SUM('Monthly Avg Balance'!N8:'Monthly Avg Balance'!P8)=0,"",'Monthly Avg Balance'!N8*Rate!F8/12+('Net Interest Income'!F8-SUM('Monthly Avg Balance'!N8:'Monthly Avg Balance'!P8)*Rate!F8/12)*'Monthly Avg Balance'!N8/SUM('Monthly Avg Balance'!N8:'Monthly Avg Balance'!P8))</x:f>
        <x:v>543.5455188212056</x:v>
      </x:c>
      <x:c r="O8" s="43" t="n">
        <x:f>IF(SUM('Monthly Avg Balance'!N8:'Monthly Avg Balance'!P8)=0,"",'Monthly Avg Balance'!O8*Rate!F8/12+('Net Interest Income'!F8-SUM('Monthly Avg Balance'!N8:'Monthly Avg Balance'!P8)*Rate!F8/12)*'Monthly Avg Balance'!O8/SUM('Monthly Avg Balance'!N8:'Monthly Avg Balance'!P8))</x:f>
        <x:v>533.5025066714576</x:v>
      </x:c>
      <x:c r="P8" s="43" t="n">
        <x:f>IF(SUM('Monthly Avg Balance'!N8:'Monthly Avg Balance'!P8)=0,"",'Monthly Avg Balance'!P8*Rate!F8/12+('Net Interest Income'!F8-SUM('Monthly Avg Balance'!N8:'Monthly Avg Balance'!P8)*Rate!F8/12)*'Monthly Avg Balance'!P8/SUM('Monthly Avg Balance'!N8:'Monthly Avg Balance'!P8))</x:f>
        <x:v>534.9519745073371</x:v>
      </x:c>
      <x:c r="Q8" s="43" t="n">
        <x:f>IF(SUM('Monthly Avg Balance'!Q8:'Monthly Avg Balance'!S8)=0,"",'Monthly Avg Balance'!Q8*Rate!G8/12+('Net Interest Income'!G8-SUM('Monthly Avg Balance'!Q8:'Monthly Avg Balance'!S8)*Rate!G8/12)*'Monthly Avg Balance'!Q8/SUM('Monthly Avg Balance'!Q8:'Monthly Avg Balance'!S8))</x:f>
        <x:v>540.2084747760507</x:v>
      </x:c>
      <x:c r="R8" s="43" t="n">
        <x:f>IF(SUM('Monthly Avg Balance'!Q8:'Monthly Avg Balance'!S8)=0,"",'Monthly Avg Balance'!R8*Rate!G8/12+('Net Interest Income'!G8-SUM('Monthly Avg Balance'!Q8:'Monthly Avg Balance'!S8)*Rate!G8/12)*'Monthly Avg Balance'!R8/SUM('Monthly Avg Balance'!Q8:'Monthly Avg Balance'!S8))</x:f>
        <x:v>535.8428439365877</x:v>
      </x:c>
      <x:c r="S8" s="43" t="n">
        <x:f>IF(SUM('Monthly Avg Balance'!Q8:'Monthly Avg Balance'!S8)=0,"",'Monthly Avg Balance'!S8*Rate!G8/12+('Net Interest Income'!G8-SUM('Monthly Avg Balance'!Q8:'Monthly Avg Balance'!S8)*Rate!G8/12)*'Monthly Avg Balance'!S8/SUM('Monthly Avg Balance'!Q8:'Monthly Avg Balance'!S8))</x:f>
        <x:v>539.9486812873616</x:v>
      </x:c>
      <x:c r="T8" s="43" t="n">
        <x:f>IF(SUM('Monthly Avg Balance'!T8:'Monthly Avg Balance'!V8)=0,"",'Monthly Avg Balance'!T8*Rate!H8/12+('Net Interest Income'!H8-SUM('Monthly Avg Balance'!T8:'Monthly Avg Balance'!V8)*Rate!H8/12)*'Monthly Avg Balance'!T8/SUM('Monthly Avg Balance'!T8:'Monthly Avg Balance'!V8))</x:f>
        <x:v>538.9036419937056</x:v>
      </x:c>
      <x:c r="U8" s="43" t="n">
        <x:f>IF(SUM('Monthly Avg Balance'!T8:'Monthly Avg Balance'!V8)=0,"",'Monthly Avg Balance'!U8*Rate!H8/12+('Net Interest Income'!H8-SUM('Monthly Avg Balance'!T8:'Monthly Avg Balance'!V8)*Rate!H8/12)*'Monthly Avg Balance'!U8/SUM('Monthly Avg Balance'!T8:'Monthly Avg Balance'!V8))</x:f>
        <x:v>529.0332879007824</x:v>
      </x:c>
      <x:c r="V8" s="43" t="n">
        <x:f>IF(SUM('Monthly Avg Balance'!T8:'Monthly Avg Balance'!V8)=0,"",'Monthly Avg Balance'!V8*Rate!H8/12+('Net Interest Income'!H8-SUM('Monthly Avg Balance'!T8:'Monthly Avg Balance'!V8)*Rate!H8/12)*'Monthly Avg Balance'!V8/SUM('Monthly Avg Balance'!T8:'Monthly Avg Balance'!V8))</x:f>
        <x:v>533.0630701055115</x:v>
      </x:c>
      <x:c r="W8" s="43" t="n">
        <x:f>IF(SUM('Monthly Avg Balance'!W8:'Monthly Avg Balance'!Y8)=0,"",'Monthly Avg Balance'!W8*Rate!I8/12+('Net Interest Income'!I8-SUM('Monthly Avg Balance'!W8:'Monthly Avg Balance'!Y8)*Rate!I8/12)*'Monthly Avg Balance'!W8/SUM('Monthly Avg Balance'!W8:'Monthly Avg Balance'!Y8))</x:f>
        <x:v>492.4239112796171</x:v>
      </x:c>
      <x:c r="X8" s="43" t="n">
        <x:f>IF(SUM('Monthly Avg Balance'!W8:'Monthly Avg Balance'!Y8)=0,"",'Monthly Avg Balance'!X8*Rate!I8/12+('Net Interest Income'!I8-SUM('Monthly Avg Balance'!W8:'Monthly Avg Balance'!Y8)*Rate!I8/12)*'Monthly Avg Balance'!X8/SUM('Monthly Avg Balance'!W8:'Monthly Avg Balance'!Y8))</x:f>
        <x:v>485.74652108655175</x:v>
      </x:c>
      <x:c r="Y8" s="43" t="n">
        <x:f>IF(SUM('Monthly Avg Balance'!W8:'Monthly Avg Balance'!Y8)=0,"",'Monthly Avg Balance'!Y8*Rate!I8/12+('Net Interest Income'!I8-SUM('Monthly Avg Balance'!W8:'Monthly Avg Balance'!Y8)*Rate!I8/12)*'Monthly Avg Balance'!Y8/SUM('Monthly Avg Balance'!W8:'Monthly Avg Balance'!Y8))</x:f>
        <x:v>493.8295676338312</x:v>
      </x:c>
      <x:c r="Z8" s="43" t="n">
        <x:f>IF(SUM('Monthly Avg Balance'!Z8:'Monthly Avg Balance'!AB8)=0,"",'Monthly Avg Balance'!Z8*Rate!J8/12+('Net Interest Income'!J8-SUM('Monthly Avg Balance'!Z8:'Monthly Avg Balance'!AB8)*Rate!J8/12)*'Monthly Avg Balance'!Z8/SUM('Monthly Avg Balance'!Z8:'Monthly Avg Balance'!AB8))</x:f>
        <x:v>463.8538289447215</x:v>
      </x:c>
      <x:c r="AA8" s="43" t="n">
        <x:f>IF(SUM('Monthly Avg Balance'!Z8:'Monthly Avg Balance'!AB8)=0,"",'Monthly Avg Balance'!AA8*Rate!J8/12+('Net Interest Income'!J8-SUM('Monthly Avg Balance'!Z8:'Monthly Avg Balance'!AB8)*Rate!J8/12)*'Monthly Avg Balance'!AA8/SUM('Monthly Avg Balance'!Z8:'Monthly Avg Balance'!AB8))</x:f>
        <x:v>458.0164363341271</x:v>
      </x:c>
      <x:c r="AB8" s="43" t="n">
        <x:f>IF(SUM('Monthly Avg Balance'!Z8:'Monthly Avg Balance'!AB8)=0,"",'Monthly Avg Balance'!AB8*Rate!J8/12+('Net Interest Income'!J8-SUM('Monthly Avg Balance'!Z8:'Monthly Avg Balance'!AB8)*Rate!J8/12)*'Monthly Avg Balance'!AB8/SUM('Monthly Avg Balance'!Z8:'Monthly Avg Balance'!AB8))</x:f>
        <x:v>460.1297347211513</x:v>
      </x:c>
      <x:c r="AC8" s="43" t="n">
        <x:f>IF(SUM('Monthly Avg Balance'!AC8:'Monthly Avg Balance'!AE8)=0,"",'Monthly Avg Balance'!AC8*Rate!K8/12+('Net Interest Income'!K8-SUM('Monthly Avg Balance'!AC8:'Monthly Avg Balance'!AE8)*Rate!K8/12)*'Monthly Avg Balance'!AC8/SUM('Monthly Avg Balance'!AC8:'Monthly Avg Balance'!AE8))</x:f>
        <x:v>458.90989538554174</x:v>
      </x:c>
      <x:c r="AD8" s="43" t="n">
        <x:f>IF(SUM('Monthly Avg Balance'!AC8:'Monthly Avg Balance'!AE8)=0,"",'Monthly Avg Balance'!AD8*Rate!K8/12+('Net Interest Income'!K8-SUM('Monthly Avg Balance'!AC8:'Monthly Avg Balance'!AE8)*Rate!K8/12)*'Monthly Avg Balance'!AD8/SUM('Monthly Avg Balance'!AC8:'Monthly Avg Balance'!AE8))</x:f>
        <x:v>448.8276199505677</x:v>
      </x:c>
      <x:c r="AE8" s="43" t="n">
        <x:f>IF(SUM('Monthly Avg Balance'!AC8:'Monthly Avg Balance'!AE8)=0,"",'Monthly Avg Balance'!AE8*Rate!K8/12+('Net Interest Income'!K8-SUM('Monthly Avg Balance'!AC8:'Monthly Avg Balance'!AE8)*Rate!K8/12)*'Monthly Avg Balance'!AE8/SUM('Monthly Avg Balance'!AC8:'Monthly Avg Balance'!AE8))</x:f>
        <x:v>513.2624846638906</x:v>
      </x:c>
      <x:c r="AF8" s="43" t="n">
        <x:f>IF(SUM('Monthly Avg Balance'!AF8:'Monthly Avg Balance'!AH8)=0,"",'Monthly Avg Balance'!AF8*Rate!L8/12+('Net Interest Income'!L8-SUM('Monthly Avg Balance'!AF8:'Monthly Avg Balance'!AH8)*Rate!L8/12)*'Monthly Avg Balance'!AF8/SUM('Monthly Avg Balance'!AF8:'Monthly Avg Balance'!AH8))</x:f>
        <x:v>513.5497320680046</x:v>
      </x:c>
      <x:c r="AG8" s="43" t="n">
        <x:f>IF(SUM('Monthly Avg Balance'!AF8:'Monthly Avg Balance'!AH8)=0,"",'Monthly Avg Balance'!AG8*Rate!L8/12+('Net Interest Income'!L8-SUM('Monthly Avg Balance'!AF8:'Monthly Avg Balance'!AH8)*Rate!L8/12)*'Monthly Avg Balance'!AG8/SUM('Monthly Avg Balance'!AF8:'Monthly Avg Balance'!AH8))</x:f>
        <x:v>448.48195858040873</x:v>
      </x:c>
      <x:c r="AH8" s="43" t="n">
        <x:f>IF(SUM('Monthly Avg Balance'!AF8:'Monthly Avg Balance'!AH8)=0,"",'Monthly Avg Balance'!AH8*Rate!L8/12+('Net Interest Income'!L8-SUM('Monthly Avg Balance'!AF8:'Monthly Avg Balance'!AH8)*Rate!L8/12)*'Monthly Avg Balance'!AH8/SUM('Monthly Avg Balance'!AF8:'Monthly Avg Balance'!AH8))</x:f>
        <x:v>463.9683093515867</x:v>
      </x:c>
      <x:c r="AI8" s="43" t="n">
        <x:f>IF(SUM('Monthly Avg Balance'!AI8:'Monthly Avg Balance'!AK8)=0,"",'Monthly Avg Balance'!AI8*Rate!M8/12+('Net Interest Income'!M8-SUM('Monthly Avg Balance'!AI8:'Monthly Avg Balance'!AK8)*Rate!M8/12)*'Monthly Avg Balance'!AI8/SUM('Monthly Avg Balance'!AI8:'Monthly Avg Balance'!AK8))</x:f>
        <x:v>451.3882100400446</x:v>
      </x:c>
      <x:c r="AJ8" s="43" t="n">
        <x:f>IF(SUM('Monthly Avg Balance'!AI8:'Monthly Avg Balance'!AK8)=0,"",'Monthly Avg Balance'!AJ8*Rate!M8/12+('Net Interest Income'!M8-SUM('Monthly Avg Balance'!AI8:'Monthly Avg Balance'!AK8)*Rate!M8/12)*'Monthly Avg Balance'!AJ8/SUM('Monthly Avg Balance'!AI8:'Monthly Avg Balance'!AK8))</x:f>
        <x:v>448.91704510314656</x:v>
      </x:c>
      <x:c r="AK8" s="43" t="n">
        <x:f>IF(SUM('Monthly Avg Balance'!AI8:'Monthly Avg Balance'!AK8)=0,"",'Monthly Avg Balance'!AK8*Rate!M8/12+('Net Interest Income'!M8-SUM('Monthly Avg Balance'!AI8:'Monthly Avg Balance'!AK8)*Rate!M8/12)*'Monthly Avg Balance'!AK8/SUM('Monthly Avg Balance'!AI8:'Monthly Avg Balance'!AK8))</x:f>
        <x:v>455.6947448568087</x:v>
      </x:c>
      <x:c r="AL8" s="43" t="n">
        <x:f>IF(SUM('Monthly Avg Balance'!AL8:'Monthly Avg Balance'!AN8)=0,"",'Monthly Avg Balance'!AL8*Rate!N8/12+('Net Interest Income'!N8-SUM('Monthly Avg Balance'!AL8:'Monthly Avg Balance'!AN8)*Rate!N8/12)*'Monthly Avg Balance'!AL8/SUM('Monthly Avg Balance'!AL8:'Monthly Avg Balance'!AN8))</x:f>
        <x:v>427.4318770925543</x:v>
      </x:c>
      <x:c r="AM8" s="43" t="n">
        <x:f>IF(SUM('Monthly Avg Balance'!AL8:'Monthly Avg Balance'!AN8)=0,"",'Monthly Avg Balance'!AM8*Rate!N8/12+('Net Interest Income'!N8-SUM('Monthly Avg Balance'!AL8:'Monthly Avg Balance'!AN8)*Rate!N8/12)*'Monthly Avg Balance'!AM8/SUM('Monthly Avg Balance'!AL8:'Monthly Avg Balance'!AN8))</x:f>
        <x:v>424.61497230053254</x:v>
      </x:c>
      <x:c r="AN8" s="43" t="n">
        <x:f>IF(SUM('Monthly Avg Balance'!AL8:'Monthly Avg Balance'!AN8)=0,"",'Monthly Avg Balance'!AN8*Rate!N8/12+('Net Interest Income'!N8-SUM('Monthly Avg Balance'!AL8:'Monthly Avg Balance'!AN8)*Rate!N8/12)*'Monthly Avg Balance'!AN8/SUM('Monthly Avg Balance'!AL8:'Monthly Avg Balance'!AN8))</x:f>
        <x:v>425.9531506069132</x:v>
      </x:c>
      <x:c r="AO8" s="43" t="n">
        <x:f>IF(SUM('Monthly Avg Balance'!AO8:'Monthly Avg Balance'!AQ8)=0,"",'Monthly Avg Balance'!AO8*Rate!O8/12+('Net Interest Income'!O8-SUM('Monthly Avg Balance'!AO8:'Monthly Avg Balance'!AQ8)*Rate!O8/12)*'Monthly Avg Balance'!AO8/SUM('Monthly Avg Balance'!AO8:'Monthly Avg Balance'!AQ8))</x:f>
        <x:v>433.03389731421316</x:v>
      </x:c>
      <x:c r="AP8" s="43" t="n">
        <x:f>IF(SUM('Monthly Avg Balance'!AO8:'Monthly Avg Balance'!AQ8)=0,"",'Monthly Avg Balance'!AP8*Rate!O8/12+('Net Interest Income'!O8-SUM('Monthly Avg Balance'!AO8:'Monthly Avg Balance'!AQ8)*Rate!O8/12)*'Monthly Avg Balance'!AP8/SUM('Monthly Avg Balance'!AO8:'Monthly Avg Balance'!AQ8))</x:f>
        <x:v>435.2648359131451</x:v>
      </x:c>
      <x:c r="AQ8" s="43" t="n">
        <x:f>IF(SUM('Monthly Avg Balance'!AO8:'Monthly Avg Balance'!AQ8)=0,"",'Monthly Avg Balance'!AQ8*Rate!O8/12+('Net Interest Income'!O8-SUM('Monthly Avg Balance'!AO8:'Monthly Avg Balance'!AQ8)*Rate!O8/12)*'Monthly Avg Balance'!AQ8/SUM('Monthly Avg Balance'!AO8:'Monthly Avg Balance'!AQ8))</x:f>
        <x:v>439.7012667726417</x:v>
      </x:c>
    </x:row>
    <x:row r="9">
      <x:c r="A9" s="26" t="str">
        <x:v>  Total loans (incl. HFS)</x:v>
      </x:c>
      <x:c r="B9" s="46" t="n">
        <x:f>IF(SUM('Monthly Avg Balance'!B9:'Monthly Avg Balance'!D9)=0,"",'Monthly Avg Balance'!B9*Rate!B9/12+('Net Interest Income'!B9-SUM('Monthly Avg Balance'!B9:'Monthly Avg Balance'!D9)*Rate!B9/12)*'Monthly Avg Balance'!B9/SUM('Monthly Avg Balance'!B9:'Monthly Avg Balance'!D9))</x:f>
        <x:v>2907.6666666666665</x:v>
      </x:c>
      <x:c r="C9" s="46" t="n">
        <x:f>IF(SUM('Monthly Avg Balance'!B9:'Monthly Avg Balance'!D9)=0,"",'Monthly Avg Balance'!C9*Rate!B9/12+('Net Interest Income'!B9-SUM('Monthly Avg Balance'!B9:'Monthly Avg Balance'!D9)*Rate!B9/12)*'Monthly Avg Balance'!C9/SUM('Monthly Avg Balance'!B9:'Monthly Avg Balance'!D9))</x:f>
        <x:v>2907.6666666666665</x:v>
      </x:c>
      <x:c r="D9" s="46" t="n">
        <x:f>IF(SUM('Monthly Avg Balance'!B9:'Monthly Avg Balance'!D9)=0,"",'Monthly Avg Balance'!D9*Rate!B9/12+('Net Interest Income'!B9-SUM('Monthly Avg Balance'!B9:'Monthly Avg Balance'!D9)*Rate!B9/12)*'Monthly Avg Balance'!D9/SUM('Monthly Avg Balance'!B9:'Monthly Avg Balance'!D9))</x:f>
        <x:v>2907.6666666666665</x:v>
      </x:c>
      <x:c r="E9" s="46" t="n">
        <x:f>IF(SUM('Monthly Avg Balance'!E9:'Monthly Avg Balance'!G9)=0,"",'Monthly Avg Balance'!E9*Rate!C9/12+('Net Interest Income'!C9-SUM('Monthly Avg Balance'!E9:'Monthly Avg Balance'!G9)*Rate!C9/12)*'Monthly Avg Balance'!E9/SUM('Monthly Avg Balance'!E9:'Monthly Avg Balance'!G9))</x:f>
        <x:v>3004.6022685162807</x:v>
      </x:c>
      <x:c r="F9" s="46" t="n">
        <x:f>IF(SUM('Monthly Avg Balance'!E9:'Monthly Avg Balance'!G9)=0,"",'Monthly Avg Balance'!F9*Rate!C9/12+('Net Interest Income'!C9-SUM('Monthly Avg Balance'!E9:'Monthly Avg Balance'!G9)*Rate!C9/12)*'Monthly Avg Balance'!F9/SUM('Monthly Avg Balance'!E9:'Monthly Avg Balance'!G9))</x:f>
        <x:v>3019</x:v>
      </x:c>
      <x:c r="G9" s="46" t="n">
        <x:f>IF(SUM('Monthly Avg Balance'!E9:'Monthly Avg Balance'!G9)=0,"",'Monthly Avg Balance'!G9*Rate!C9/12+('Net Interest Income'!C9-SUM('Monthly Avg Balance'!E9:'Monthly Avg Balance'!G9)*Rate!C9/12)*'Monthly Avg Balance'!G9/SUM('Monthly Avg Balance'!E9:'Monthly Avg Balance'!G9))</x:f>
        <x:v>3033.397731483719</x:v>
      </x:c>
      <x:c r="H9" s="46" t="n">
        <x:f>IF(SUM('Monthly Avg Balance'!H9:'Monthly Avg Balance'!J9)=0,"",'Monthly Avg Balance'!H9*Rate!D9/12+('Net Interest Income'!D9-SUM('Monthly Avg Balance'!H9:'Monthly Avg Balance'!J9)*Rate!D9/12)*'Monthly Avg Balance'!H9/SUM('Monthly Avg Balance'!H9:'Monthly Avg Balance'!J9))</x:f>
        <x:v>3225.7723416948206</x:v>
      </x:c>
      <x:c r="I9" s="46" t="n">
        <x:f>IF(SUM('Monthly Avg Balance'!H9:'Monthly Avg Balance'!J9)=0,"",'Monthly Avg Balance'!I9*Rate!D9/12+('Net Interest Income'!D9-SUM('Monthly Avg Balance'!H9:'Monthly Avg Balance'!J9)*Rate!D9/12)*'Monthly Avg Balance'!I9/SUM('Monthly Avg Balance'!H9:'Monthly Avg Balance'!J9))</x:f>
        <x:v>3232.000000000001</x:v>
      </x:c>
      <x:c r="J9" s="46" t="n">
        <x:f>IF(SUM('Monthly Avg Balance'!H9:'Monthly Avg Balance'!J9)=0,"",'Monthly Avg Balance'!J9*Rate!D9/12+('Net Interest Income'!D9-SUM('Monthly Avg Balance'!H9:'Monthly Avg Balance'!J9)*Rate!D9/12)*'Monthly Avg Balance'!J9/SUM('Monthly Avg Balance'!H9:'Monthly Avg Balance'!J9))</x:f>
        <x:v>3238.2276583051803</x:v>
      </x:c>
      <x:c r="K9" s="46" t="n">
        <x:f>IF(SUM('Monthly Avg Balance'!K9:'Monthly Avg Balance'!M9)=0,"",'Monthly Avg Balance'!K9*Rate!E9/12+('Net Interest Income'!E9-SUM('Monthly Avg Balance'!K9:'Monthly Avg Balance'!M9)*Rate!E9/12)*'Monthly Avg Balance'!K9/SUM('Monthly Avg Balance'!K9:'Monthly Avg Balance'!M9))</x:f>
        <x:v>3292.4777324481324</x:v>
      </x:c>
      <x:c r="L9" s="46" t="n">
        <x:f>IF(SUM('Monthly Avg Balance'!K9:'Monthly Avg Balance'!M9)=0,"",'Monthly Avg Balance'!L9*Rate!E9/12+('Net Interest Income'!E9-SUM('Monthly Avg Balance'!K9:'Monthly Avg Balance'!M9)*Rate!E9/12)*'Monthly Avg Balance'!L9/SUM('Monthly Avg Balance'!K9:'Monthly Avg Balance'!M9))</x:f>
        <x:v>3306.461184172763</x:v>
      </x:c>
      <x:c r="M9" s="46" t="n">
        <x:f>IF(SUM('Monthly Avg Balance'!K9:'Monthly Avg Balance'!M9)=0,"",'Monthly Avg Balance'!M9*Rate!E9/12+('Net Interest Income'!E9-SUM('Monthly Avg Balance'!K9:'Monthly Avg Balance'!M9)*Rate!E9/12)*'Monthly Avg Balance'!M9/SUM('Monthly Avg Balance'!K9:'Monthly Avg Balance'!M9))</x:f>
        <x:v>3335.0610833791043</x:v>
      </x:c>
      <x:c r="N9" s="46" t="n">
        <x:f>IF(SUM('Monthly Avg Balance'!N9:'Monthly Avg Balance'!P9)=0,"",'Monthly Avg Balance'!N9*Rate!F9/12+('Net Interest Income'!F9-SUM('Monthly Avg Balance'!N9:'Monthly Avg Balance'!P9)*Rate!F9/12)*'Monthly Avg Balance'!N9/SUM('Monthly Avg Balance'!N9:'Monthly Avg Balance'!P9))</x:f>
        <x:v>3333.163722943815</x:v>
      </x:c>
      <x:c r="O9" s="46" t="n">
        <x:f>IF(SUM('Monthly Avg Balance'!N9:'Monthly Avg Balance'!P9)=0,"",'Monthly Avg Balance'!O9*Rate!F9/12+('Net Interest Income'!F9-SUM('Monthly Avg Balance'!N9:'Monthly Avg Balance'!P9)*Rate!F9/12)*'Monthly Avg Balance'!O9/SUM('Monthly Avg Balance'!N9:'Monthly Avg Balance'!P9))</x:f>
        <x:v>3290.9112817238592</x:v>
      </x:c>
      <x:c r="P9" s="46" t="n">
        <x:f>IF(SUM('Monthly Avg Balance'!N9:'Monthly Avg Balance'!P9)=0,"",'Monthly Avg Balance'!P9*Rate!F9/12+('Net Interest Income'!F9-SUM('Monthly Avg Balance'!N9:'Monthly Avg Balance'!P9)*Rate!F9/12)*'Monthly Avg Balance'!P9/SUM('Monthly Avg Balance'!N9:'Monthly Avg Balance'!P9))</x:f>
        <x:v>3295.9249953323256</x:v>
      </x:c>
      <x:c r="Q9" s="46" t="n">
        <x:f>IF(SUM('Monthly Avg Balance'!Q9:'Monthly Avg Balance'!S9)=0,"",'Monthly Avg Balance'!Q9*Rate!G9/12+('Net Interest Income'!G9-SUM('Monthly Avg Balance'!Q9:'Monthly Avg Balance'!S9)*Rate!G9/12)*'Monthly Avg Balance'!Q9/SUM('Monthly Avg Balance'!Q9:'Monthly Avg Balance'!S9))</x:f>
        <x:v>3323.3113608177287</x:v>
      </x:c>
      <x:c r="R9" s="46" t="n">
        <x:f>IF(SUM('Monthly Avg Balance'!Q9:'Monthly Avg Balance'!S9)=0,"",'Monthly Avg Balance'!R9*Rate!G9/12+('Net Interest Income'!G9-SUM('Monthly Avg Balance'!Q9:'Monthly Avg Balance'!S9)*Rate!G9/12)*'Monthly Avg Balance'!R9/SUM('Monthly Avg Balance'!Q9:'Monthly Avg Balance'!S9))</x:f>
        <x:v>3325.0391053662383</x:v>
      </x:c>
      <x:c r="S9" s="46" t="n">
        <x:f>IF(SUM('Monthly Avg Balance'!Q9:'Monthly Avg Balance'!S9)=0,"",'Monthly Avg Balance'!S9*Rate!G9/12+('Net Interest Income'!G9-SUM('Monthly Avg Balance'!Q9:'Monthly Avg Balance'!S9)*Rate!G9/12)*'Monthly Avg Balance'!S9/SUM('Monthly Avg Balance'!Q9:'Monthly Avg Balance'!S9))</x:f>
        <x:v>3344.6495338160316</x:v>
      </x:c>
      <x:c r="T9" s="46" t="n">
        <x:f>IF(SUM('Monthly Avg Balance'!T9:'Monthly Avg Balance'!V9)=0,"",'Monthly Avg Balance'!T9*Rate!H9/12+('Net Interest Income'!H9-SUM('Monthly Avg Balance'!T9:'Monthly Avg Balance'!V9)*Rate!H9/12)*'Monthly Avg Balance'!T9/SUM('Monthly Avg Balance'!T9:'Monthly Avg Balance'!V9))</x:f>
        <x:v>3509.936873732641</x:v>
      </x:c>
      <x:c r="U9" s="46" t="n">
        <x:f>IF(SUM('Monthly Avg Balance'!T9:'Monthly Avg Balance'!V9)=0,"",'Monthly Avg Balance'!U9*Rate!H9/12+('Net Interest Income'!H9-SUM('Monthly Avg Balance'!T9:'Monthly Avg Balance'!V9)*Rate!H9/12)*'Monthly Avg Balance'!U9/SUM('Monthly Avg Balance'!T9:'Monthly Avg Balance'!V9))</x:f>
        <x:v>3511.9915057414073</x:v>
      </x:c>
      <x:c r="V9" s="46" t="n">
        <x:f>IF(SUM('Monthly Avg Balance'!T9:'Monthly Avg Balance'!V9)=0,"",'Monthly Avg Balance'!V9*Rate!H9/12+('Net Interest Income'!H9-SUM('Monthly Avg Balance'!T9:'Monthly Avg Balance'!V9)*Rate!H9/12)*'Monthly Avg Balance'!V9/SUM('Monthly Avg Balance'!T9:'Monthly Avg Balance'!V9))</x:f>
        <x:v>3525.071620525952</x:v>
      </x:c>
      <x:c r="W9" s="46" t="n">
        <x:f>IF(SUM('Monthly Avg Balance'!W9:'Monthly Avg Balance'!Y9)=0,"",'Monthly Avg Balance'!W9*Rate!I9/12+('Net Interest Income'!I9-SUM('Monthly Avg Balance'!W9:'Monthly Avg Balance'!Y9)*Rate!I9/12)*'Monthly Avg Balance'!W9/SUM('Monthly Avg Balance'!W9:'Monthly Avg Balance'!Y9))</x:f>
        <x:v>3457.14734576594</x:v>
      </x:c>
      <x:c r="X9" s="46" t="n">
        <x:f>IF(SUM('Monthly Avg Balance'!W9:'Monthly Avg Balance'!Y9)=0,"",'Monthly Avg Balance'!X9*Rate!I9/12+('Net Interest Income'!I9-SUM('Monthly Avg Balance'!W9:'Monthly Avg Balance'!Y9)*Rate!I9/12)*'Monthly Avg Balance'!X9/SUM('Monthly Avg Balance'!W9:'Monthly Avg Balance'!Y9))</x:f>
        <x:v>3465.414886176057</x:v>
      </x:c>
      <x:c r="Y9" s="46" t="n">
        <x:f>IF(SUM('Monthly Avg Balance'!W9:'Monthly Avg Balance'!Y9)=0,"",'Monthly Avg Balance'!Y9*Rate!I9/12+('Net Interest Income'!I9-SUM('Monthly Avg Balance'!W9:'Monthly Avg Balance'!Y9)*Rate!I9/12)*'Monthly Avg Balance'!Y9/SUM('Monthly Avg Balance'!W9:'Monthly Avg Balance'!Y9))</x:f>
        <x:v>3511.437768058004</x:v>
      </x:c>
      <x:c r="Z9" s="46" t="n">
        <x:f>IF(SUM('Monthly Avg Balance'!Z9:'Monthly Avg Balance'!AB9)=0,"",'Monthly Avg Balance'!Z9*Rate!J9/12+('Net Interest Income'!J9-SUM('Monthly Avg Balance'!Z9:'Monthly Avg Balance'!AB9)*Rate!J9/12)*'Monthly Avg Balance'!Z9/SUM('Monthly Avg Balance'!Z9:'Monthly Avg Balance'!AB9))</x:f>
        <x:v>3410.5365836562996</x:v>
      </x:c>
      <x:c r="AA9" s="46" t="n">
        <x:f>IF(SUM('Monthly Avg Balance'!Z9:'Monthly Avg Balance'!AB9)=0,"",'Monthly Avg Balance'!AA9*Rate!J9/12+('Net Interest Income'!J9-SUM('Monthly Avg Balance'!Z9:'Monthly Avg Balance'!AB9)*Rate!J9/12)*'Monthly Avg Balance'!AA9/SUM('Monthly Avg Balance'!Z9:'Monthly Avg Balance'!AB9))</x:f>
        <x:v>3365.224341892985</x:v>
      </x:c>
      <x:c r="AB9" s="46" t="n">
        <x:f>IF(SUM('Monthly Avg Balance'!Z9:'Monthly Avg Balance'!AB9)=0,"",'Monthly Avg Balance'!AB9*Rate!J9/12+('Net Interest Income'!J9-SUM('Monthly Avg Balance'!Z9:'Monthly Avg Balance'!AB9)*Rate!J9/12)*'Monthly Avg Balance'!AB9/SUM('Monthly Avg Balance'!Z9:'Monthly Avg Balance'!AB9))</x:f>
        <x:v>3381.239074450717</x:v>
      </x:c>
      <x:c r="AC9" s="46" t="n">
        <x:f>IF(SUM('Monthly Avg Balance'!AC9:'Monthly Avg Balance'!AE9)=0,"",'Monthly Avg Balance'!AC9*Rate!K9/12+('Net Interest Income'!K9-SUM('Monthly Avg Balance'!AC9:'Monthly Avg Balance'!AE9)*Rate!K9/12)*'Monthly Avg Balance'!AC9/SUM('Monthly Avg Balance'!AC9:'Monthly Avg Balance'!AE9))</x:f>
        <x:v>3736.4641662410622</x:v>
      </x:c>
      <x:c r="AD9" s="46" t="n">
        <x:f>IF(SUM('Monthly Avg Balance'!AC9:'Monthly Avg Balance'!AE9)=0,"",'Monthly Avg Balance'!AD9*Rate!K9/12+('Net Interest Income'!K9-SUM('Monthly Avg Balance'!AC9:'Monthly Avg Balance'!AE9)*Rate!K9/12)*'Monthly Avg Balance'!AD9/SUM('Monthly Avg Balance'!AC9:'Monthly Avg Balance'!AE9))</x:f>
        <x:v>4128.341338685734</x:v>
      </x:c>
      <x:c r="AE9" s="46" t="n">
        <x:f>IF(SUM('Monthly Avg Balance'!AC9:'Monthly Avg Balance'!AE9)=0,"",'Monthly Avg Balance'!AE9*Rate!K9/12+('Net Interest Income'!K9-SUM('Monthly Avg Balance'!AC9:'Monthly Avg Balance'!AE9)*Rate!K9/12)*'Monthly Avg Balance'!AE9/SUM('Monthly Avg Balance'!AC9:'Monthly Avg Balance'!AE9))</x:f>
        <x:v>4584.194495073206</x:v>
      </x:c>
      <x:c r="AF9" s="46" t="n">
        <x:f>IF(SUM('Monthly Avg Balance'!AF9:'Monthly Avg Balance'!AH9)=0,"",'Monthly Avg Balance'!AF9*Rate!L9/12+('Net Interest Income'!L9-SUM('Monthly Avg Balance'!AF9:'Monthly Avg Balance'!AH9)*Rate!L9/12)*'Monthly Avg Balance'!AF9/SUM('Monthly Avg Balance'!AF9:'Monthly Avg Balance'!AH9))</x:f>
        <x:v>5064.767794619477</x:v>
      </x:c>
      <x:c r="AG9" s="46" t="n">
        <x:f>IF(SUM('Monthly Avg Balance'!AF9:'Monthly Avg Balance'!AH9)=0,"",'Monthly Avg Balance'!AG9*Rate!L9/12+('Net Interest Income'!L9-SUM('Monthly Avg Balance'!AF9:'Monthly Avg Balance'!AH9)*Rate!L9/12)*'Monthly Avg Balance'!AG9/SUM('Monthly Avg Balance'!AF9:'Monthly Avg Balance'!AH9))</x:f>
        <x:v>5069.7661989838425</x:v>
      </x:c>
      <x:c r="AH9" s="46" t="n">
        <x:f>IF(SUM('Monthly Avg Balance'!AF9:'Monthly Avg Balance'!AH9)=0,"",'Monthly Avg Balance'!AH9*Rate!L9/12+('Net Interest Income'!L9-SUM('Monthly Avg Balance'!AF9:'Monthly Avg Balance'!AH9)*Rate!L9/12)*'Monthly Avg Balance'!AH9/SUM('Monthly Avg Balance'!AF9:'Monthly Avg Balance'!AH9))</x:f>
        <x:v>5094.466006396681</x:v>
      </x:c>
      <x:c r="AI9" s="46" t="n">
        <x:f>IF(SUM('Monthly Avg Balance'!AI9:'Monthly Avg Balance'!AK9)=0,"",'Monthly Avg Balance'!AI9*Rate!M9/12+('Net Interest Income'!M9-SUM('Monthly Avg Balance'!AI9:'Monthly Avg Balance'!AK9)*Rate!M9/12)*'Monthly Avg Balance'!AI9/SUM('Monthly Avg Balance'!AI9:'Monthly Avg Balance'!AK9))</x:f>
        <x:v>5031.774934195721</x:v>
      </x:c>
      <x:c r="AJ9" s="46" t="n">
        <x:f>IF(SUM('Monthly Avg Balance'!AI9:'Monthly Avg Balance'!AK9)=0,"",'Monthly Avg Balance'!AJ9*Rate!M9/12+('Net Interest Income'!M9-SUM('Monthly Avg Balance'!AI9:'Monthly Avg Balance'!AK9)*Rate!M9/12)*'Monthly Avg Balance'!AJ9/SUM('Monthly Avg Balance'!AI9:'Monthly Avg Balance'!AK9))</x:f>
        <x:v>5043.1162053595335</x:v>
      </x:c>
      <x:c r="AK9" s="46" t="n">
        <x:f>IF(SUM('Monthly Avg Balance'!AI9:'Monthly Avg Balance'!AK9)=0,"",'Monthly Avg Balance'!AK9*Rate!M9/12+('Net Interest Income'!M9-SUM('Monthly Avg Balance'!AI9:'Monthly Avg Balance'!AK9)*Rate!M9/12)*'Monthly Avg Balance'!AK9/SUM('Monthly Avg Balance'!AI9:'Monthly Avg Balance'!AK9))</x:f>
        <x:v>5111.108860444746</x:v>
      </x:c>
      <x:c r="AL9" s="46" t="n">
        <x:f>IF(SUM('Monthly Avg Balance'!AL9:'Monthly Avg Balance'!AN9)=0,"",'Monthly Avg Balance'!AL9*Rate!N9/12+('Net Interest Income'!N9-SUM('Monthly Avg Balance'!AL9:'Monthly Avg Balance'!AN9)*Rate!N9/12)*'Monthly Avg Balance'!AL9/SUM('Monthly Avg Balance'!AL9:'Monthly Avg Balance'!AN9))</x:f>
        <x:v>4947.746835973515</x:v>
      </x:c>
      <x:c r="AM9" s="46" t="n">
        <x:f>IF(SUM('Monthly Avg Balance'!AL9:'Monthly Avg Balance'!AN9)=0,"",'Monthly Avg Balance'!AM9*Rate!N9/12+('Net Interest Income'!N9-SUM('Monthly Avg Balance'!AL9:'Monthly Avg Balance'!AN9)*Rate!N9/12)*'Monthly Avg Balance'!AM9/SUM('Monthly Avg Balance'!AL9:'Monthly Avg Balance'!AN9))</x:f>
        <x:v>4882.643743190009</x:v>
      </x:c>
      <x:c r="AN9" s="46" t="n">
        <x:f>IF(SUM('Monthly Avg Balance'!AL9:'Monthly Avg Balance'!AN9)=0,"",'Monthly Avg Balance'!AN9*Rate!N9/12+('Net Interest Income'!N9-SUM('Monthly Avg Balance'!AL9:'Monthly Avg Balance'!AN9)*Rate!N9/12)*'Monthly Avg Balance'!AN9/SUM('Monthly Avg Balance'!AL9:'Monthly Avg Balance'!AN9))</x:f>
        <x:v>4904.609420836477</x:v>
      </x:c>
      <x:c r="AO9" s="46" t="n">
        <x:f>IF(SUM('Monthly Avg Balance'!AO9:'Monthly Avg Balance'!AQ9)=0,"",'Monthly Avg Balance'!AO9*Rate!O9/12+('Net Interest Income'!O9-SUM('Monthly Avg Balance'!AO9:'Monthly Avg Balance'!AQ9)*Rate!O9/12)*'Monthly Avg Balance'!AO9/SUM('Monthly Avg Balance'!AO9:'Monthly Avg Balance'!AQ9))</x:f>
        <x:v>4941.581646603557</x:v>
      </x:c>
      <x:c r="AP9" s="46" t="n">
        <x:f>IF(SUM('Monthly Avg Balance'!AO9:'Monthly Avg Balance'!AQ9)=0,"",'Monthly Avg Balance'!AP9*Rate!O9/12+('Net Interest Income'!O9-SUM('Monthly Avg Balance'!AO9:'Monthly Avg Balance'!AQ9)*Rate!O9/12)*'Monthly Avg Balance'!AP9/SUM('Monthly Avg Balance'!AO9:'Monthly Avg Balance'!AQ9))</x:f>
        <x:v>4958.567767861571</x:v>
      </x:c>
      <x:c r="AQ9" s="46" t="n">
        <x:f>IF(SUM('Monthly Avg Balance'!AO9:'Monthly Avg Balance'!AQ9)=0,"",'Monthly Avg Balance'!AQ9*Rate!O9/12+('Net Interest Income'!O9-SUM('Monthly Avg Balance'!AO9:'Monthly Avg Balance'!AQ9)*Rate!O9/12)*'Monthly Avg Balance'!AQ9/SUM('Monthly Avg Balance'!AO9:'Monthly Avg Balance'!AQ9))</x:f>
        <x:v>5010.850585534872</x:v>
      </x:c>
    </x:row>
    <x:row r="10">
      <x:c r="A10" s="20" t="str">
        <x:v>  Investment securities</x:v>
      </x:c>
      <x:c r="B10" s="43" t="n">
        <x:f>IF(SUM('Monthly Avg Balance'!B10:'Monthly Avg Balance'!D10)=0,"",'Monthly Avg Balance'!B10*Rate!B10/12+('Net Interest Income'!B10-SUM('Monthly Avg Balance'!B10:'Monthly Avg Balance'!D10)*Rate!B10/12)*'Monthly Avg Balance'!B10/SUM('Monthly Avg Balance'!B10:'Monthly Avg Balance'!D10))</x:f>
        <x:v>205</x:v>
      </x:c>
      <x:c r="C10" s="43" t="n">
        <x:f>IF(SUM('Monthly Avg Balance'!B10:'Monthly Avg Balance'!D10)=0,"",'Monthly Avg Balance'!C10*Rate!B10/12+('Net Interest Income'!B10-SUM('Monthly Avg Balance'!B10:'Monthly Avg Balance'!D10)*Rate!B10/12)*'Monthly Avg Balance'!C10/SUM('Monthly Avg Balance'!B10:'Monthly Avg Balance'!D10))</x:f>
        <x:v>205</x:v>
      </x:c>
      <x:c r="D10" s="43" t="n">
        <x:f>IF(SUM('Monthly Avg Balance'!B10:'Monthly Avg Balance'!D10)=0,"",'Monthly Avg Balance'!D10*Rate!B10/12+('Net Interest Income'!B10-SUM('Monthly Avg Balance'!B10:'Monthly Avg Balance'!D10)*Rate!B10/12)*'Monthly Avg Balance'!D10/SUM('Monthly Avg Balance'!B10:'Monthly Avg Balance'!D10))</x:f>
        <x:v>205</x:v>
      </x:c>
      <x:c r="E10" s="43" t="n">
        <x:f>IF(SUM('Monthly Avg Balance'!E10:'Monthly Avg Balance'!G10)=0,"",'Monthly Avg Balance'!E10*Rate!C10/12+('Net Interest Income'!C10-SUM('Monthly Avg Balance'!E10:'Monthly Avg Balance'!G10)*Rate!C10/12)*'Monthly Avg Balance'!E10/SUM('Monthly Avg Balance'!E10:'Monthly Avg Balance'!G10))</x:f>
        <x:v>212.94635197902087</x:v>
      </x:c>
      <x:c r="F10" s="43" t="n">
        <x:f>IF(SUM('Monthly Avg Balance'!E10:'Monthly Avg Balance'!G10)=0,"",'Monthly Avg Balance'!F10*Rate!C10/12+('Net Interest Income'!C10-SUM('Monthly Avg Balance'!E10:'Monthly Avg Balance'!G10)*Rate!C10/12)*'Monthly Avg Balance'!F10/SUM('Monthly Avg Balance'!E10:'Monthly Avg Balance'!G10))</x:f>
        <x:v>213</x:v>
      </x:c>
      <x:c r="G10" s="43" t="n">
        <x:f>IF(SUM('Monthly Avg Balance'!E10:'Monthly Avg Balance'!G10)=0,"",'Monthly Avg Balance'!G10*Rate!C10/12+('Net Interest Income'!C10-SUM('Monthly Avg Balance'!E10:'Monthly Avg Balance'!G10)*Rate!C10/12)*'Monthly Avg Balance'!G10/SUM('Monthly Avg Balance'!E10:'Monthly Avg Balance'!G10))</x:f>
        <x:v>213.05364802097918</x:v>
      </x:c>
      <x:c r="H10" s="43" t="n">
        <x:f>IF(SUM('Monthly Avg Balance'!H10:'Monthly Avg Balance'!J10)=0,"",'Monthly Avg Balance'!H10*Rate!D10/12+('Net Interest Income'!D10-SUM('Monthly Avg Balance'!H10:'Monthly Avg Balance'!J10)*Rate!D10/12)*'Monthly Avg Balance'!H10/SUM('Monthly Avg Balance'!H10:'Monthly Avg Balance'!J10))</x:f>
        <x:v>212.46251541540977</x:v>
      </x:c>
      <x:c r="I10" s="43" t="n">
        <x:f>IF(SUM('Monthly Avg Balance'!H10:'Monthly Avg Balance'!J10)=0,"",'Monthly Avg Balance'!I10*Rate!D10/12+('Net Interest Income'!D10-SUM('Monthly Avg Balance'!H10:'Monthly Avg Balance'!J10)*Rate!D10/12)*'Monthly Avg Balance'!I10/SUM('Monthly Avg Balance'!H10:'Monthly Avg Balance'!J10))</x:f>
        <x:v>209.00000000000003</x:v>
      </x:c>
      <x:c r="J10" s="43" t="n">
        <x:f>IF(SUM('Monthly Avg Balance'!H10:'Monthly Avg Balance'!J10)=0,"",'Monthly Avg Balance'!J10*Rate!D10/12+('Net Interest Income'!D10-SUM('Monthly Avg Balance'!H10:'Monthly Avg Balance'!J10)*Rate!D10/12)*'Monthly Avg Balance'!J10/SUM('Monthly Avg Balance'!H10:'Monthly Avg Balance'!J10))</x:f>
        <x:v>205.53748458459032</x:v>
      </x:c>
      <x:c r="K10" s="43" t="n">
        <x:f>IF(SUM('Monthly Avg Balance'!K10:'Monthly Avg Balance'!M10)=0,"",'Monthly Avg Balance'!K10*Rate!E10/12+('Net Interest Income'!E10-SUM('Monthly Avg Balance'!K10:'Monthly Avg Balance'!M10)*Rate!E10/12)*'Monthly Avg Balance'!K10/SUM('Monthly Avg Balance'!K10:'Monthly Avg Balance'!M10))</x:f>
        <x:v>223.2388268900462</x:v>
      </x:c>
      <x:c r="L10" s="43" t="n">
        <x:f>IF(SUM('Monthly Avg Balance'!K10:'Monthly Avg Balance'!M10)=0,"",'Monthly Avg Balance'!L10*Rate!E10/12+('Net Interest Income'!E10-SUM('Monthly Avg Balance'!K10:'Monthly Avg Balance'!M10)*Rate!E10/12)*'Monthly Avg Balance'!L10/SUM('Monthly Avg Balance'!K10:'Monthly Avg Balance'!M10))</x:f>
        <x:v>233.24702543330304</x:v>
      </x:c>
      <x:c r="M10" s="43" t="n">
        <x:f>IF(SUM('Monthly Avg Balance'!K10:'Monthly Avg Balance'!M10)=0,"",'Monthly Avg Balance'!M10*Rate!E10/12+('Net Interest Income'!E10-SUM('Monthly Avg Balance'!K10:'Monthly Avg Balance'!M10)*Rate!E10/12)*'Monthly Avg Balance'!M10/SUM('Monthly Avg Balance'!K10:'Monthly Avg Balance'!M10))</x:f>
        <x:v>212.51414767665082</x:v>
      </x:c>
      <x:c r="N10" s="43" t="n">
        <x:f>IF(SUM('Monthly Avg Balance'!N10:'Monthly Avg Balance'!P10)=0,"",'Monthly Avg Balance'!N10*Rate!F10/12+('Net Interest Income'!F10-SUM('Monthly Avg Balance'!N10:'Monthly Avg Balance'!P10)*Rate!F10/12)*'Monthly Avg Balance'!N10/SUM('Monthly Avg Balance'!N10:'Monthly Avg Balance'!P10))</x:f>
        <x:v>221.43402046330013</x:v>
      </x:c>
      <x:c r="O10" s="43" t="n">
        <x:f>IF(SUM('Monthly Avg Balance'!N10:'Monthly Avg Balance'!P10)=0,"",'Monthly Avg Balance'!O10*Rate!F10/12+('Net Interest Income'!F10-SUM('Monthly Avg Balance'!N10:'Monthly Avg Balance'!P10)*Rate!F10/12)*'Monthly Avg Balance'!O10/SUM('Monthly Avg Balance'!N10:'Monthly Avg Balance'!P10))</x:f>
        <x:v>245.32695919133857</x:v>
      </x:c>
      <x:c r="P10" s="43" t="n">
        <x:f>IF(SUM('Monthly Avg Balance'!N10:'Monthly Avg Balance'!P10)=0,"",'Monthly Avg Balance'!P10*Rate!F10/12+('Net Interest Income'!F10-SUM('Monthly Avg Balance'!N10:'Monthly Avg Balance'!P10)*Rate!F10/12)*'Monthly Avg Balance'!P10/SUM('Monthly Avg Balance'!N10:'Monthly Avg Balance'!P10))</x:f>
        <x:v>220.2390203453613</x:v>
      </x:c>
      <x:c r="Q10" s="43" t="n">
        <x:f>IF(SUM('Monthly Avg Balance'!Q10:'Monthly Avg Balance'!S10)=0,"",'Monthly Avg Balance'!Q10*Rate!G10/12+('Net Interest Income'!G10-SUM('Monthly Avg Balance'!Q10:'Monthly Avg Balance'!S10)*Rate!G10/12)*'Monthly Avg Balance'!Q10/SUM('Monthly Avg Balance'!Q10:'Monthly Avg Balance'!S10))</x:f>
        <x:v>223.69761444229528</x:v>
      </x:c>
      <x:c r="R10" s="43" t="n">
        <x:f>IF(SUM('Monthly Avg Balance'!Q10:'Monthly Avg Balance'!S10)=0,"",'Monthly Avg Balance'!R10*Rate!G10/12+('Net Interest Income'!G10-SUM('Monthly Avg Balance'!Q10:'Monthly Avg Balance'!S10)*Rate!G10/12)*'Monthly Avg Balance'!R10/SUM('Monthly Avg Balance'!Q10:'Monthly Avg Balance'!S10))</x:f>
        <x:v>251.18060032953647</x:v>
      </x:c>
      <x:c r="S10" s="43" t="n">
        <x:f>IF(SUM('Monthly Avg Balance'!Q10:'Monthly Avg Balance'!S10)=0,"",'Monthly Avg Balance'!S10*Rate!G10/12+('Net Interest Income'!G10-SUM('Monthly Avg Balance'!Q10:'Monthly Avg Balance'!S10)*Rate!G10/12)*'Monthly Avg Balance'!S10/SUM('Monthly Avg Balance'!Q10:'Monthly Avg Balance'!S10))</x:f>
        <x:v>225.1217852281682</x:v>
      </x:c>
      <x:c r="T10" s="43" t="n">
        <x:f>IF(SUM('Monthly Avg Balance'!T10:'Monthly Avg Balance'!V10)=0,"",'Monthly Avg Balance'!T10*Rate!H10/12+('Net Interest Income'!H10-SUM('Monthly Avg Balance'!T10:'Monthly Avg Balance'!V10)*Rate!H10/12)*'Monthly Avg Balance'!T10/SUM('Monthly Avg Balance'!T10:'Monthly Avg Balance'!V10))</x:f>
        <x:v>232.58678074876457</x:v>
      </x:c>
      <x:c r="U10" s="43" t="n">
        <x:f>IF(SUM('Monthly Avg Balance'!T10:'Monthly Avg Balance'!V10)=0,"",'Monthly Avg Balance'!U10*Rate!H10/12+('Net Interest Income'!H10-SUM('Monthly Avg Balance'!T10:'Monthly Avg Balance'!V10)*Rate!H10/12)*'Monthly Avg Balance'!U10/SUM('Monthly Avg Balance'!T10:'Monthly Avg Balance'!V10))</x:f>
        <x:v>260.440855473487</x:v>
      </x:c>
      <x:c r="V10" s="43" t="n">
        <x:f>IF(SUM('Monthly Avg Balance'!T10:'Monthly Avg Balance'!V10)=0,"",'Monthly Avg Balance'!V10*Rate!H10/12+('Net Interest Income'!H10-SUM('Monthly Avg Balance'!T10:'Monthly Avg Balance'!V10)*Rate!H10/12)*'Monthly Avg Balance'!V10/SUM('Monthly Avg Balance'!T10:'Monthly Avg Balance'!V10))</x:f>
        <x:v>239.97236377774857</x:v>
      </x:c>
      <x:c r="W10" s="43" t="n">
        <x:f>IF(SUM('Monthly Avg Balance'!W10:'Monthly Avg Balance'!Y10)=0,"",'Monthly Avg Balance'!W10*Rate!I10/12+('Net Interest Income'!I10-SUM('Monthly Avg Balance'!W10:'Monthly Avg Balance'!Y10)*Rate!I10/12)*'Monthly Avg Balance'!W10/SUM('Monthly Avg Balance'!W10:'Monthly Avg Balance'!Y10))</x:f>
        <x:v>243.52006676382652</x:v>
      </x:c>
      <x:c r="X10" s="43" t="n">
        <x:f>IF(SUM('Monthly Avg Balance'!W10:'Monthly Avg Balance'!Y10)=0,"",'Monthly Avg Balance'!X10*Rate!I10/12+('Net Interest Income'!I10-SUM('Monthly Avg Balance'!W10:'Monthly Avg Balance'!Y10)*Rate!I10/12)*'Monthly Avg Balance'!X10/SUM('Monthly Avg Balance'!W10:'Monthly Avg Balance'!Y10))</x:f>
        <x:v>266.8153182391566</x:v>
      </x:c>
      <x:c r="Y10" s="43" t="n">
        <x:f>IF(SUM('Monthly Avg Balance'!W10:'Monthly Avg Balance'!Y10)=0,"",'Monthly Avg Balance'!Y10*Rate!I10/12+('Net Interest Income'!I10-SUM('Monthly Avg Balance'!W10:'Monthly Avg Balance'!Y10)*Rate!I10/12)*'Monthly Avg Balance'!Y10/SUM('Monthly Avg Balance'!W10:'Monthly Avg Balance'!Y10))</x:f>
        <x:v>242.66461499701694</x:v>
      </x:c>
      <x:c r="Z10" s="43" t="n">
        <x:f>IF(SUM('Monthly Avg Balance'!Z10:'Monthly Avg Balance'!AB10)=0,"",'Monthly Avg Balance'!Z10*Rate!J10/12+('Net Interest Income'!J10-SUM('Monthly Avg Balance'!Z10:'Monthly Avg Balance'!AB10)*Rate!J10/12)*'Monthly Avg Balance'!Z10/SUM('Monthly Avg Balance'!Z10:'Monthly Avg Balance'!AB10))</x:f>
        <x:v>247.43529471897105</x:v>
      </x:c>
      <x:c r="AA10" s="43" t="n">
        <x:f>IF(SUM('Monthly Avg Balance'!Z10:'Monthly Avg Balance'!AB10)=0,"",'Monthly Avg Balance'!AA10*Rate!J10/12+('Net Interest Income'!J10-SUM('Monthly Avg Balance'!Z10:'Monthly Avg Balance'!AB10)*Rate!J10/12)*'Monthly Avg Balance'!AA10/SUM('Monthly Avg Balance'!Z10:'Monthly Avg Balance'!AB10))</x:f>
        <x:v>272.71613198884114</x:v>
      </x:c>
      <x:c r="AB10" s="43" t="n">
        <x:f>IF(SUM('Monthly Avg Balance'!Z10:'Monthly Avg Balance'!AB10)=0,"",'Monthly Avg Balance'!AB10*Rate!J10/12+('Net Interest Income'!J10-SUM('Monthly Avg Balance'!Z10:'Monthly Avg Balance'!AB10)*Rate!J10/12)*'Monthly Avg Balance'!AB10/SUM('Monthly Avg Balance'!Z10:'Monthly Avg Balance'!AB10))</x:f>
        <x:v>249.84857329218767</x:v>
      </x:c>
      <x:c r="AC10" s="43" t="n">
        <x:f>IF(SUM('Monthly Avg Balance'!AC10:'Monthly Avg Balance'!AE10)=0,"",'Monthly Avg Balance'!AC10*Rate!K10/12+('Net Interest Income'!K10-SUM('Monthly Avg Balance'!AC10:'Monthly Avg Balance'!AE10)*Rate!K10/12)*'Monthly Avg Balance'!AC10/SUM('Monthly Avg Balance'!AC10:'Monthly Avg Balance'!AE10))</x:f>
        <x:v>252.13381438522106</x:v>
      </x:c>
      <x:c r="AD10" s="43" t="n">
        <x:f>IF(SUM('Monthly Avg Balance'!AC10:'Monthly Avg Balance'!AE10)=0,"",'Monthly Avg Balance'!AD10*Rate!K10/12+('Net Interest Income'!K10-SUM('Monthly Avg Balance'!AC10:'Monthly Avg Balance'!AE10)*Rate!K10/12)*'Monthly Avg Balance'!AD10/SUM('Monthly Avg Balance'!AC10:'Monthly Avg Balance'!AE10))</x:f>
        <x:v>274.55895388677584</x:v>
      </x:c>
      <x:c r="AE10" s="43" t="n">
        <x:f>IF(SUM('Monthly Avg Balance'!AC10:'Monthly Avg Balance'!AE10)=0,"",'Monthly Avg Balance'!AE10*Rate!K10/12+('Net Interest Income'!K10-SUM('Monthly Avg Balance'!AC10:'Monthly Avg Balance'!AE10)*Rate!K10/12)*'Monthly Avg Balance'!AE10/SUM('Monthly Avg Balance'!AC10:'Monthly Avg Balance'!AE10))</x:f>
        <x:v>257.3072317280031</x:v>
      </x:c>
      <x:c r="AF10" s="43" t="n">
        <x:f>IF(SUM('Monthly Avg Balance'!AF10:'Monthly Avg Balance'!AH10)=0,"",'Monthly Avg Balance'!AF10*Rate!L10/12+('Net Interest Income'!L10-SUM('Monthly Avg Balance'!AF10:'Monthly Avg Balance'!AH10)*Rate!L10/12)*'Monthly Avg Balance'!AF10/SUM('Monthly Avg Balance'!AF10:'Monthly Avg Balance'!AH10))</x:f>
        <x:v>264.8347061924073</x:v>
      </x:c>
      <x:c r="AG10" s="43" t="n">
        <x:f>IF(SUM('Monthly Avg Balance'!AF10:'Monthly Avg Balance'!AH10)=0,"",'Monthly Avg Balance'!AG10*Rate!L10/12+('Net Interest Income'!L10-SUM('Monthly Avg Balance'!AF10:'Monthly Avg Balance'!AH10)*Rate!L10/12)*'Monthly Avg Balance'!AG10/SUM('Monthly Avg Balance'!AF10:'Monthly Avg Balance'!AH10))</x:f>
        <x:v>288.6324315384628</x:v>
      </x:c>
      <x:c r="AH10" s="43" t="n">
        <x:f>IF(SUM('Monthly Avg Balance'!AF10:'Monthly Avg Balance'!AH10)=0,"",'Monthly Avg Balance'!AH10*Rate!L10/12+('Net Interest Income'!L10-SUM('Monthly Avg Balance'!AF10:'Monthly Avg Balance'!AH10)*Rate!L10/12)*'Monthly Avg Balance'!AH10/SUM('Monthly Avg Balance'!AF10:'Monthly Avg Balance'!AH10))</x:f>
        <x:v>269.5328622691298</x:v>
      </x:c>
      <x:c r="AI10" s="43" t="n">
        <x:f>IF(SUM('Monthly Avg Balance'!AI10:'Monthly Avg Balance'!AK10)=0,"",'Monthly Avg Balance'!AI10*Rate!M10/12+('Net Interest Income'!M10-SUM('Monthly Avg Balance'!AI10:'Monthly Avg Balance'!AK10)*Rate!M10/12)*'Monthly Avg Balance'!AI10/SUM('Monthly Avg Balance'!AI10:'Monthly Avg Balance'!AK10))</x:f>
        <x:v>272.59089368231366</x:v>
      </x:c>
      <x:c r="AJ10" s="43" t="n">
        <x:f>IF(SUM('Monthly Avg Balance'!AI10:'Monthly Avg Balance'!AK10)=0,"",'Monthly Avg Balance'!AJ10*Rate!M10/12+('Net Interest Income'!M10-SUM('Monthly Avg Balance'!AI10:'Monthly Avg Balance'!AK10)*Rate!M10/12)*'Monthly Avg Balance'!AJ10/SUM('Monthly Avg Balance'!AI10:'Monthly Avg Balance'!AK10))</x:f>
        <x:v>293.3461836964085</x:v>
      </x:c>
      <x:c r="AK10" s="43" t="n">
        <x:f>IF(SUM('Monthly Avg Balance'!AI10:'Monthly Avg Balance'!AK10)=0,"",'Monthly Avg Balance'!AK10*Rate!M10/12+('Net Interest Income'!M10-SUM('Monthly Avg Balance'!AI10:'Monthly Avg Balance'!AK10)*Rate!M10/12)*'Monthly Avg Balance'!AK10/SUM('Monthly Avg Balance'!AI10:'Monthly Avg Balance'!AK10))</x:f>
        <x:v>275.06292262127783</x:v>
      </x:c>
      <x:c r="AL10" s="43" t="n">
        <x:f>IF(SUM('Monthly Avg Balance'!AL10:'Monthly Avg Balance'!AN10)=0,"",'Monthly Avg Balance'!AL10*Rate!N10/12+('Net Interest Income'!N10-SUM('Monthly Avg Balance'!AL10:'Monthly Avg Balance'!AN10)*Rate!N10/12)*'Monthly Avg Balance'!AL10/SUM('Monthly Avg Balance'!AL10:'Monthly Avg Balance'!AN10))</x:f>
        <x:v>270.49697609083586</x:v>
      </x:c>
      <x:c r="AM10" s="43" t="n">
        <x:f>IF(SUM('Monthly Avg Balance'!AL10:'Monthly Avg Balance'!AN10)=0,"",'Monthly Avg Balance'!AM10*Rate!N10/12+('Net Interest Income'!N10-SUM('Monthly Avg Balance'!AL10:'Monthly Avg Balance'!AN10)*Rate!N10/12)*'Monthly Avg Balance'!AM10/SUM('Monthly Avg Balance'!AL10:'Monthly Avg Balance'!AN10))</x:f>
        <x:v>288.66723311059513</x:v>
      </x:c>
      <x:c r="AN10" s="43" t="n">
        <x:f>IF(SUM('Monthly Avg Balance'!AL10:'Monthly Avg Balance'!AN10)=0,"",'Monthly Avg Balance'!AN10*Rate!N10/12+('Net Interest Income'!N10-SUM('Monthly Avg Balance'!AL10:'Monthly Avg Balance'!AN10)*Rate!N10/12)*'Monthly Avg Balance'!AN10/SUM('Monthly Avg Balance'!AL10:'Monthly Avg Balance'!AN10))</x:f>
        <x:v>272.8357907985691</x:v>
      </x:c>
      <x:c r="AO10" s="43" t="n">
        <x:f>IF(SUM('Monthly Avg Balance'!AO10:'Monthly Avg Balance'!AQ10)=0,"",'Monthly Avg Balance'!AO10*Rate!O10/12+('Net Interest Income'!O10-SUM('Monthly Avg Balance'!AO10:'Monthly Avg Balance'!AQ10)*Rate!O10/12)*'Monthly Avg Balance'!AO10/SUM('Monthly Avg Balance'!AO10:'Monthly Avg Balance'!AQ10))</x:f>
        <x:v>276.58765569808514</x:v>
      </x:c>
      <x:c r="AP10" s="43" t="n">
        <x:f>IF(SUM('Monthly Avg Balance'!AO10:'Monthly Avg Balance'!AQ10)=0,"",'Monthly Avg Balance'!AP10*Rate!O10/12+('Net Interest Income'!O10-SUM('Monthly Avg Balance'!AO10:'Monthly Avg Balance'!AQ10)*Rate!O10/12)*'Monthly Avg Balance'!AP10/SUM('Monthly Avg Balance'!AO10:'Monthly Avg Balance'!AQ10))</x:f>
        <x:v>295.9620747350809</x:v>
      </x:c>
      <x:c r="AQ10" s="43" t="n">
        <x:f>IF(SUM('Monthly Avg Balance'!AO10:'Monthly Avg Balance'!AQ10)=0,"",'Monthly Avg Balance'!AQ10*Rate!O10/12+('Net Interest Income'!O10-SUM('Monthly Avg Balance'!AO10:'Monthly Avg Balance'!AQ10)*Rate!O10/12)*'Monthly Avg Balance'!AQ10/SUM('Monthly Avg Balance'!AO10:'Monthly Avg Balance'!AQ10))</x:f>
        <x:v>277.4502695668339</x:v>
      </x:c>
    </x:row>
    <x:row r="11">
      <x:c r="A11" s="20" t="str">
        <x:v>  Cash equivalents and other</x:v>
      </x:c>
      <x:c r="B11" s="43" t="n">
        <x:f>IF(SUM('Monthly Avg Balance'!B11:'Monthly Avg Balance'!D11)=0,"",'Monthly Avg Balance'!B11*Rate!B11/12+('Net Interest Income'!B11-SUM('Monthly Avg Balance'!B11:'Monthly Avg Balance'!D11)*Rate!B11/12)*'Monthly Avg Balance'!B11/SUM('Monthly Avg Balance'!B11:'Monthly Avg Balance'!D11))</x:f>
        <x:v>121.26511338754725</x:v>
      </x:c>
      <x:c r="C11" s="43" t="n">
        <x:f>IF(SUM('Monthly Avg Balance'!B11:'Monthly Avg Balance'!D11)=0,"",'Monthly Avg Balance'!C11*Rate!B11/12+('Net Interest Income'!B11-SUM('Monthly Avg Balance'!B11:'Monthly Avg Balance'!D11)*Rate!B11/12)*'Monthly Avg Balance'!C11/SUM('Monthly Avg Balance'!B11:'Monthly Avg Balance'!D11))</x:f>
        <x:v>133.619816879454</x:v>
      </x:c>
      <x:c r="D11" s="43" t="n">
        <x:f>IF(SUM('Monthly Avg Balance'!B11:'Monthly Avg Balance'!D11)=0,"",'Monthly Avg Balance'!D11*Rate!B11/12+('Net Interest Income'!B11-SUM('Monthly Avg Balance'!B11:'Monthly Avg Balance'!D11)*Rate!B11/12)*'Monthly Avg Balance'!D11/SUM('Monthly Avg Balance'!B11:'Monthly Avg Balance'!D11))</x:f>
        <x:v>161.1150697329987</x:v>
      </x:c>
      <x:c r="E11" s="43" t="n">
        <x:f>IF(SUM('Monthly Avg Balance'!E11:'Monthly Avg Balance'!G11)=0,"",'Monthly Avg Balance'!E11*Rate!C11/12+('Net Interest Income'!C11-SUM('Monthly Avg Balance'!E11:'Monthly Avg Balance'!G11)*Rate!C11/12)*'Monthly Avg Balance'!E11/SUM('Monthly Avg Balance'!E11:'Monthly Avg Balance'!G11))</x:f>
        <x:v>171.70025452416328</x:v>
      </x:c>
      <x:c r="F11" s="43" t="n">
        <x:f>IF(SUM('Monthly Avg Balance'!E11:'Monthly Avg Balance'!G11)=0,"",'Monthly Avg Balance'!F11*Rate!C11/12+('Net Interest Income'!C11-SUM('Monthly Avg Balance'!E11:'Monthly Avg Balance'!G11)*Rate!C11/12)*'Monthly Avg Balance'!F11/SUM('Monthly Avg Balance'!E11:'Monthly Avg Balance'!G11))</x:f>
        <x:v>140.53585539535536</x:v>
      </x:c>
      <x:c r="G11" s="43" t="n">
        <x:f>IF(SUM('Monthly Avg Balance'!E11:'Monthly Avg Balance'!G11)=0,"",'Monthly Avg Balance'!G11*Rate!C11/12+('Net Interest Income'!C11-SUM('Monthly Avg Balance'!E11:'Monthly Avg Balance'!G11)*Rate!C11/12)*'Monthly Avg Balance'!G11/SUM('Monthly Avg Balance'!E11:'Monthly Avg Balance'!G11))</x:f>
        <x:v>157.7638900804814</x:v>
      </x:c>
      <x:c r="H11" s="43" t="n">
        <x:f>IF(SUM('Monthly Avg Balance'!H11:'Monthly Avg Balance'!J11)=0,"",'Monthly Avg Balance'!H11*Rate!D11/12+('Net Interest Income'!D11-SUM('Monthly Avg Balance'!H11:'Monthly Avg Balance'!J11)*Rate!D11/12)*'Monthly Avg Balance'!H11/SUM('Monthly Avg Balance'!H11:'Monthly Avg Balance'!J11))</x:f>
        <x:v>180.68935594808403</x:v>
      </x:c>
      <x:c r="I11" s="43" t="n">
        <x:f>IF(SUM('Monthly Avg Balance'!H11:'Monthly Avg Balance'!J11)=0,"",'Monthly Avg Balance'!I11*Rate!D11/12+('Net Interest Income'!D11-SUM('Monthly Avg Balance'!H11:'Monthly Avg Balance'!J11)*Rate!D11/12)*'Monthly Avg Balance'!I11/SUM('Monthly Avg Balance'!H11:'Monthly Avg Balance'!J11))</x:f>
        <x:v>179.087743955026</x:v>
      </x:c>
      <x:c r="J11" s="43" t="n">
        <x:f>IF(SUM('Monthly Avg Balance'!H11:'Monthly Avg Balance'!J11)=0,"",'Monthly Avg Balance'!J11*Rate!D11/12+('Net Interest Income'!D11-SUM('Monthly Avg Balance'!H11:'Monthly Avg Balance'!J11)*Rate!D11/12)*'Monthly Avg Balance'!J11/SUM('Monthly Avg Balance'!H11:'Monthly Avg Balance'!J11))</x:f>
        <x:v>190.22290009688987</x:v>
      </x:c>
      <x:c r="K11" s="43" t="n">
        <x:f>IF(SUM('Monthly Avg Balance'!K11:'Monthly Avg Balance'!M11)=0,"",'Monthly Avg Balance'!K11*Rate!E11/12+('Net Interest Income'!E11-SUM('Monthly Avg Balance'!K11:'Monthly Avg Balance'!M11)*Rate!E11/12)*'Monthly Avg Balance'!K11/SUM('Monthly Avg Balance'!K11:'Monthly Avg Balance'!M11))</x:f>
        <x:v>187.2633355333188</x:v>
      </x:c>
      <x:c r="L11" s="43" t="n">
        <x:f>IF(SUM('Monthly Avg Balance'!K11:'Monthly Avg Balance'!M11)=0,"",'Monthly Avg Balance'!L11*Rate!E11/12+('Net Interest Income'!E11-SUM('Monthly Avg Balance'!K11:'Monthly Avg Balance'!M11)*Rate!E11/12)*'Monthly Avg Balance'!L11/SUM('Monthly Avg Balance'!K11:'Monthly Avg Balance'!M11))</x:f>
        <x:v>172.06218716820868</x:v>
      </x:c>
      <x:c r="M11" s="43" t="n">
        <x:f>IF(SUM('Monthly Avg Balance'!K11:'Monthly Avg Balance'!M11)=0,"",'Monthly Avg Balance'!M11*Rate!E11/12+('Net Interest Income'!E11-SUM('Monthly Avg Balance'!K11:'Monthly Avg Balance'!M11)*Rate!E11/12)*'Monthly Avg Balance'!M11/SUM('Monthly Avg Balance'!K11:'Monthly Avg Balance'!M11))</x:f>
        <x:v>182.67447729847248</x:v>
      </x:c>
      <x:c r="N11" s="43" t="n">
        <x:f>IF(SUM('Monthly Avg Balance'!N11:'Monthly Avg Balance'!P11)=0,"",'Monthly Avg Balance'!N11*Rate!F11/12+('Net Interest Income'!F11-SUM('Monthly Avg Balance'!N11:'Monthly Avg Balance'!P11)*Rate!F11/12)*'Monthly Avg Balance'!N11/SUM('Monthly Avg Balance'!N11:'Monthly Avg Balance'!P11))</x:f>
        <x:v>184.34895577032853</x:v>
      </x:c>
      <x:c r="O11" s="43" t="n">
        <x:f>IF(SUM('Monthly Avg Balance'!N11:'Monthly Avg Balance'!P11)=0,"",'Monthly Avg Balance'!O11*Rate!F11/12+('Net Interest Income'!F11-SUM('Monthly Avg Balance'!N11:'Monthly Avg Balance'!P11)*Rate!F11/12)*'Monthly Avg Balance'!O11/SUM('Monthly Avg Balance'!N11:'Monthly Avg Balance'!P11))</x:f>
        <x:v>178.12345727614513</x:v>
      </x:c>
      <x:c r="P11" s="43" t="n">
        <x:f>IF(SUM('Monthly Avg Balance'!N11:'Monthly Avg Balance'!P11)=0,"",'Monthly Avg Balance'!P11*Rate!F11/12+('Net Interest Income'!F11-SUM('Monthly Avg Balance'!N11:'Monthly Avg Balance'!P11)*Rate!F11/12)*'Monthly Avg Balance'!P11/SUM('Monthly Avg Balance'!N11:'Monthly Avg Balance'!P11))</x:f>
        <x:v>207.52758695352634</x:v>
      </x:c>
      <x:c r="Q11" s="43" t="n">
        <x:f>IF(SUM('Monthly Avg Balance'!Q11:'Monthly Avg Balance'!S11)=0,"",'Monthly Avg Balance'!Q11*Rate!G11/12+('Net Interest Income'!G11-SUM('Monthly Avg Balance'!Q11:'Monthly Avg Balance'!S11)*Rate!G11/12)*'Monthly Avg Balance'!Q11/SUM('Monthly Avg Balance'!Q11:'Monthly Avg Balance'!S11))</x:f>
        <x:v>207.10324952922215</x:v>
      </x:c>
      <x:c r="R11" s="43" t="n">
        <x:f>IF(SUM('Monthly Avg Balance'!Q11:'Monthly Avg Balance'!S11)=0,"",'Monthly Avg Balance'!R11*Rate!G11/12+('Net Interest Income'!G11-SUM('Monthly Avg Balance'!Q11:'Monthly Avg Balance'!S11)*Rate!G11/12)*'Monthly Avg Balance'!R11/SUM('Monthly Avg Balance'!Q11:'Monthly Avg Balance'!S11))</x:f>
        <x:v>183.62761503122397</x:v>
      </x:c>
      <x:c r="S11" s="43" t="n">
        <x:f>IF(SUM('Monthly Avg Balance'!Q11:'Monthly Avg Balance'!S11)=0,"",'Monthly Avg Balance'!S11*Rate!G11/12+('Net Interest Income'!G11-SUM('Monthly Avg Balance'!Q11:'Monthly Avg Balance'!S11)*Rate!G11/12)*'Monthly Avg Balance'!S11/SUM('Monthly Avg Balance'!Q11:'Monthly Avg Balance'!S11))</x:f>
        <x:v>196.2691354395539</x:v>
      </x:c>
      <x:c r="T11" s="43" t="n">
        <x:f>IF(SUM('Monthly Avg Balance'!T11:'Monthly Avg Balance'!V11)=0,"",'Monthly Avg Balance'!T11*Rate!H11/12+('Net Interest Income'!H11-SUM('Monthly Avg Balance'!T11:'Monthly Avg Balance'!V11)*Rate!H11/12)*'Monthly Avg Balance'!T11/SUM('Monthly Avg Balance'!T11:'Monthly Avg Balance'!V11))</x:f>
        <x:v>195.91500538997616</x:v>
      </x:c>
      <x:c r="U11" s="43" t="n">
        <x:f>IF(SUM('Monthly Avg Balance'!T11:'Monthly Avg Balance'!V11)=0,"",'Monthly Avg Balance'!U11*Rate!H11/12+('Net Interest Income'!H11-SUM('Monthly Avg Balance'!T11:'Monthly Avg Balance'!V11)*Rate!H11/12)*'Monthly Avg Balance'!U11/SUM('Monthly Avg Balance'!T11:'Monthly Avg Balance'!V11))</x:f>
        <x:v>182.62210953038883</x:v>
      </x:c>
      <x:c r="V11" s="43" t="n">
        <x:f>IF(SUM('Monthly Avg Balance'!T11:'Monthly Avg Balance'!V11)=0,"",'Monthly Avg Balance'!V11*Rate!H11/12+('Net Interest Income'!H11-SUM('Monthly Avg Balance'!T11:'Monthly Avg Balance'!V11)*Rate!H11/12)*'Monthly Avg Balance'!V11/SUM('Monthly Avg Balance'!T11:'Monthly Avg Balance'!V11))</x:f>
        <x:v>201.46288507963502</x:v>
      </x:c>
      <x:c r="W11" s="43" t="n">
        <x:f>IF(SUM('Monthly Avg Balance'!W11:'Monthly Avg Balance'!Y11)=0,"",'Monthly Avg Balance'!W11*Rate!I11/12+('Net Interest Income'!I11-SUM('Monthly Avg Balance'!W11:'Monthly Avg Balance'!Y11)*Rate!I11/12)*'Monthly Avg Balance'!W11/SUM('Monthly Avg Balance'!W11:'Monthly Avg Balance'!Y11))</x:f>
        <x:v>185.08686482137807</x:v>
      </x:c>
      <x:c r="X11" s="43" t="n">
        <x:f>IF(SUM('Monthly Avg Balance'!W11:'Monthly Avg Balance'!Y11)=0,"",'Monthly Avg Balance'!X11*Rate!I11/12+('Net Interest Income'!I11-SUM('Monthly Avg Balance'!W11:'Monthly Avg Balance'!Y11)*Rate!I11/12)*'Monthly Avg Balance'!X11/SUM('Monthly Avg Balance'!W11:'Monthly Avg Balance'!Y11))</x:f>
        <x:v>175.31451805788086</x:v>
      </x:c>
      <x:c r="Y11" s="43" t="n">
        <x:f>IF(SUM('Monthly Avg Balance'!W11:'Monthly Avg Balance'!Y11)=0,"",'Monthly Avg Balance'!Y11*Rate!I11/12+('Net Interest Income'!I11-SUM('Monthly Avg Balance'!W11:'Monthly Avg Balance'!Y11)*Rate!I11/12)*'Monthly Avg Balance'!Y11/SUM('Monthly Avg Balance'!W11:'Monthly Avg Balance'!Y11))</x:f>
        <x:v>169.59861712074098</x:v>
      </x:c>
      <x:c r="Z11" s="43" t="n">
        <x:f>IF(SUM('Monthly Avg Balance'!Z11:'Monthly Avg Balance'!AB11)=0,"",'Monthly Avg Balance'!Z11*Rate!J11/12+('Net Interest Income'!J11-SUM('Monthly Avg Balance'!Z11:'Monthly Avg Balance'!AB11)*Rate!J11/12)*'Monthly Avg Balance'!Z11/SUM('Monthly Avg Balance'!Z11:'Monthly Avg Balance'!AB11))</x:f>
        <x:v>156.4399873230706</x:v>
      </x:c>
      <x:c r="AA11" s="43" t="n">
        <x:f>IF(SUM('Monthly Avg Balance'!Z11:'Monthly Avg Balance'!AB11)=0,"",'Monthly Avg Balance'!AA11*Rate!J11/12+('Net Interest Income'!J11-SUM('Monthly Avg Balance'!Z11:'Monthly Avg Balance'!AB11)*Rate!J11/12)*'Monthly Avg Balance'!AA11/SUM('Monthly Avg Balance'!Z11:'Monthly Avg Balance'!AB11))</x:f>
        <x:v>166.00538303435354</x:v>
      </x:c>
      <x:c r="AB11" s="43" t="n">
        <x:f>IF(SUM('Monthly Avg Balance'!Z11:'Monthly Avg Balance'!AB11)=0,"",'Monthly Avg Balance'!AB11*Rate!J11/12+('Net Interest Income'!J11-SUM('Monthly Avg Balance'!Z11:'Monthly Avg Balance'!AB11)*Rate!J11/12)*'Monthly Avg Balance'!AB11/SUM('Monthly Avg Balance'!Z11:'Monthly Avg Balance'!AB11))</x:f>
        <x:v>168.55462964257586</x:v>
      </x:c>
      <x:c r="AC11" s="43" t="n">
        <x:f>IF(SUM('Monthly Avg Balance'!AC11:'Monthly Avg Balance'!AE11)=0,"",'Monthly Avg Balance'!AC11*Rate!K11/12+('Net Interest Income'!K11-SUM('Monthly Avg Balance'!AC11:'Monthly Avg Balance'!AE11)*Rate!K11/12)*'Monthly Avg Balance'!AC11/SUM('Monthly Avg Balance'!AC11:'Monthly Avg Balance'!AE11))</x:f>
        <x:v>184.90701146119432</x:v>
      </x:c>
      <x:c r="AD11" s="43" t="n">
        <x:f>IF(SUM('Monthly Avg Balance'!AC11:'Monthly Avg Balance'!AE11)=0,"",'Monthly Avg Balance'!AD11*Rate!K11/12+('Net Interest Income'!K11-SUM('Monthly Avg Balance'!AC11:'Monthly Avg Balance'!AE11)*Rate!K11/12)*'Monthly Avg Balance'!AD11/SUM('Monthly Avg Balance'!AC11:'Monthly Avg Balance'!AE11))</x:f>
        <x:v>193.56056080732992</x:v>
      </x:c>
      <x:c r="AE11" s="43" t="n">
        <x:f>IF(SUM('Monthly Avg Balance'!AC11:'Monthly Avg Balance'!AE11)=0,"",'Monthly Avg Balance'!AE11*Rate!K11/12+('Net Interest Income'!K11-SUM('Monthly Avg Balance'!AC11:'Monthly Avg Balance'!AE11)*Rate!K11/12)*'Monthly Avg Balance'!AE11/SUM('Monthly Avg Balance'!AC11:'Monthly Avg Balance'!AE11))</x:f>
        <x:v>216.53242773147576</x:v>
      </x:c>
      <x:c r="AF11" s="43" t="n">
        <x:f>IF(SUM('Monthly Avg Balance'!AF11:'Monthly Avg Balance'!AH11)=0,"",'Monthly Avg Balance'!AF11*Rate!L11/12+('Net Interest Income'!L11-SUM('Monthly Avg Balance'!AF11:'Monthly Avg Balance'!AH11)*Rate!L11/12)*'Monthly Avg Balance'!AF11/SUM('Monthly Avg Balance'!AF11:'Monthly Avg Balance'!AH11))</x:f>
        <x:v>246.12268477553383</x:v>
      </x:c>
      <x:c r="AG11" s="43" t="n">
        <x:f>IF(SUM('Monthly Avg Balance'!AF11:'Monthly Avg Balance'!AH11)=0,"",'Monthly Avg Balance'!AG11*Rate!L11/12+('Net Interest Income'!L11-SUM('Monthly Avg Balance'!AF11:'Monthly Avg Balance'!AH11)*Rate!L11/12)*'Monthly Avg Balance'!AG11/SUM('Monthly Avg Balance'!AF11:'Monthly Avg Balance'!AH11))</x:f>
        <x:v>227.43017357997067</x:v>
      </x:c>
      <x:c r="AH11" s="43" t="n">
        <x:f>IF(SUM('Monthly Avg Balance'!AF11:'Monthly Avg Balance'!AH11)=0,"",'Monthly Avg Balance'!AH11*Rate!L11/12+('Net Interest Income'!L11-SUM('Monthly Avg Balance'!AF11:'Monthly Avg Balance'!AH11)*Rate!L11/12)*'Monthly Avg Balance'!AH11/SUM('Monthly Avg Balance'!AF11:'Monthly Avg Balance'!AH11))</x:f>
        <x:v>237.4471416444955</x:v>
      </x:c>
      <x:c r="AI11" s="43" t="n">
        <x:f>IF(SUM('Monthly Avg Balance'!AI11:'Monthly Avg Balance'!AK11)=0,"",'Monthly Avg Balance'!AI11*Rate!M11/12+('Net Interest Income'!M11-SUM('Monthly Avg Balance'!AI11:'Monthly Avg Balance'!AK11)*Rate!M11/12)*'Monthly Avg Balance'!AI11/SUM('Monthly Avg Balance'!AI11:'Monthly Avg Balance'!AK11))</x:f>
        <x:v>214.76508974038805</x:v>
      </x:c>
      <x:c r="AJ11" s="43" t="n">
        <x:f>IF(SUM('Monthly Avg Balance'!AI11:'Monthly Avg Balance'!AK11)=0,"",'Monthly Avg Balance'!AJ11*Rate!M11/12+('Net Interest Income'!M11-SUM('Monthly Avg Balance'!AI11:'Monthly Avg Balance'!AK11)*Rate!M11/12)*'Monthly Avg Balance'!AJ11/SUM('Monthly Avg Balance'!AI11:'Monthly Avg Balance'!AK11))</x:f>
        <x:v>221.95159556564136</x:v>
      </x:c>
      <x:c r="AK11" s="43" t="n">
        <x:f>IF(SUM('Monthly Avg Balance'!AI11:'Monthly Avg Balance'!AK11)=0,"",'Monthly Avg Balance'!AK11*Rate!M11/12+('Net Interest Income'!M11-SUM('Monthly Avg Balance'!AI11:'Monthly Avg Balance'!AK11)*Rate!M11/12)*'Monthly Avg Balance'!AK11/SUM('Monthly Avg Balance'!AI11:'Monthly Avg Balance'!AK11))</x:f>
        <x:v>223.28331469397065</x:v>
      </x:c>
      <x:c r="AL11" s="43" t="n">
        <x:f>IF(SUM('Monthly Avg Balance'!AL11:'Monthly Avg Balance'!AN11)=0,"",'Monthly Avg Balance'!AL11*Rate!N11/12+('Net Interest Income'!N11-SUM('Monthly Avg Balance'!AL11:'Monthly Avg Balance'!AN11)*Rate!N11/12)*'Monthly Avg Balance'!AL11/SUM('Monthly Avg Balance'!AL11:'Monthly Avg Balance'!AN11))</x:f>
        <x:v>202.08544637029186</x:v>
      </x:c>
      <x:c r="AM11" s="43" t="n">
        <x:f>IF(SUM('Monthly Avg Balance'!AL11:'Monthly Avg Balance'!AN11)=0,"",'Monthly Avg Balance'!AM11*Rate!N11/12+('Net Interest Income'!N11-SUM('Monthly Avg Balance'!AL11:'Monthly Avg Balance'!AN11)*Rate!N11/12)*'Monthly Avg Balance'!AM11/SUM('Monthly Avg Balance'!AL11:'Monthly Avg Balance'!AN11))</x:f>
        <x:v>225.27080154017253</x:v>
      </x:c>
      <x:c r="AN11" s="43" t="n">
        <x:f>IF(SUM('Monthly Avg Balance'!AL11:'Monthly Avg Balance'!AN11)=0,"",'Monthly Avg Balance'!AN11*Rate!N11/12+('Net Interest Income'!N11-SUM('Monthly Avg Balance'!AL11:'Monthly Avg Balance'!AN11)*Rate!N11/12)*'Monthly Avg Balance'!AN11/SUM('Monthly Avg Balance'!AL11:'Monthly Avg Balance'!AN11))</x:f>
        <x:v>236.6437520895356</x:v>
      </x:c>
      <x:c r="AO11" s="43" t="n">
        <x:f>IF(SUM('Monthly Avg Balance'!AO11:'Monthly Avg Balance'!AQ11)=0,"",'Monthly Avg Balance'!AO11*Rate!O11/12+('Net Interest Income'!O11-SUM('Monthly Avg Balance'!AO11:'Monthly Avg Balance'!AQ11)*Rate!O11/12)*'Monthly Avg Balance'!AO11/SUM('Monthly Avg Balance'!AO11:'Monthly Avg Balance'!AQ11))</x:f>
        <x:v>232.26621178998758</x:v>
      </x:c>
      <x:c r="AP11" s="43" t="n">
        <x:f>IF(SUM('Monthly Avg Balance'!AO11:'Monthly Avg Balance'!AQ11)=0,"",'Monthly Avg Balance'!AP11*Rate!O11/12+('Net Interest Income'!O11-SUM('Monthly Avg Balance'!AO11:'Monthly Avg Balance'!AQ11)*Rate!O11/12)*'Monthly Avg Balance'!AP11/SUM('Monthly Avg Balance'!AO11:'Monthly Avg Balance'!AQ11))</x:f>
        <x:v>207.615843770657</x:v>
      </x:c>
      <x:c r="AQ11" s="43" t="n">
        <x:f>IF(SUM('Monthly Avg Balance'!AO11:'Monthly Avg Balance'!AQ11)=0,"",'Monthly Avg Balance'!AQ11*Rate!O11/12+('Net Interest Income'!O11-SUM('Monthly Avg Balance'!AO11:'Monthly Avg Balance'!AQ11)*Rate!O11/12)*'Monthly Avg Balance'!AQ11/SUM('Monthly Avg Balance'!AO11:'Monthly Avg Balance'!AQ11))</x:f>
        <x:v>184.11794443935543</x:v>
      </x:c>
    </x:row>
    <x:row r="12">
      <x:c r="A12" s="26" t="str">
        <x:v>  Total interest-earning assets</x:v>
      </x:c>
      <x:c r="B12" s="46" t="n">
        <x:f>SUM(B9:B11)</x:f>
        <x:v>3233.931780054214</x:v>
      </x:c>
      <x:c r="C12" s="46" t="n">
        <x:f>SUM(C9:C11)</x:f>
        <x:v>3246.2864835461205</x:v>
      </x:c>
      <x:c r="D12" s="46" t="n">
        <x:f>SUM(D9:D11)</x:f>
        <x:v>3273.781736399665</x:v>
      </x:c>
      <x:c r="E12" s="46" t="n">
        <x:f>SUM(E9:E11)</x:f>
        <x:v>3389.2488750194652</x:v>
      </x:c>
      <x:c r="F12" s="46" t="n">
        <x:f>SUM(F9:F11)</x:f>
        <x:v>3372.535855395355</x:v>
      </x:c>
      <x:c r="G12" s="46" t="n">
        <x:f>SUM(G9:G11)</x:f>
        <x:v>3404.2152695851796</x:v>
      </x:c>
      <x:c r="H12" s="46" t="n">
        <x:f>SUM(H9:H11)</x:f>
        <x:v>3618.9242130583143</x:v>
      </x:c>
      <x:c r="I12" s="46" t="n">
        <x:f>SUM(I9:I11)</x:f>
        <x:v>3620.087743955027</x:v>
      </x:c>
      <x:c r="J12" s="46" t="n">
        <x:f>SUM(J9:J11)</x:f>
        <x:v>3633.9880429866607</x:v>
      </x:c>
      <x:c r="K12" s="46" t="n">
        <x:f>SUM(K9:K11)</x:f>
        <x:v>3702.9798948714974</x:v>
      </x:c>
      <x:c r="L12" s="46" t="n">
        <x:f>SUM(L9:L11)</x:f>
        <x:v>3711.7703967742746</x:v>
      </x:c>
      <x:c r="M12" s="46" t="n">
        <x:f>SUM(M9:M11)</x:f>
        <x:v>3730.2497083542276</x:v>
      </x:c>
      <x:c r="N12" s="46" t="n">
        <x:f>SUM(N9:N11)</x:f>
        <x:v>3738.9466991774434</x:v>
      </x:c>
      <x:c r="O12" s="46" t="n">
        <x:f>SUM(O9:O11)</x:f>
        <x:v>3714.361698191343</x:v>
      </x:c>
      <x:c r="P12" s="46" t="n">
        <x:f>SUM(P9:P11)</x:f>
        <x:v>3723.6916026312133</x:v>
      </x:c>
      <x:c r="Q12" s="46" t="n">
        <x:f>SUM(Q9:Q11)</x:f>
        <x:v>3754.112224789246</x:v>
      </x:c>
      <x:c r="R12" s="46" t="n">
        <x:f>SUM(R9:R11)</x:f>
        <x:v>3759.847320726999</x:v>
      </x:c>
      <x:c r="S12" s="46" t="n">
        <x:f>SUM(S9:S11)</x:f>
        <x:v>3766.040454483754</x:v>
      </x:c>
      <x:c r="T12" s="46" t="n">
        <x:f>SUM(T9:T11)</x:f>
        <x:v>3938.4386598713813</x:v>
      </x:c>
      <x:c r="U12" s="46" t="n">
        <x:f>SUM(U9:U11)</x:f>
        <x:v>3955.054470745283</x:v>
      </x:c>
      <x:c r="V12" s="46" t="n">
        <x:f>SUM(V9:V11)</x:f>
        <x:v>3966.506869383335</x:v>
      </x:c>
      <x:c r="W12" s="46" t="n">
        <x:f>SUM(W9:W11)</x:f>
        <x:v>3885.7542773511445</x:v>
      </x:c>
      <x:c r="X12" s="46" t="n">
        <x:f>SUM(X9:X11)</x:f>
        <x:v>3907.544722473094</x:v>
      </x:c>
      <x:c r="Y12" s="46" t="n">
        <x:f>SUM(Y9:Y11)</x:f>
        <x:v>3923.701000175762</x:v>
      </x:c>
      <x:c r="Z12" s="46" t="n">
        <x:f>SUM(Z9:Z11)</x:f>
        <x:v>3814.411865698341</x:v>
      </x:c>
      <x:c r="AA12" s="46" t="n">
        <x:f>SUM(AA9:AA11)</x:f>
        <x:v>3803.9458569161798</x:v>
      </x:c>
      <x:c r="AB12" s="46" t="n">
        <x:f>SUM(AB9:AB11)</x:f>
        <x:v>3799.6422773854806</x:v>
      </x:c>
      <x:c r="AC12" s="46" t="n">
        <x:f>SUM(AC9:AC11)</x:f>
        <x:v>4173.504992087477</x:v>
      </x:c>
      <x:c r="AD12" s="46" t="n">
        <x:f>SUM(AD9:AD11)</x:f>
        <x:v>4596.46085337984</x:v>
      </x:c>
      <x:c r="AE12" s="46" t="n">
        <x:f>SUM(AE9:AE11)</x:f>
        <x:v>5058.034154532685</x:v>
      </x:c>
      <x:c r="AF12" s="46" t="n">
        <x:f>SUM(AF9:AF11)</x:f>
        <x:v>5575.725185587418</x:v>
      </x:c>
      <x:c r="AG12" s="46" t="n">
        <x:f>SUM(AG9:AG11)</x:f>
        <x:v>5585.828804102276</x:v>
      </x:c>
      <x:c r="AH12" s="46" t="n">
        <x:f>SUM(AH9:AH11)</x:f>
        <x:v>5601.4460103103065</x:v>
      </x:c>
      <x:c r="AI12" s="46" t="n">
        <x:f>SUM(AI9:AI11)</x:f>
        <x:v>5519.130917618422</x:v>
      </x:c>
      <x:c r="AJ12" s="46" t="n">
        <x:f>SUM(AJ9:AJ11)</x:f>
        <x:v>5558.413984621584</x:v>
      </x:c>
      <x:c r="AK12" s="46" t="n">
        <x:f>SUM(AK9:AK11)</x:f>
        <x:v>5609.455097759995</x:v>
      </x:c>
      <x:c r="AL12" s="46" t="n">
        <x:f>SUM(AL9:AL11)</x:f>
        <x:v>5420.329258434643</x:v>
      </x:c>
      <x:c r="AM12" s="46" t="n">
        <x:f>SUM(AM9:AM11)</x:f>
        <x:v>5396.581777840777</x:v>
      </x:c>
      <x:c r="AN12" s="46" t="n">
        <x:f>SUM(AN9:AN11)</x:f>
        <x:v>5414.088963724582</x:v>
      </x:c>
      <x:c r="AO12" s="46" t="n">
        <x:f>SUM(AO9:AO11)</x:f>
        <x:v>5450.435514091629</x:v>
      </x:c>
      <x:c r="AP12" s="46" t="n">
        <x:f>SUM(AP9:AP11)</x:f>
        <x:v>5462.145686367309</x:v>
      </x:c>
      <x:c r="AQ12" s="46" t="n">
        <x:f>SUM(AQ9:AQ11)</x:f>
        <x:v>5472.418799541062</x:v>
      </x:c>
    </x:row>
    <x:row r="13">
      <x:c r="A13" s="20"/>
      <x:c r="B13" s="43"/>
      <x:c r="C13" s="43"/>
      <x:c r="D13" s="43"/>
      <x:c r="E13" s="43"/>
      <x:c r="F13" s="43"/>
      <x:c r="G13" s="43"/>
      <x:c r="H13" s="43"/>
      <x:c r="I13" s="43"/>
      <x:c r="J13" s="43"/>
      <x:c r="K13" s="43"/>
      <x:c r="L13" s="43"/>
      <x:c r="M13" s="43"/>
      <x:c r="N13" s="43"/>
      <x:c r="O13" s="43"/>
      <x:c r="P13" s="43"/>
      <x:c r="Q13" s="43"/>
      <x:c r="R13" s="43"/>
      <x:c r="S13" s="43"/>
      <x:c r="T13" s="43"/>
      <x:c r="U13" s="43"/>
      <x:c r="V13" s="43"/>
      <x:c r="W13" s="43"/>
      <x:c r="X13" s="43"/>
      <x:c r="Y13" s="43"/>
      <x:c r="Z13" s="43"/>
      <x:c r="AA13" s="43"/>
      <x:c r="AB13" s="43"/>
      <x:c r="AC13" s="43"/>
      <x:c r="AD13" s="43"/>
      <x:c r="AE13" s="43"/>
      <x:c r="AF13" s="43"/>
      <x:c r="AG13" s="43"/>
      <x:c r="AH13" s="43"/>
      <x:c r="AI13" s="43"/>
      <x:c r="AJ13" s="43"/>
      <x:c r="AK13" s="43"/>
      <x:c r="AL13" s="43"/>
      <x:c r="AM13" s="43"/>
      <x:c r="AN13" s="43"/>
      <x:c r="AO13" s="43"/>
      <x:c r="AP13" s="43"/>
      <x:c r="AQ13" s="43"/>
    </x:row>
    <x:row r="14">
      <x:c r="A14" s="32" t="str">
        <x:v>INTEREST-BEARING LIABILITIES</x:v>
      </x:c>
      <x:c r="B14" s="45"/>
      <x:c r="C14" s="45"/>
      <x:c r="D14" s="45"/>
      <x:c r="E14" s="45"/>
      <x:c r="F14" s="45"/>
      <x:c r="G14" s="45"/>
      <x:c r="H14" s="45"/>
      <x:c r="I14" s="45"/>
      <x:c r="J14" s="45"/>
      <x:c r="K14" s="45"/>
      <x:c r="L14" s="45"/>
      <x:c r="M14" s="45"/>
      <x:c r="N14" s="45"/>
      <x:c r="O14" s="45"/>
      <x:c r="P14" s="45"/>
      <x:c r="Q14" s="45"/>
      <x:c r="R14" s="45"/>
      <x:c r="S14" s="45"/>
      <x:c r="T14" s="45"/>
      <x:c r="U14" s="45"/>
      <x:c r="V14" s="45"/>
      <x:c r="W14" s="45"/>
      <x:c r="X14" s="45"/>
      <x:c r="Y14" s="45"/>
      <x:c r="Z14" s="45"/>
      <x:c r="AA14" s="45"/>
      <x:c r="AB14" s="45"/>
      <x:c r="AC14" s="45"/>
      <x:c r="AD14" s="45"/>
      <x:c r="AE14" s="45"/>
      <x:c r="AF14" s="45"/>
      <x:c r="AG14" s="45"/>
      <x:c r="AH14" s="45"/>
      <x:c r="AI14" s="45"/>
      <x:c r="AJ14" s="45"/>
      <x:c r="AK14" s="45"/>
      <x:c r="AL14" s="45"/>
      <x:c r="AM14" s="45"/>
      <x:c r="AN14" s="45"/>
      <x:c r="AO14" s="45"/>
      <x:c r="AP14" s="45"/>
      <x:c r="AQ14" s="45"/>
    </x:row>
    <x:row r="15">
      <x:c r="A15" s="20" t="str">
        <x:v>  Interest-bearing deposits</x:v>
      </x:c>
      <x:c r="B15" s="43" t="n">
        <x:f>IF(SUM('Monthly Avg Balance'!B15:'Monthly Avg Balance'!D15)=0,"",'Monthly Avg Balance'!B15*Rate!B15/12+('Net Interest Income'!B15-SUM('Monthly Avg Balance'!B15:'Monthly Avg Balance'!D15)*Rate!B15/12)*'Monthly Avg Balance'!B15/SUM('Monthly Avg Balance'!B15:'Monthly Avg Balance'!D15))</x:f>
        <x:v>618.6666666666666</x:v>
      </x:c>
      <x:c r="C15" s="43" t="n">
        <x:f>IF(SUM('Monthly Avg Balance'!B15:'Monthly Avg Balance'!D15)=0,"",'Monthly Avg Balance'!C15*Rate!B15/12+('Net Interest Income'!B15-SUM('Monthly Avg Balance'!B15:'Monthly Avg Balance'!D15)*Rate!B15/12)*'Monthly Avg Balance'!C15/SUM('Monthly Avg Balance'!B15:'Monthly Avg Balance'!D15))</x:f>
        <x:v>618.6666666666666</x:v>
      </x:c>
      <x:c r="D15" s="43" t="n">
        <x:f>IF(SUM('Monthly Avg Balance'!B15:'Monthly Avg Balance'!D15)=0,"",'Monthly Avg Balance'!D15*Rate!B15/12+('Net Interest Income'!B15-SUM('Monthly Avg Balance'!B15:'Monthly Avg Balance'!D15)*Rate!B15/12)*'Monthly Avg Balance'!D15/SUM('Monthly Avg Balance'!B15:'Monthly Avg Balance'!D15))</x:f>
        <x:v>618.6666666666666</x:v>
      </x:c>
      <x:c r="E15" s="43" t="n">
        <x:f>IF(SUM('Monthly Avg Balance'!E15:'Monthly Avg Balance'!G15)=0,"",'Monthly Avg Balance'!E15*Rate!C15/12+('Net Interest Income'!C15-SUM('Monthly Avg Balance'!E15:'Monthly Avg Balance'!G15)*Rate!C15/12)*'Monthly Avg Balance'!E15/SUM('Monthly Avg Balance'!E15:'Monthly Avg Balance'!G15))</x:f>
        <x:v>751.8609066847164</x:v>
      </x:c>
      <x:c r="F15" s="43" t="n">
        <x:f>IF(SUM('Monthly Avg Balance'!E15:'Monthly Avg Balance'!G15)=0,"",'Monthly Avg Balance'!F15*Rate!C15/12+('Net Interest Income'!C15-SUM('Monthly Avg Balance'!E15:'Monthly Avg Balance'!G15)*Rate!C15/12)*'Monthly Avg Balance'!F15/SUM('Monthly Avg Balance'!E15:'Monthly Avg Balance'!G15))</x:f>
        <x:v>759</x:v>
      </x:c>
      <x:c r="G15" s="43" t="n">
        <x:f>IF(SUM('Monthly Avg Balance'!E15:'Monthly Avg Balance'!G15)=0,"",'Monthly Avg Balance'!G15*Rate!C15/12+('Net Interest Income'!C15-SUM('Monthly Avg Balance'!E15:'Monthly Avg Balance'!G15)*Rate!C15/12)*'Monthly Avg Balance'!G15/SUM('Monthly Avg Balance'!E15:'Monthly Avg Balance'!G15))</x:f>
        <x:v>766.1390933152834</x:v>
      </x:c>
      <x:c r="H15" s="43" t="n">
        <x:f>IF(SUM('Monthly Avg Balance'!H15:'Monthly Avg Balance'!J15)=0,"",'Monthly Avg Balance'!H15*Rate!D15/12+('Net Interest Income'!D15-SUM('Monthly Avg Balance'!H15:'Monthly Avg Balance'!J15)*Rate!D15/12)*'Monthly Avg Balance'!H15/SUM('Monthly Avg Balance'!H15:'Monthly Avg Balance'!J15))</x:f>
        <x:v>873.2598541357273</x:v>
      </x:c>
      <x:c r="I15" s="43" t="n">
        <x:f>IF(SUM('Monthly Avg Balance'!H15:'Monthly Avg Balance'!J15)=0,"",'Monthly Avg Balance'!I15*Rate!D15/12+('Net Interest Income'!D15-SUM('Monthly Avg Balance'!H15:'Monthly Avg Balance'!J15)*Rate!D15/12)*'Monthly Avg Balance'!I15/SUM('Monthly Avg Balance'!H15:'Monthly Avg Balance'!J15))</x:f>
        <x:v>870.3333333333334</x:v>
      </x:c>
      <x:c r="J15" s="43" t="n">
        <x:f>IF(SUM('Monthly Avg Balance'!H15:'Monthly Avg Balance'!J15)=0,"",'Monthly Avg Balance'!J15*Rate!D15/12+('Net Interest Income'!D15-SUM('Monthly Avg Balance'!H15:'Monthly Avg Balance'!J15)*Rate!D15/12)*'Monthly Avg Balance'!J15/SUM('Monthly Avg Balance'!H15:'Monthly Avg Balance'!J15))</x:f>
        <x:v>867.4068125309393</x:v>
      </x:c>
      <x:c r="K15" s="43" t="n">
        <x:f>IF(SUM('Monthly Avg Balance'!K15:'Monthly Avg Balance'!M15)=0,"",'Monthly Avg Balance'!K15*Rate!E15/12+('Net Interest Income'!E15-SUM('Monthly Avg Balance'!K15:'Monthly Avg Balance'!M15)*Rate!E15/12)*'Monthly Avg Balance'!K15/SUM('Monthly Avg Balance'!K15:'Monthly Avg Balance'!M15))</x:f>
        <x:v>909.8184439359992</x:v>
      </x:c>
      <x:c r="L15" s="43" t="n">
        <x:f>IF(SUM('Monthly Avg Balance'!K15:'Monthly Avg Balance'!M15)=0,"",'Monthly Avg Balance'!L15*Rate!E15/12+('Net Interest Income'!E15-SUM('Monthly Avg Balance'!K15:'Monthly Avg Balance'!M15)*Rate!E15/12)*'Monthly Avg Balance'!L15/SUM('Monthly Avg Balance'!K15:'Monthly Avg Balance'!M15))</x:f>
        <x:v>913.8990577969787</x:v>
      </x:c>
      <x:c r="M15" s="43" t="n">
        <x:f>IF(SUM('Monthly Avg Balance'!K15:'Monthly Avg Balance'!M15)=0,"",'Monthly Avg Balance'!M15*Rate!E15/12+('Net Interest Income'!E15-SUM('Monthly Avg Balance'!K15:'Monthly Avg Balance'!M15)*Rate!E15/12)*'Monthly Avg Balance'!M15/SUM('Monthly Avg Balance'!K15:'Monthly Avg Balance'!M15))</x:f>
        <x:v>921.2824982670222</x:v>
      </x:c>
      <x:c r="N15" s="43" t="n">
        <x:f>IF(SUM('Monthly Avg Balance'!N15:'Monthly Avg Balance'!P15)=0,"",'Monthly Avg Balance'!N15*Rate!F15/12+('Net Interest Income'!F15-SUM('Monthly Avg Balance'!N15:'Monthly Avg Balance'!P15)*Rate!F15/12)*'Monthly Avg Balance'!N15/SUM('Monthly Avg Balance'!N15:'Monthly Avg Balance'!P15))</x:f>
        <x:v>937.783818374505</x:v>
      </x:c>
      <x:c r="O15" s="43" t="n">
        <x:f>IF(SUM('Monthly Avg Balance'!N15:'Monthly Avg Balance'!P15)=0,"",'Monthly Avg Balance'!O15*Rate!F15/12+('Net Interest Income'!F15-SUM('Monthly Avg Balance'!N15:'Monthly Avg Balance'!P15)*Rate!F15/12)*'Monthly Avg Balance'!O15/SUM('Monthly Avg Balance'!N15:'Monthly Avg Balance'!P15))</x:f>
        <x:v>930.5972280510268</x:v>
      </x:c>
      <x:c r="P15" s="43" t="n">
        <x:f>IF(SUM('Monthly Avg Balance'!N15:'Monthly Avg Balance'!P15)=0,"",'Monthly Avg Balance'!P15*Rate!F15/12+('Net Interest Income'!F15-SUM('Monthly Avg Balance'!N15:'Monthly Avg Balance'!P15)*Rate!F15/12)*'Monthly Avg Balance'!P15/SUM('Monthly Avg Balance'!N15:'Monthly Avg Balance'!P15))</x:f>
        <x:v>943.6189535744679</x:v>
      </x:c>
      <x:c r="Q15" s="43" t="n">
        <x:f>IF(SUM('Monthly Avg Balance'!Q15:'Monthly Avg Balance'!S15)=0,"",'Monthly Avg Balance'!Q15*Rate!G15/12+('Net Interest Income'!G15-SUM('Monthly Avg Balance'!Q15:'Monthly Avg Balance'!S15)*Rate!G15/12)*'Monthly Avg Balance'!Q15/SUM('Monthly Avg Balance'!Q15:'Monthly Avg Balance'!S15))</x:f>
        <x:v>958.2265069516194</x:v>
      </x:c>
      <x:c r="R15" s="43" t="n">
        <x:f>IF(SUM('Monthly Avg Balance'!Q15:'Monthly Avg Balance'!S15)=0,"",'Monthly Avg Balance'!R15*Rate!G15/12+('Net Interest Income'!G15-SUM('Monthly Avg Balance'!Q15:'Monthly Avg Balance'!S15)*Rate!G15/12)*'Monthly Avg Balance'!R15/SUM('Monthly Avg Balance'!Q15:'Monthly Avg Balance'!S15))</x:f>
        <x:v>955.3959135146432</x:v>
      </x:c>
      <x:c r="S15" s="43" t="n">
        <x:f>IF(SUM('Monthly Avg Balance'!Q15:'Monthly Avg Balance'!S15)=0,"",'Monthly Avg Balance'!S15*Rate!G15/12+('Net Interest Income'!G15-SUM('Monthly Avg Balance'!Q15:'Monthly Avg Balance'!S15)*Rate!G15/12)*'Monthly Avg Balance'!S15/SUM('Monthly Avg Balance'!Q15:'Monthly Avg Balance'!S15))</x:f>
        <x:v>960.3775795337372</x:v>
      </x:c>
      <x:c r="T15" s="43" t="n">
        <x:f>IF(SUM('Monthly Avg Balance'!T15:'Monthly Avg Balance'!V15)=0,"",'Monthly Avg Balance'!T15*Rate!H15/12+('Net Interest Income'!H15-SUM('Monthly Avg Balance'!T15:'Monthly Avg Balance'!V15)*Rate!H15/12)*'Monthly Avg Balance'!T15/SUM('Monthly Avg Balance'!T15:'Monthly Avg Balance'!V15))</x:f>
        <x:v>980.1722415314139</x:v>
      </x:c>
      <x:c r="U15" s="43" t="n">
        <x:f>IF(SUM('Monthly Avg Balance'!T15:'Monthly Avg Balance'!V15)=0,"",'Monthly Avg Balance'!U15*Rate!H15/12+('Net Interest Income'!H15-SUM('Monthly Avg Balance'!T15:'Monthly Avg Balance'!V15)*Rate!H15/12)*'Monthly Avg Balance'!U15/SUM('Monthly Avg Balance'!T15:'Monthly Avg Balance'!V15))</x:f>
        <x:v>978.9686234495075</x:v>
      </x:c>
      <x:c r="V15" s="43" t="n">
        <x:f>IF(SUM('Monthly Avg Balance'!T15:'Monthly Avg Balance'!V15)=0,"",'Monthly Avg Balance'!V15*Rate!H15/12+('Net Interest Income'!H15-SUM('Monthly Avg Balance'!T15:'Monthly Avg Balance'!V15)*Rate!H15/12)*'Monthly Avg Balance'!V15/SUM('Monthly Avg Balance'!T15:'Monthly Avg Balance'!V15))</x:f>
        <x:v>985.8591350190788</x:v>
      </x:c>
      <x:c r="W15" s="43" t="n">
        <x:f>IF(SUM('Monthly Avg Balance'!W15:'Monthly Avg Balance'!Y15)=0,"",'Monthly Avg Balance'!W15*Rate!I15/12+('Net Interest Income'!I15-SUM('Monthly Avg Balance'!W15:'Monthly Avg Balance'!Y15)*Rate!I15/12)*'Monthly Avg Balance'!W15/SUM('Monthly Avg Balance'!W15:'Monthly Avg Balance'!Y15))</x:f>
        <x:v>945.3353911926971</x:v>
      </x:c>
      <x:c r="X15" s="43" t="n">
        <x:f>IF(SUM('Monthly Avg Balance'!W15:'Monthly Avg Balance'!Y15)=0,"",'Monthly Avg Balance'!X15*Rate!I15/12+('Net Interest Income'!I15-SUM('Monthly Avg Balance'!W15:'Monthly Avg Balance'!Y15)*Rate!I15/12)*'Monthly Avg Balance'!X15/SUM('Monthly Avg Balance'!W15:'Monthly Avg Balance'!Y15))</x:f>
        <x:v>953.426388125012</x:v>
      </x:c>
      <x:c r="Y15" s="43" t="n">
        <x:f>IF(SUM('Monthly Avg Balance'!W15:'Monthly Avg Balance'!Y15)=0,"",'Monthly Avg Balance'!Y15*Rate!I15/12+('Net Interest Income'!I15-SUM('Monthly Avg Balance'!W15:'Monthly Avg Balance'!Y15)*Rate!I15/12)*'Monthly Avg Balance'!Y15/SUM('Monthly Avg Balance'!W15:'Monthly Avg Balance'!Y15))</x:f>
        <x:v>963.2382206822908</x:v>
      </x:c>
      <x:c r="Z15" s="43" t="n">
        <x:f>IF(SUM('Monthly Avg Balance'!Z15:'Monthly Avg Balance'!AB15)=0,"",'Monthly Avg Balance'!Z15*Rate!J15/12+('Net Interest Income'!J15-SUM('Monthly Avg Balance'!Z15:'Monthly Avg Balance'!AB15)*Rate!J15/12)*'Monthly Avg Balance'!Z15/SUM('Monthly Avg Balance'!Z15:'Monthly Avg Balance'!AB15))</x:f>
        <x:v>901.9214723102396</x:v>
      </x:c>
      <x:c r="AA15" s="43" t="n">
        <x:f>IF(SUM('Monthly Avg Balance'!Z15:'Monthly Avg Balance'!AB15)=0,"",'Monthly Avg Balance'!AA15*Rate!J15/12+('Net Interest Income'!J15-SUM('Monthly Avg Balance'!Z15:'Monthly Avg Balance'!AB15)*Rate!J15/12)*'Monthly Avg Balance'!AA15/SUM('Monthly Avg Balance'!Z15:'Monthly Avg Balance'!AB15))</x:f>
        <x:v>903.3295780948868</x:v>
      </x:c>
      <x:c r="AB15" s="43" t="n">
        <x:f>IF(SUM('Monthly Avg Balance'!Z15:'Monthly Avg Balance'!AB15)=0,"",'Monthly Avg Balance'!AB15*Rate!J15/12+('Net Interest Income'!J15-SUM('Monthly Avg Balance'!Z15:'Monthly Avg Balance'!AB15)*Rate!J15/12)*'Monthly Avg Balance'!AB15/SUM('Monthly Avg Balance'!Z15:'Monthly Avg Balance'!AB15))</x:f>
        <x:v>909.7489495948736</x:v>
      </x:c>
      <x:c r="AC15" s="43" t="n">
        <x:f>IF(SUM('Monthly Avg Balance'!AC15:'Monthly Avg Balance'!AE15)=0,"",'Monthly Avg Balance'!AC15*Rate!K15/12+('Net Interest Income'!K15-SUM('Monthly Avg Balance'!AC15:'Monthly Avg Balance'!AE15)*Rate!K15/12)*'Monthly Avg Balance'!AC15/SUM('Monthly Avg Balance'!AC15:'Monthly Avg Balance'!AE15))</x:f>
        <x:v>953.9512858189652</x:v>
      </x:c>
      <x:c r="AD15" s="43" t="n">
        <x:f>IF(SUM('Monthly Avg Balance'!AC15:'Monthly Avg Balance'!AE15)=0,"",'Monthly Avg Balance'!AD15*Rate!K15/12+('Net Interest Income'!K15-SUM('Monthly Avg Balance'!AC15:'Monthly Avg Balance'!AE15)*Rate!K15/12)*'Monthly Avg Balance'!AD15/SUM('Monthly Avg Balance'!AC15:'Monthly Avg Balance'!AE15))</x:f>
        <x:v>1033.7876184681922</x:v>
      </x:c>
      <x:c r="AE15" s="43" t="n">
        <x:f>IF(SUM('Monthly Avg Balance'!AC15:'Monthly Avg Balance'!AE15)=0,"",'Monthly Avg Balance'!AE15*Rate!K15/12+('Net Interest Income'!K15-SUM('Monthly Avg Balance'!AC15:'Monthly Avg Balance'!AE15)*Rate!K15/12)*'Monthly Avg Balance'!AE15/SUM('Monthly Avg Balance'!AC15:'Monthly Avg Balance'!AE15))</x:f>
        <x:v>1132.261095712843</x:v>
      </x:c>
      <x:c r="AF15" s="43" t="n">
        <x:f>IF(SUM('Monthly Avg Balance'!AF15:'Monthly Avg Balance'!AH15)=0,"",'Monthly Avg Balance'!AF15*Rate!L15/12+('Net Interest Income'!L15-SUM('Monthly Avg Balance'!AF15:'Monthly Avg Balance'!AH15)*Rate!L15/12)*'Monthly Avg Balance'!AF15/SUM('Monthly Avg Balance'!AF15:'Monthly Avg Balance'!AH15))</x:f>
        <x:v>1199.228892433684</x:v>
      </x:c>
      <x:c r="AG15" s="43" t="n">
        <x:f>IF(SUM('Monthly Avg Balance'!AF15:'Monthly Avg Balance'!AH15)=0,"",'Monthly Avg Balance'!AG15*Rate!L15/12+('Net Interest Income'!L15-SUM('Monthly Avg Balance'!AF15:'Monthly Avg Balance'!AH15)*Rate!L15/12)*'Monthly Avg Balance'!AG15/SUM('Monthly Avg Balance'!AF15:'Monthly Avg Balance'!AH15))</x:f>
        <x:v>1196.8949176973708</x:v>
      </x:c>
      <x:c r="AH15" s="43" t="n">
        <x:f>IF(SUM('Monthly Avg Balance'!AF15:'Monthly Avg Balance'!AH15)=0,"",'Monthly Avg Balance'!AH15*Rate!L15/12+('Net Interest Income'!L15-SUM('Monthly Avg Balance'!AF15:'Monthly Avg Balance'!AH15)*Rate!L15/12)*'Monthly Avg Balance'!AH15/SUM('Monthly Avg Balance'!AF15:'Monthly Avg Balance'!AH15))</x:f>
        <x:v>1200.876189868945</x:v>
      </x:c>
      <x:c r="AI15" s="43" t="n">
        <x:f>IF(SUM('Monthly Avg Balance'!AI15:'Monthly Avg Balance'!AK15)=0,"",'Monthly Avg Balance'!AI15*Rate!M15/12+('Net Interest Income'!M15-SUM('Monthly Avg Balance'!AI15:'Monthly Avg Balance'!AK15)*Rate!M15/12)*'Monthly Avg Balance'!AI15/SUM('Monthly Avg Balance'!AI15:'Monthly Avg Balance'!AK15))</x:f>
        <x:v>1159.334407305925</x:v>
      </x:c>
      <x:c r="AJ15" s="43" t="n">
        <x:f>IF(SUM('Monthly Avg Balance'!AI15:'Monthly Avg Balance'!AK15)=0,"",'Monthly Avg Balance'!AJ15*Rate!M15/12+('Net Interest Income'!M15-SUM('Monthly Avg Balance'!AI15:'Monthly Avg Balance'!AK15)*Rate!M15/12)*'Monthly Avg Balance'!AJ15/SUM('Monthly Avg Balance'!AI15:'Monthly Avg Balance'!AK15))</x:f>
        <x:v>1161.6190795660839</x:v>
      </x:c>
      <x:c r="AK15" s="43" t="n">
        <x:f>IF(SUM('Monthly Avg Balance'!AI15:'Monthly Avg Balance'!AK15)=0,"",'Monthly Avg Balance'!AK15*Rate!M15/12+('Net Interest Income'!M15-SUM('Monthly Avg Balance'!AI15:'Monthly Avg Balance'!AK15)*Rate!M15/12)*'Monthly Avg Balance'!AK15/SUM('Monthly Avg Balance'!AI15:'Monthly Avg Balance'!AK15))</x:f>
        <x:v>1172.046513127991</x:v>
      </x:c>
      <x:c r="AL15" s="43" t="n">
        <x:f>IF(SUM('Monthly Avg Balance'!AL15:'Monthly Avg Balance'!AN15)=0,"",'Monthly Avg Balance'!AL15*Rate!N15/12+('Net Interest Income'!N15-SUM('Monthly Avg Balance'!AL15:'Monthly Avg Balance'!AN15)*Rate!N15/12)*'Monthly Avg Balance'!AL15/SUM('Monthly Avg Balance'!AL15:'Monthly Avg Balance'!AN15))</x:f>
        <x:v>1120.7090360375043</x:v>
      </x:c>
      <x:c r="AM15" s="43" t="n">
        <x:f>IF(SUM('Monthly Avg Balance'!AL15:'Monthly Avg Balance'!AN15)=0,"",'Monthly Avg Balance'!AM15*Rate!N15/12+('Net Interest Income'!N15-SUM('Monthly Avg Balance'!AL15:'Monthly Avg Balance'!AN15)*Rate!N15/12)*'Monthly Avg Balance'!AM15/SUM('Monthly Avg Balance'!AL15:'Monthly Avg Balance'!AN15))</x:f>
        <x:v>1124.3365674446345</x:v>
      </x:c>
      <x:c r="AN15" s="43" t="n">
        <x:f>IF(SUM('Monthly Avg Balance'!AL15:'Monthly Avg Balance'!AN15)=0,"",'Monthly Avg Balance'!AN15*Rate!N15/12+('Net Interest Income'!N15-SUM('Monthly Avg Balance'!AL15:'Monthly Avg Balance'!AN15)*Rate!N15/12)*'Monthly Avg Balance'!AN15/SUM('Monthly Avg Balance'!AL15:'Monthly Avg Balance'!AN15))</x:f>
        <x:v>1141.9543965178614</x:v>
      </x:c>
      <x:c r="AO15" s="43" t="n">
        <x:f>IF(SUM('Monthly Avg Balance'!AO15:'Monthly Avg Balance'!AQ15)=0,"",'Monthly Avg Balance'!AO15*Rate!O15/12+('Net Interest Income'!O15-SUM('Monthly Avg Balance'!AO15:'Monthly Avg Balance'!AQ15)*Rate!O15/12)*'Monthly Avg Balance'!AO15/SUM('Monthly Avg Balance'!AO15:'Monthly Avg Balance'!AQ15))</x:f>
        <x:v>1116.9703919148567</x:v>
      </x:c>
      <x:c r="AP15" s="43" t="n">
        <x:f>IF(SUM('Monthly Avg Balance'!AO15:'Monthly Avg Balance'!AQ15)=0,"",'Monthly Avg Balance'!AP15*Rate!O15/12+('Net Interest Income'!O15-SUM('Monthly Avg Balance'!AO15:'Monthly Avg Balance'!AQ15)*Rate!O15/12)*'Monthly Avg Balance'!AP15/SUM('Monthly Avg Balance'!AO15:'Monthly Avg Balance'!AQ15))</x:f>
        <x:v>1111.5967088134894</x:v>
      </x:c>
      <x:c r="AQ15" s="43" t="n">
        <x:f>IF(SUM('Monthly Avg Balance'!AO15:'Monthly Avg Balance'!AQ15)=0,"",'Monthly Avg Balance'!AQ15*Rate!O15/12+('Net Interest Income'!O15-SUM('Monthly Avg Balance'!AO15:'Monthly Avg Balance'!AQ15)*Rate!O15/12)*'Monthly Avg Balance'!AQ15/SUM('Monthly Avg Balance'!AO15:'Monthly Avg Balance'!AQ15))</x:f>
        <x:v>1109.4328992716544</x:v>
      </x:c>
    </x:row>
    <x:row r="16">
      <x:c r="A16" s="20" t="str">
        <x:v>  Securitized debt obligations</x:v>
      </x:c>
      <x:c r="B16" s="43" t="n">
        <x:f>IF(SUM('Monthly Avg Balance'!B16:'Monthly Avg Balance'!D16)=0,"",'Monthly Avg Balance'!B16*Rate!B16/12+('Net Interest Income'!B16-SUM('Monthly Avg Balance'!B16:'Monthly Avg Balance'!D16)*Rate!B16/12)*'Monthly Avg Balance'!B16/SUM('Monthly Avg Balance'!B16:'Monthly Avg Balance'!D16))</x:f>
        <x:v>70.33333333333333</x:v>
      </x:c>
      <x:c r="C16" s="43" t="n">
        <x:f>IF(SUM('Monthly Avg Balance'!B16:'Monthly Avg Balance'!D16)=0,"",'Monthly Avg Balance'!C16*Rate!B16/12+('Net Interest Income'!B16-SUM('Monthly Avg Balance'!B16:'Monthly Avg Balance'!D16)*Rate!B16/12)*'Monthly Avg Balance'!C16/SUM('Monthly Avg Balance'!B16:'Monthly Avg Balance'!D16))</x:f>
        <x:v>70.33333333333333</x:v>
      </x:c>
      <x:c r="D16" s="43" t="n">
        <x:f>IF(SUM('Monthly Avg Balance'!B16:'Monthly Avg Balance'!D16)=0,"",'Monthly Avg Balance'!D16*Rate!B16/12+('Net Interest Income'!B16-SUM('Monthly Avg Balance'!B16:'Monthly Avg Balance'!D16)*Rate!B16/12)*'Monthly Avg Balance'!D16/SUM('Monthly Avg Balance'!B16:'Monthly Avg Balance'!D16))</x:f>
        <x:v>70.33333333333333</x:v>
      </x:c>
      <x:c r="E16" s="43" t="n">
        <x:f>IF(SUM('Monthly Avg Balance'!E16:'Monthly Avg Balance'!G16)=0,"",'Monthly Avg Balance'!E16*Rate!C16/12+('Net Interest Income'!C16-SUM('Monthly Avg Balance'!E16:'Monthly Avg Balance'!G16)*Rate!C16/12)*'Monthly Avg Balance'!E16/SUM('Monthly Avg Balance'!E16:'Monthly Avg Balance'!G16))</x:f>
        <x:v>77.13208160611234</x:v>
      </x:c>
      <x:c r="F16" s="43" t="n">
        <x:f>IF(SUM('Monthly Avg Balance'!E16:'Monthly Avg Balance'!G16)=0,"",'Monthly Avg Balance'!F16*Rate!C16/12+('Net Interest Income'!C16-SUM('Monthly Avg Balance'!E16:'Monthly Avg Balance'!G16)*Rate!C16/12)*'Monthly Avg Balance'!F16/SUM('Monthly Avg Balance'!E16:'Monthly Avg Balance'!G16))</x:f>
        <x:v>78.66666666666667</x:v>
      </x:c>
      <x:c r="G16" s="43" t="n">
        <x:f>IF(SUM('Monthly Avg Balance'!E16:'Monthly Avg Balance'!G16)=0,"",'Monthly Avg Balance'!G16*Rate!C16/12+('Net Interest Income'!C16-SUM('Monthly Avg Balance'!E16:'Monthly Avg Balance'!G16)*Rate!C16/12)*'Monthly Avg Balance'!G16/SUM('Monthly Avg Balance'!E16:'Monthly Avg Balance'!G16))</x:f>
        <x:v>80.20125172722099</x:v>
      </x:c>
      <x:c r="H16" s="43" t="n">
        <x:f>IF(SUM('Monthly Avg Balance'!H16:'Monthly Avg Balance'!J16)=0,"",'Monthly Avg Balance'!H16*Rate!D16/12+('Net Interest Income'!D16-SUM('Monthly Avg Balance'!H16:'Monthly Avg Balance'!J16)*Rate!D16/12)*'Monthly Avg Balance'!H16/SUM('Monthly Avg Balance'!H16:'Monthly Avg Balance'!J16))</x:f>
        <x:v>85.01280525808828</x:v>
      </x:c>
      <x:c r="I16" s="43" t="n">
        <x:f>IF(SUM('Monthly Avg Balance'!H16:'Monthly Avg Balance'!J16)=0,"",'Monthly Avg Balance'!I16*Rate!D16/12+('Net Interest Income'!D16-SUM('Monthly Avg Balance'!H16:'Monthly Avg Balance'!J16)*Rate!D16/12)*'Monthly Avg Balance'!I16/SUM('Monthly Avg Balance'!H16:'Monthly Avg Balance'!J16))</x:f>
        <x:v>83</x:v>
      </x:c>
      <x:c r="J16" s="43" t="n">
        <x:f>IF(SUM('Monthly Avg Balance'!H16:'Monthly Avg Balance'!J16)=0,"",'Monthly Avg Balance'!J16*Rate!D16/12+('Net Interest Income'!D16-SUM('Monthly Avg Balance'!H16:'Monthly Avg Balance'!J16)*Rate!D16/12)*'Monthly Avg Balance'!J16/SUM('Monthly Avg Balance'!H16:'Monthly Avg Balance'!J16))</x:f>
        <x:v>80.98719474191172</x:v>
      </x:c>
      <x:c r="K16" s="43" t="n">
        <x:f>IF(SUM('Monthly Avg Balance'!K16:'Monthly Avg Balance'!M16)=0,"",'Monthly Avg Balance'!K16*Rate!E16/12+('Net Interest Income'!E16-SUM('Monthly Avg Balance'!K16:'Monthly Avg Balance'!M16)*Rate!E16/12)*'Monthly Avg Balance'!K16/SUM('Monthly Avg Balance'!K16:'Monthly Avg Balance'!M16))</x:f>
        <x:v>85.59558689611573</x:v>
      </x:c>
      <x:c r="L16" s="43" t="n">
        <x:f>IF(SUM('Monthly Avg Balance'!K16:'Monthly Avg Balance'!M16)=0,"",'Monthly Avg Balance'!L16*Rate!E16/12+('Net Interest Income'!E16-SUM('Monthly Avg Balance'!K16:'Monthly Avg Balance'!M16)*Rate!E16/12)*'Monthly Avg Balance'!L16/SUM('Monthly Avg Balance'!K16:'Monthly Avg Balance'!M16))</x:f>
        <x:v>90.04263126980346</x:v>
      </x:c>
      <x:c r="M16" s="43" t="n">
        <x:f>IF(SUM('Monthly Avg Balance'!K16:'Monthly Avg Balance'!M16)=0,"",'Monthly Avg Balance'!M16*Rate!E16/12+('Net Interest Income'!E16-SUM('Monthly Avg Balance'!K16:'Monthly Avg Balance'!M16)*Rate!E16/12)*'Monthly Avg Balance'!M16/SUM('Monthly Avg Balance'!K16:'Monthly Avg Balance'!M16))</x:f>
        <x:v>87.36178183408079</x:v>
      </x:c>
      <x:c r="N16" s="43" t="n">
        <x:f>IF(SUM('Monthly Avg Balance'!N16:'Monthly Avg Balance'!P16)=0,"",'Monthly Avg Balance'!N16*Rate!F16/12+('Net Interest Income'!F16-SUM('Monthly Avg Balance'!N16:'Monthly Avg Balance'!P16)*Rate!F16/12)*'Monthly Avg Balance'!N16/SUM('Monthly Avg Balance'!N16:'Monthly Avg Balance'!P16))</x:f>
        <x:v>86.40063756826255</x:v>
      </x:c>
      <x:c r="O16" s="43" t="n">
        <x:f>IF(SUM('Monthly Avg Balance'!N16:'Monthly Avg Balance'!P16)=0,"",'Monthly Avg Balance'!O16*Rate!F16/12+('Net Interest Income'!F16-SUM('Monthly Avg Balance'!N16:'Monthly Avg Balance'!P16)*Rate!F16/12)*'Monthly Avg Balance'!O16/SUM('Monthly Avg Balance'!N16:'Monthly Avg Balance'!P16))</x:f>
        <x:v>87.59514593081198</x:v>
      </x:c>
      <x:c r="P16" s="43" t="n">
        <x:f>IF(SUM('Monthly Avg Balance'!N16:'Monthly Avg Balance'!P16)=0,"",'Monthly Avg Balance'!P16*Rate!F16/12+('Net Interest Income'!F16-SUM('Monthly Avg Balance'!N16:'Monthly Avg Balance'!P16)*Rate!F16/12)*'Monthly Avg Balance'!P16/SUM('Monthly Avg Balance'!N16:'Monthly Avg Balance'!P16))</x:f>
        <x:v>87.00421650092547</x:v>
      </x:c>
      <x:c r="Q16" s="43" t="n">
        <x:f>IF(SUM('Monthly Avg Balance'!Q16:'Monthly Avg Balance'!S16)=0,"",'Monthly Avg Balance'!Q16*Rate!G16/12+('Net Interest Income'!G16-SUM('Monthly Avg Balance'!Q16:'Monthly Avg Balance'!S16)*Rate!G16/12)*'Monthly Avg Balance'!Q16/SUM('Monthly Avg Balance'!Q16:'Monthly Avg Balance'!S16))</x:f>
        <x:v>87.07361346629934</x:v>
      </x:c>
      <x:c r="R16" s="43" t="n">
        <x:f>IF(SUM('Monthly Avg Balance'!Q16:'Monthly Avg Balance'!S16)=0,"",'Monthly Avg Balance'!R16*Rate!G16/12+('Net Interest Income'!G16-SUM('Monthly Avg Balance'!Q16:'Monthly Avg Balance'!S16)*Rate!G16/12)*'Monthly Avg Balance'!R16/SUM('Monthly Avg Balance'!Q16:'Monthly Avg Balance'!S16))</x:f>
        <x:v>86.22143945656968</x:v>
      </x:c>
      <x:c r="S16" s="43" t="n">
        <x:f>IF(SUM('Monthly Avg Balance'!Q16:'Monthly Avg Balance'!S16)=0,"",'Monthly Avg Balance'!S16*Rate!G16/12+('Net Interest Income'!G16-SUM('Monthly Avg Balance'!Q16:'Monthly Avg Balance'!S16)*Rate!G16/12)*'Monthly Avg Balance'!S16/SUM('Monthly Avg Balance'!Q16:'Monthly Avg Balance'!S16))</x:f>
        <x:v>84.70494707713102</x:v>
      </x:c>
      <x:c r="T16" s="43" t="n">
        <x:f>IF(SUM('Monthly Avg Balance'!T16:'Monthly Avg Balance'!V16)=0,"",'Monthly Avg Balance'!T16*Rate!H16/12+('Net Interest Income'!H16-SUM('Monthly Avg Balance'!T16:'Monthly Avg Balance'!V16)*Rate!H16/12)*'Monthly Avg Balance'!T16/SUM('Monthly Avg Balance'!T16:'Monthly Avg Balance'!V16))</x:f>
        <x:v>80.71975151262247</x:v>
      </x:c>
      <x:c r="U16" s="43" t="n">
        <x:f>IF(SUM('Monthly Avg Balance'!T16:'Monthly Avg Balance'!V16)=0,"",'Monthly Avg Balance'!U16*Rate!H16/12+('Net Interest Income'!H16-SUM('Monthly Avg Balance'!T16:'Monthly Avg Balance'!V16)*Rate!H16/12)*'Monthly Avg Balance'!U16/SUM('Monthly Avg Balance'!T16:'Monthly Avg Balance'!V16))</x:f>
        <x:v>75.49374961305664</x:v>
      </x:c>
      <x:c r="V16" s="43" t="n">
        <x:f>IF(SUM('Monthly Avg Balance'!T16:'Monthly Avg Balance'!V16)=0,"",'Monthly Avg Balance'!V16*Rate!H16/12+('Net Interest Income'!H16-SUM('Monthly Avg Balance'!T16:'Monthly Avg Balance'!V16)*Rate!H16/12)*'Monthly Avg Balance'!V16/SUM('Monthly Avg Balance'!T16:'Monthly Avg Balance'!V16))</x:f>
        <x:v>77.78649887432086</x:v>
      </x:c>
      <x:c r="W16" s="43" t="n">
        <x:f>IF(SUM('Monthly Avg Balance'!W16:'Monthly Avg Balance'!Y16)=0,"",'Monthly Avg Balance'!W16*Rate!I16/12+('Net Interest Income'!I16-SUM('Monthly Avg Balance'!W16:'Monthly Avg Balance'!Y16)*Rate!I16/12)*'Monthly Avg Balance'!W16/SUM('Monthly Avg Balance'!W16:'Monthly Avg Balance'!Y16))</x:f>
        <x:v>71.37272710961443</x:v>
      </x:c>
      <x:c r="X16" s="43" t="n">
        <x:f>IF(SUM('Monthly Avg Balance'!W16:'Monthly Avg Balance'!Y16)=0,"",'Monthly Avg Balance'!X16*Rate!I16/12+('Net Interest Income'!I16-SUM('Monthly Avg Balance'!W16:'Monthly Avg Balance'!Y16)*Rate!I16/12)*'Monthly Avg Balance'!X16/SUM('Monthly Avg Balance'!W16:'Monthly Avg Balance'!Y16))</x:f>
        <x:v>66.85330915037068</x:v>
      </x:c>
      <x:c r="Y16" s="43" t="n">
        <x:f>IF(SUM('Monthly Avg Balance'!W16:'Monthly Avg Balance'!Y16)=0,"",'Monthly Avg Balance'!Y16*Rate!I16/12+('Net Interest Income'!I16-SUM('Monthly Avg Balance'!W16:'Monthly Avg Balance'!Y16)*Rate!I16/12)*'Monthly Avg Balance'!Y16/SUM('Monthly Avg Balance'!W16:'Monthly Avg Balance'!Y16))</x:f>
        <x:v>66.77396374001484</x:v>
      </x:c>
      <x:c r="Z16" s="43" t="n">
        <x:f>IF(SUM('Monthly Avg Balance'!Z16:'Monthly Avg Balance'!AB16)=0,"",'Monthly Avg Balance'!Z16*Rate!J16/12+('Net Interest Income'!J16-SUM('Monthly Avg Balance'!Z16:'Monthly Avg Balance'!AB16)*Rate!J16/12)*'Monthly Avg Balance'!Z16/SUM('Monthly Avg Balance'!Z16:'Monthly Avg Balance'!AB16))</x:f>
        <x:v>61.27568748544838</x:v>
      </x:c>
      <x:c r="AA16" s="43" t="n">
        <x:f>IF(SUM('Monthly Avg Balance'!Z16:'Monthly Avg Balance'!AB16)=0,"",'Monthly Avg Balance'!AA16*Rate!J16/12+('Net Interest Income'!J16-SUM('Monthly Avg Balance'!Z16:'Monthly Avg Balance'!AB16)*Rate!J16/12)*'Monthly Avg Balance'!AA16/SUM('Monthly Avg Balance'!Z16:'Monthly Avg Balance'!AB16))</x:f>
        <x:v>58.62158373503422</x:v>
      </x:c>
      <x:c r="AB16" s="43" t="n">
        <x:f>IF(SUM('Monthly Avg Balance'!Z16:'Monthly Avg Balance'!AB16)=0,"",'Monthly Avg Balance'!AB16*Rate!J16/12+('Net Interest Income'!J16-SUM('Monthly Avg Balance'!Z16:'Monthly Avg Balance'!AB16)*Rate!J16/12)*'Monthly Avg Balance'!AB16/SUM('Monthly Avg Balance'!Z16:'Monthly Avg Balance'!AB16))</x:f>
        <x:v>56.10272877951738</x:v>
      </x:c>
      <x:c r="AC16" s="43" t="n">
        <x:f>IF(SUM('Monthly Avg Balance'!AC16:'Monthly Avg Balance'!AE16)=0,"",'Monthly Avg Balance'!AC16*Rate!K16/12+('Net Interest Income'!K16-SUM('Monthly Avg Balance'!AC16:'Monthly Avg Balance'!AE16)*Rate!K16/12)*'Monthly Avg Balance'!AC16/SUM('Monthly Avg Balance'!AC16:'Monthly Avg Balance'!AE16))</x:f>
        <x:v>53.015294837759974</x:v>
      </x:c>
      <x:c r="AD16" s="43" t="n">
        <x:f>IF(SUM('Monthly Avg Balance'!AC16:'Monthly Avg Balance'!AE16)=0,"",'Monthly Avg Balance'!AD16*Rate!K16/12+('Net Interest Income'!K16-SUM('Monthly Avg Balance'!AC16:'Monthly Avg Balance'!AE16)*Rate!K16/12)*'Monthly Avg Balance'!AD16/SUM('Monthly Avg Balance'!AC16:'Monthly Avg Balance'!AE16))</x:f>
        <x:v>52.52560191902514</x:v>
      </x:c>
      <x:c r="AE16" s="43" t="n">
        <x:f>IF(SUM('Monthly Avg Balance'!AC16:'Monthly Avg Balance'!AE16)=0,"",'Monthly Avg Balance'!AE16*Rate!K16/12+('Net Interest Income'!K16-SUM('Monthly Avg Balance'!AC16:'Monthly Avg Balance'!AE16)*Rate!K16/12)*'Monthly Avg Balance'!AE16/SUM('Monthly Avg Balance'!AC16:'Monthly Avg Balance'!AE16))</x:f>
        <x:v>58.459103243214905</x:v>
      </x:c>
      <x:c r="AF16" s="43" t="n">
        <x:f>IF(SUM('Monthly Avg Balance'!AF16:'Monthly Avg Balance'!AH16)=0,"",'Monthly Avg Balance'!AF16*Rate!L16/12+('Net Interest Income'!L16-SUM('Monthly Avg Balance'!AF16:'Monthly Avg Balance'!AH16)*Rate!L16/12)*'Monthly Avg Balance'!AF16/SUM('Monthly Avg Balance'!AF16:'Monthly Avg Balance'!AH16))</x:f>
        <x:v>58.693557414961234</x:v>
      </x:c>
      <x:c r="AG16" s="43" t="n">
        <x:f>IF(SUM('Monthly Avg Balance'!AF16:'Monthly Avg Balance'!AH16)=0,"",'Monthly Avg Balance'!AG16*Rate!L16/12+('Net Interest Income'!L16-SUM('Monthly Avg Balance'!AF16:'Monthly Avg Balance'!AH16)*Rate!L16/12)*'Monthly Avg Balance'!AG16/SUM('Monthly Avg Balance'!AF16:'Monthly Avg Balance'!AH16))</x:f>
        <x:v>51.68015108759117</x:v>
      </x:c>
      <x:c r="AH16" s="43" t="n">
        <x:f>IF(SUM('Monthly Avg Balance'!AF16:'Monthly Avg Balance'!AH16)=0,"",'Monthly Avg Balance'!AH16*Rate!L16/12+('Net Interest Income'!L16-SUM('Monthly Avg Balance'!AF16:'Monthly Avg Balance'!AH16)*Rate!L16/12)*'Monthly Avg Balance'!AH16/SUM('Monthly Avg Balance'!AF16:'Monthly Avg Balance'!AH16))</x:f>
        <x:v>54.62629149744757</x:v>
      </x:c>
      <x:c r="AI16" s="43" t="n">
        <x:f>IF(SUM('Monthly Avg Balance'!AI16:'Monthly Avg Balance'!AK16)=0,"",'Monthly Avg Balance'!AI16*Rate!M16/12+('Net Interest Income'!M16-SUM('Monthly Avg Balance'!AI16:'Monthly Avg Balance'!AK16)*Rate!M16/12)*'Monthly Avg Balance'!AI16/SUM('Monthly Avg Balance'!AI16:'Monthly Avg Balance'!AK16))</x:f>
        <x:v>52.965053845129816</x:v>
      </x:c>
      <x:c r="AJ16" s="43" t="n">
        <x:f>IF(SUM('Monthly Avg Balance'!AI16:'Monthly Avg Balance'!AK16)=0,"",'Monthly Avg Balance'!AJ16*Rate!M16/12+('Net Interest Income'!M16-SUM('Monthly Avg Balance'!AI16:'Monthly Avg Balance'!AK16)*Rate!M16/12)*'Monthly Avg Balance'!AJ16/SUM('Monthly Avg Balance'!AI16:'Monthly Avg Balance'!AK16))</x:f>
        <x:v>50.46250485172086</x:v>
      </x:c>
      <x:c r="AK16" s="43" t="n">
        <x:f>IF(SUM('Monthly Avg Balance'!AI16:'Monthly Avg Balance'!AK16)=0,"",'Monthly Avg Balance'!AK16*Rate!M16/12+('Net Interest Income'!M16-SUM('Monthly Avg Balance'!AI16:'Monthly Avg Balance'!AK16)*Rate!M16/12)*'Monthly Avg Balance'!AK16/SUM('Monthly Avg Balance'!AI16:'Monthly Avg Balance'!AK16))</x:f>
        <x:v>51.572441303149354</x:v>
      </x:c>
      <x:c r="AL16" s="43" t="n">
        <x:f>IF(SUM('Monthly Avg Balance'!AL16:'Monthly Avg Balance'!AN16)=0,"",'Monthly Avg Balance'!AL16*Rate!N16/12+('Net Interest Income'!N16-SUM('Monthly Avg Balance'!AL16:'Monthly Avg Balance'!AN16)*Rate!N16/12)*'Monthly Avg Balance'!AL16/SUM('Monthly Avg Balance'!AL16:'Monthly Avg Balance'!AN16))</x:f>
        <x:v>47.722252857012535</x:v>
      </x:c>
      <x:c r="AM16" s="43" t="n">
        <x:f>IF(SUM('Monthly Avg Balance'!AL16:'Monthly Avg Balance'!AN16)=0,"",'Monthly Avg Balance'!AM16*Rate!N16/12+('Net Interest Income'!N16-SUM('Monthly Avg Balance'!AL16:'Monthly Avg Balance'!AN16)*Rate!N16/12)*'Monthly Avg Balance'!AM16/SUM('Monthly Avg Balance'!AL16:'Monthly Avg Balance'!AN16))</x:f>
        <x:v>46.54352531329107</x:v>
      </x:c>
      <x:c r="AN16" s="43" t="n">
        <x:f>IF(SUM('Monthly Avg Balance'!AL16:'Monthly Avg Balance'!AN16)=0,"",'Monthly Avg Balance'!AN16*Rate!N16/12+('Net Interest Income'!N16-SUM('Monthly Avg Balance'!AL16:'Monthly Avg Balance'!AN16)*Rate!N16/12)*'Monthly Avg Balance'!AN16/SUM('Monthly Avg Balance'!AL16:'Monthly Avg Balance'!AN16))</x:f>
        <x:v>46.7342218296964</x:v>
      </x:c>
      <x:c r="AO16" s="43" t="n">
        <x:f>IF(SUM('Monthly Avg Balance'!AO16:'Monthly Avg Balance'!AQ16)=0,"",'Monthly Avg Balance'!AO16*Rate!O16/12+('Net Interest Income'!O16-SUM('Monthly Avg Balance'!AO16:'Monthly Avg Balance'!AQ16)*Rate!O16/12)*'Monthly Avg Balance'!AO16/SUM('Monthly Avg Balance'!AO16:'Monthly Avg Balance'!AQ16))</x:f>
        <x:v>43.8866206483681</x:v>
      </x:c>
      <x:c r="AP16" s="43" t="n">
        <x:f>IF(SUM('Monthly Avg Balance'!AO16:'Monthly Avg Balance'!AQ16)=0,"",'Monthly Avg Balance'!AP16*Rate!O16/12+('Net Interest Income'!O16-SUM('Monthly Avg Balance'!AO16:'Monthly Avg Balance'!AQ16)*Rate!O16/12)*'Monthly Avg Balance'!AP16/SUM('Monthly Avg Balance'!AO16:'Monthly Avg Balance'!AQ16))</x:f>
        <x:v>36.86660587004033</x:v>
      </x:c>
      <x:c r="AQ16" s="43" t="n">
        <x:f>IF(SUM('Monthly Avg Balance'!AO16:'Monthly Avg Balance'!AQ16)=0,"",'Monthly Avg Balance'!AQ16*Rate!O16/12+('Net Interest Income'!O16-SUM('Monthly Avg Balance'!AO16:'Monthly Avg Balance'!AQ16)*Rate!O16/12)*'Monthly Avg Balance'!AQ16/SUM('Monthly Avg Balance'!AO16:'Monthly Avg Balance'!AQ16))</x:f>
        <x:v>36.24677348159157</x:v>
      </x:c>
    </x:row>
    <x:row r="17">
      <x:c r="A17" s="20" t="str">
        <x:v>  Senior and subordinated notes</x:v>
      </x:c>
      <x:c r="B17" s="43" t="n">
        <x:f>IF(SUM('Monthly Avg Balance'!B17:'Monthly Avg Balance'!D17)=0,"",'Monthly Avg Balance'!B17*Rate!B17/12+('Net Interest Income'!B17-SUM('Monthly Avg Balance'!B17:'Monthly Avg Balance'!D17)*Rate!B17/12)*'Monthly Avg Balance'!B17/SUM('Monthly Avg Balance'!B17:'Monthly Avg Balance'!D17))</x:f>
        <x:v>163</x:v>
      </x:c>
      <x:c r="C17" s="43" t="n">
        <x:f>IF(SUM('Monthly Avg Balance'!B17:'Monthly Avg Balance'!D17)=0,"",'Monthly Avg Balance'!C17*Rate!B17/12+('Net Interest Income'!B17-SUM('Monthly Avg Balance'!B17:'Monthly Avg Balance'!D17)*Rate!B17/12)*'Monthly Avg Balance'!C17/SUM('Monthly Avg Balance'!B17:'Monthly Avg Balance'!D17))</x:f>
        <x:v>163</x:v>
      </x:c>
      <x:c r="D17" s="43" t="n">
        <x:f>IF(SUM('Monthly Avg Balance'!B17:'Monthly Avg Balance'!D17)=0,"",'Monthly Avg Balance'!D17*Rate!B17/12+('Net Interest Income'!B17-SUM('Monthly Avg Balance'!B17:'Monthly Avg Balance'!D17)*Rate!B17/12)*'Monthly Avg Balance'!D17/SUM('Monthly Avg Balance'!B17:'Monthly Avg Balance'!D17))</x:f>
        <x:v>163</x:v>
      </x:c>
      <x:c r="E17" s="43" t="n">
        <x:f>IF(SUM('Monthly Avg Balance'!E17:'Monthly Avg Balance'!G17)=0,"",'Monthly Avg Balance'!E17*Rate!C17/12+('Net Interest Income'!C17-SUM('Monthly Avg Balance'!E17:'Monthly Avg Balance'!G17)*Rate!C17/12)*'Monthly Avg Balance'!E17/SUM('Monthly Avg Balance'!E17:'Monthly Avg Balance'!G17))</x:f>
        <x:v>175.9027441618868</x:v>
      </x:c>
      <x:c r="F17" s="43" t="n">
        <x:f>IF(SUM('Monthly Avg Balance'!E17:'Monthly Avg Balance'!G17)=0,"",'Monthly Avg Balance'!F17*Rate!C17/12+('Net Interest Income'!C17-SUM('Monthly Avg Balance'!E17:'Monthly Avg Balance'!G17)*Rate!C17/12)*'Monthly Avg Balance'!F17/SUM('Monthly Avg Balance'!E17:'Monthly Avg Balance'!G17))</x:f>
        <x:v>176</x:v>
      </x:c>
      <x:c r="G17" s="43" t="n">
        <x:f>IF(SUM('Monthly Avg Balance'!E17:'Monthly Avg Balance'!G17)=0,"",'Monthly Avg Balance'!G17*Rate!C17/12+('Net Interest Income'!C17-SUM('Monthly Avg Balance'!E17:'Monthly Avg Balance'!G17)*Rate!C17/12)*'Monthly Avg Balance'!G17/SUM('Monthly Avg Balance'!E17:'Monthly Avg Balance'!G17))</x:f>
        <x:v>176.09725583811323</x:v>
      </x:c>
      <x:c r="H17" s="43" t="n">
        <x:f>IF(SUM('Monthly Avg Balance'!H17:'Monthly Avg Balance'!J17)=0,"",'Monthly Avg Balance'!H17*Rate!D17/12+('Net Interest Income'!D17-SUM('Monthly Avg Balance'!H17:'Monthly Avg Balance'!J17)*Rate!D17/12)*'Monthly Avg Balance'!H17/SUM('Monthly Avg Balance'!H17:'Monthly Avg Balance'!J17))</x:f>
        <x:v>187.54670811919715</x:v>
      </x:c>
      <x:c r="I17" s="43" t="n">
        <x:f>IF(SUM('Monthly Avg Balance'!H17:'Monthly Avg Balance'!J17)=0,"",'Monthly Avg Balance'!I17*Rate!D17/12+('Net Interest Income'!D17-SUM('Monthly Avg Balance'!H17:'Monthly Avg Balance'!J17)*Rate!D17/12)*'Monthly Avg Balance'!I17/SUM('Monthly Avg Balance'!H17:'Monthly Avg Balance'!J17))</x:f>
        <x:v>193</x:v>
      </x:c>
      <x:c r="J17" s="43" t="n">
        <x:f>IF(SUM('Monthly Avg Balance'!H17:'Monthly Avg Balance'!J17)=0,"",'Monthly Avg Balance'!J17*Rate!D17/12+('Net Interest Income'!D17-SUM('Monthly Avg Balance'!H17:'Monthly Avg Balance'!J17)*Rate!D17/12)*'Monthly Avg Balance'!J17/SUM('Monthly Avg Balance'!H17:'Monthly Avg Balance'!J17))</x:f>
        <x:v>198.4532918808028</x:v>
      </x:c>
      <x:c r="K17" s="43" t="n">
        <x:f>IF(SUM('Monthly Avg Balance'!K17:'Monthly Avg Balance'!M17)=0,"",'Monthly Avg Balance'!K17*Rate!E17/12+('Net Interest Income'!E17-SUM('Monthly Avg Balance'!K17:'Monthly Avg Balance'!M17)*Rate!E17/12)*'Monthly Avg Balance'!K17/SUM('Monthly Avg Balance'!K17:'Monthly Avg Balance'!M17))</x:f>
        <x:v>204.32887518442556</x:v>
      </x:c>
      <x:c r="L17" s="43" t="n">
        <x:f>IF(SUM('Monthly Avg Balance'!K17:'Monthly Avg Balance'!M17)=0,"",'Monthly Avg Balance'!L17*Rate!E17/12+('Net Interest Income'!E17-SUM('Monthly Avg Balance'!K17:'Monthly Avg Balance'!M17)*Rate!E17/12)*'Monthly Avg Balance'!L17/SUM('Monthly Avg Balance'!K17:'Monthly Avg Balance'!M17))</x:f>
        <x:v>203.88392384122102</x:v>
      </x:c>
      <x:c r="M17" s="43" t="n">
        <x:f>IF(SUM('Monthly Avg Balance'!K17:'Monthly Avg Balance'!M17)=0,"",'Monthly Avg Balance'!M17*Rate!E17/12+('Net Interest Income'!E17-SUM('Monthly Avg Balance'!K17:'Monthly Avg Balance'!M17)*Rate!E17/12)*'Monthly Avg Balance'!M17/SUM('Monthly Avg Balance'!K17:'Monthly Avg Balance'!M17))</x:f>
        <x:v>199.7872009743533</x:v>
      </x:c>
      <x:c r="N17" s="43" t="n">
        <x:f>IF(SUM('Monthly Avg Balance'!N17:'Monthly Avg Balance'!P17)=0,"",'Monthly Avg Balance'!N17*Rate!F17/12+('Net Interest Income'!F17-SUM('Monthly Avg Balance'!N17:'Monthly Avg Balance'!P17)*Rate!F17/12)*'Monthly Avg Balance'!N17/SUM('Monthly Avg Balance'!N17:'Monthly Avg Balance'!P17))</x:f>
        <x:v>200.75682481350339</x:v>
      </x:c>
      <x:c r="O17" s="43" t="n">
        <x:f>IF(SUM('Monthly Avg Balance'!N17:'Monthly Avg Balance'!P17)=0,"",'Monthly Avg Balance'!O17*Rate!F17/12+('Net Interest Income'!F17-SUM('Monthly Avg Balance'!N17:'Monthly Avg Balance'!P17)*Rate!F17/12)*'Monthly Avg Balance'!O17/SUM('Monthly Avg Balance'!N17:'Monthly Avg Balance'!P17))</x:f>
        <x:v>203.28297928364114</x:v>
      </x:c>
      <x:c r="P17" s="43" t="n">
        <x:f>IF(SUM('Monthly Avg Balance'!N17:'Monthly Avg Balance'!P17)=0,"",'Monthly Avg Balance'!P17*Rate!F17/12+('Net Interest Income'!F17-SUM('Monthly Avg Balance'!N17:'Monthly Avg Balance'!P17)*Rate!F17/12)*'Monthly Avg Balance'!P17/SUM('Monthly Avg Balance'!N17:'Monthly Avg Balance'!P17))</x:f>
        <x:v>201.96019590285553</x:v>
      </x:c>
      <x:c r="Q17" s="43" t="n">
        <x:f>IF(SUM('Monthly Avg Balance'!Q17:'Monthly Avg Balance'!S17)=0,"",'Monthly Avg Balance'!Q17*Rate!G17/12+('Net Interest Income'!G17-SUM('Monthly Avg Balance'!Q17:'Monthly Avg Balance'!S17)*Rate!G17/12)*'Monthly Avg Balance'!Q17/SUM('Monthly Avg Balance'!Q17:'Monthly Avg Balance'!S17))</x:f>
        <x:v>201.2138254797349</x:v>
      </x:c>
      <x:c r="R17" s="43" t="n">
        <x:f>IF(SUM('Monthly Avg Balance'!Q17:'Monthly Avg Balance'!S17)=0,"",'Monthly Avg Balance'!R17*Rate!G17/12+('Net Interest Income'!G17-SUM('Monthly Avg Balance'!Q17:'Monthly Avg Balance'!S17)*Rate!G17/12)*'Monthly Avg Balance'!R17/SUM('Monthly Avg Balance'!Q17:'Monthly Avg Balance'!S17))</x:f>
        <x:v>196.34392990292852</x:v>
      </x:c>
      <x:c r="S17" s="43" t="n">
        <x:f>IF(SUM('Monthly Avg Balance'!Q17:'Monthly Avg Balance'!S17)=0,"",'Monthly Avg Balance'!S17*Rate!G17/12+('Net Interest Income'!G17-SUM('Monthly Avg Balance'!Q17:'Monthly Avg Balance'!S17)*Rate!G17/12)*'Monthly Avg Balance'!S17/SUM('Monthly Avg Balance'!Q17:'Monthly Avg Balance'!S17))</x:f>
        <x:v>193.4422446173365</x:v>
      </x:c>
      <x:c r="T17" s="43" t="n">
        <x:f>IF(SUM('Monthly Avg Balance'!T17:'Monthly Avg Balance'!V17)=0,"",'Monthly Avg Balance'!T17*Rate!H17/12+('Net Interest Income'!H17-SUM('Monthly Avg Balance'!T17:'Monthly Avg Balance'!V17)*Rate!H17/12)*'Monthly Avg Balance'!T17/SUM('Monthly Avg Balance'!T17:'Monthly Avg Balance'!V17))</x:f>
        <x:v>192.40071565525622</x:v>
      </x:c>
      <x:c r="U17" s="43" t="n">
        <x:f>IF(SUM('Monthly Avg Balance'!T17:'Monthly Avg Balance'!V17)=0,"",'Monthly Avg Balance'!U17*Rate!H17/12+('Net Interest Income'!H17-SUM('Monthly Avg Balance'!T17:'Monthly Avg Balance'!V17)*Rate!H17/12)*'Monthly Avg Balance'!U17/SUM('Monthly Avg Balance'!T17:'Monthly Avg Balance'!V17))</x:f>
        <x:v>201.11730756143982</x:v>
      </x:c>
      <x:c r="V17" s="43" t="n">
        <x:f>IF(SUM('Monthly Avg Balance'!T17:'Monthly Avg Balance'!V17)=0,"",'Monthly Avg Balance'!V17*Rate!H17/12+('Net Interest Income'!H17-SUM('Monthly Avg Balance'!T17:'Monthly Avg Balance'!V17)*Rate!H17/12)*'Monthly Avg Balance'!V17/SUM('Monthly Avg Balance'!T17:'Monthly Avg Balance'!V17))</x:f>
        <x:v>202.48197678330388</x:v>
      </x:c>
      <x:c r="W17" s="43" t="n">
        <x:f>IF(SUM('Monthly Avg Balance'!W17:'Monthly Avg Balance'!Y17)=0,"",'Monthly Avg Balance'!W17*Rate!I17/12+('Net Interest Income'!I17-SUM('Monthly Avg Balance'!W17:'Monthly Avg Balance'!Y17)*Rate!I17/12)*'Monthly Avg Balance'!W17/SUM('Monthly Avg Balance'!W17:'Monthly Avg Balance'!Y17))</x:f>
        <x:v>185.7813086611968</x:v>
      </x:c>
      <x:c r="X17" s="43" t="n">
        <x:f>IF(SUM('Monthly Avg Balance'!W17:'Monthly Avg Balance'!Y17)=0,"",'Monthly Avg Balance'!X17*Rate!I17/12+('Net Interest Income'!I17-SUM('Monthly Avg Balance'!W17:'Monthly Avg Balance'!Y17)*Rate!I17/12)*'Monthly Avg Balance'!X17/SUM('Monthly Avg Balance'!W17:'Monthly Avg Balance'!Y17))</x:f>
        <x:v>177.57882413267882</x:v>
      </x:c>
      <x:c r="Y17" s="43" t="n">
        <x:f>IF(SUM('Monthly Avg Balance'!W17:'Monthly Avg Balance'!Y17)=0,"",'Monthly Avg Balance'!Y17*Rate!I17/12+('Net Interest Income'!I17-SUM('Monthly Avg Balance'!W17:'Monthly Avg Balance'!Y17)*Rate!I17/12)*'Monthly Avg Balance'!Y17/SUM('Monthly Avg Balance'!W17:'Monthly Avg Balance'!Y17))</x:f>
        <x:v>176.63986720612442</x:v>
      </x:c>
      <x:c r="Z17" s="43" t="n">
        <x:f>IF(SUM('Monthly Avg Balance'!Z17:'Monthly Avg Balance'!AB17)=0,"",'Monthly Avg Balance'!Z17*Rate!J17/12+('Net Interest Income'!J17-SUM('Monthly Avg Balance'!Z17:'Monthly Avg Balance'!AB17)*Rate!J17/12)*'Monthly Avg Balance'!Z17/SUM('Monthly Avg Balance'!Z17:'Monthly Avg Balance'!AB17))</x:f>
        <x:v>170.1457082311674</x:v>
      </x:c>
      <x:c r="AA17" s="43" t="n">
        <x:f>IF(SUM('Monthly Avg Balance'!Z17:'Monthly Avg Balance'!AB17)=0,"",'Monthly Avg Balance'!AA17*Rate!J17/12+('Net Interest Income'!J17-SUM('Monthly Avg Balance'!Z17:'Monthly Avg Balance'!AB17)*Rate!J17/12)*'Monthly Avg Balance'!AA17/SUM('Monthly Avg Balance'!Z17:'Monthly Avg Balance'!AB17))</x:f>
        <x:v>171.93264631156705</x:v>
      </x:c>
      <x:c r="AB17" s="43" t="n">
        <x:f>IF(SUM('Monthly Avg Balance'!Z17:'Monthly Avg Balance'!AB17)=0,"",'Monthly Avg Balance'!AB17*Rate!J17/12+('Net Interest Income'!J17-SUM('Monthly Avg Balance'!Z17:'Monthly Avg Balance'!AB17)*Rate!J17/12)*'Monthly Avg Balance'!AB17/SUM('Monthly Avg Balance'!Z17:'Monthly Avg Balance'!AB17))</x:f>
        <x:v>162.92164545726558</x:v>
      </x:c>
      <x:c r="AC17" s="43" t="n">
        <x:f>IF(SUM('Monthly Avg Balance'!AC17:'Monthly Avg Balance'!AE17)=0,"",'Monthly Avg Balance'!AC17*Rate!K17/12+('Net Interest Income'!K17-SUM('Monthly Avg Balance'!AC17:'Monthly Avg Balance'!AE17)*Rate!K17/12)*'Monthly Avg Balance'!AC17/SUM('Monthly Avg Balance'!AC17:'Monthly Avg Balance'!AE17))</x:f>
        <x:v>162.2240021728051</x:v>
      </x:c>
      <x:c r="AD17" s="43" t="n">
        <x:f>IF(SUM('Monthly Avg Balance'!AC17:'Monthly Avg Balance'!AE17)=0,"",'Monthly Avg Balance'!AD17*Rate!K17/12+('Net Interest Income'!K17-SUM('Monthly Avg Balance'!AC17:'Monthly Avg Balance'!AE17)*Rate!K17/12)*'Monthly Avg Balance'!AD17/SUM('Monthly Avg Balance'!AC17:'Monthly Avg Balance'!AE17))</x:f>
        <x:v>178.7110332847659</x:v>
      </x:c>
      <x:c r="AE17" s="43" t="n">
        <x:f>IF(SUM('Monthly Avg Balance'!AC17:'Monthly Avg Balance'!AE17)=0,"",'Monthly Avg Balance'!AE17*Rate!K17/12+('Net Interest Income'!K17-SUM('Monthly Avg Balance'!AC17:'Monthly Avg Balance'!AE17)*Rate!K17/12)*'Monthly Avg Balance'!AE17/SUM('Monthly Avg Balance'!AC17:'Monthly Avg Balance'!AE17))</x:f>
        <x:v>194.06496454242898</x:v>
      </x:c>
      <x:c r="AF17" s="43" t="n">
        <x:f>IF(SUM('Monthly Avg Balance'!AF17:'Monthly Avg Balance'!AH17)=0,"",'Monthly Avg Balance'!AF17*Rate!L17/12+('Net Interest Income'!L17-SUM('Monthly Avg Balance'!AF17:'Monthly Avg Balance'!AH17)*Rate!L17/12)*'Monthly Avg Balance'!AF17/SUM('Monthly Avg Balance'!AF17:'Monthly Avg Balance'!AH17))</x:f>
        <x:v>195.3242758170809</x:v>
      </x:c>
      <x:c r="AG17" s="43" t="n">
        <x:f>IF(SUM('Monthly Avg Balance'!AF17:'Monthly Avg Balance'!AH17)=0,"",'Monthly Avg Balance'!AG17*Rate!L17/12+('Net Interest Income'!L17-SUM('Monthly Avg Balance'!AF17:'Monthly Avg Balance'!AH17)*Rate!L17/12)*'Monthly Avg Balance'!AG17/SUM('Monthly Avg Balance'!AF17:'Monthly Avg Balance'!AH17))</x:f>
        <x:v>190.15208467072523</x:v>
      </x:c>
      <x:c r="AH17" s="43" t="n">
        <x:f>IF(SUM('Monthly Avg Balance'!AF17:'Monthly Avg Balance'!AH17)=0,"",'Monthly Avg Balance'!AH17*Rate!L17/12+('Net Interest Income'!L17-SUM('Monthly Avg Balance'!AF17:'Monthly Avg Balance'!AH17)*Rate!L17/12)*'Monthly Avg Balance'!AH17/SUM('Monthly Avg Balance'!AF17:'Monthly Avg Balance'!AH17))</x:f>
        <x:v>196.523639512194</x:v>
      </x:c>
      <x:c r="AI17" s="43" t="n">
        <x:f>IF(SUM('Monthly Avg Balance'!AI17:'Monthly Avg Balance'!AK17)=0,"",'Monthly Avg Balance'!AI17*Rate!M17/12+('Net Interest Income'!M17-SUM('Monthly Avg Balance'!AI17:'Monthly Avg Balance'!AK17)*Rate!M17/12)*'Monthly Avg Balance'!AI17/SUM('Monthly Avg Balance'!AI17:'Monthly Avg Balance'!AK17))</x:f>
        <x:v>185.3590073110887</x:v>
      </x:c>
      <x:c r="AJ17" s="43" t="n">
        <x:f>IF(SUM('Monthly Avg Balance'!AI17:'Monthly Avg Balance'!AK17)=0,"",'Monthly Avg Balance'!AJ17*Rate!M17/12+('Net Interest Income'!M17-SUM('Monthly Avg Balance'!AI17:'Monthly Avg Balance'!AK17)*Rate!M17/12)*'Monthly Avg Balance'!AJ17/SUM('Monthly Avg Balance'!AI17:'Monthly Avg Balance'!AK17))</x:f>
        <x:v>180.78709731480316</x:v>
      </x:c>
      <x:c r="AK17" s="43" t="n">
        <x:f>IF(SUM('Monthly Avg Balance'!AI17:'Monthly Avg Balance'!AK17)=0,"",'Monthly Avg Balance'!AK17*Rate!M17/12+('Net Interest Income'!M17-SUM('Monthly Avg Balance'!AI17:'Monthly Avg Balance'!AK17)*Rate!M17/12)*'Monthly Avg Balance'!AK17/SUM('Monthly Avg Balance'!AI17:'Monthly Avg Balance'!AK17))</x:f>
        <x:v>183.85389537410813</x:v>
      </x:c>
      <x:c r="AL17" s="43" t="n">
        <x:f>IF(SUM('Monthly Avg Balance'!AL17:'Monthly Avg Balance'!AN17)=0,"",'Monthly Avg Balance'!AL17*Rate!N17/12+('Net Interest Income'!N17-SUM('Monthly Avg Balance'!AL17:'Monthly Avg Balance'!AN17)*Rate!N17/12)*'Monthly Avg Balance'!AL17/SUM('Monthly Avg Balance'!AL17:'Monthly Avg Balance'!AN17))</x:f>
        <x:v>175.534562727632</x:v>
      </x:c>
      <x:c r="AM17" s="43" t="n">
        <x:f>IF(SUM('Monthly Avg Balance'!AL17:'Monthly Avg Balance'!AN17)=0,"",'Monthly Avg Balance'!AM17*Rate!N17/12+('Net Interest Income'!N17-SUM('Monthly Avg Balance'!AL17:'Monthly Avg Balance'!AN17)*Rate!N17/12)*'Monthly Avg Balance'!AM17/SUM('Monthly Avg Balance'!AL17:'Monthly Avg Balance'!AN17))</x:f>
        <x:v>178.62614378793035</x:v>
      </x:c>
      <x:c r="AN17" s="43" t="n">
        <x:f>IF(SUM('Monthly Avg Balance'!AL17:'Monthly Avg Balance'!AN17)=0,"",'Monthly Avg Balance'!AN17*Rate!N17/12+('Net Interest Income'!N17-SUM('Monthly Avg Balance'!AL17:'Monthly Avg Balance'!AN17)*Rate!N17/12)*'Monthly Avg Balance'!AN17/SUM('Monthly Avg Balance'!AL17:'Monthly Avg Balance'!AN17))</x:f>
        <x:v>177.83929348443772</x:v>
      </x:c>
      <x:c r="AO17" s="43" t="n">
        <x:f>IF(SUM('Monthly Avg Balance'!AO17:'Monthly Avg Balance'!AQ17)=0,"",'Monthly Avg Balance'!AO17*Rate!O17/12+('Net Interest Income'!O17-SUM('Monthly Avg Balance'!AO17:'Monthly Avg Balance'!AQ17)*Rate!O17/12)*'Monthly Avg Balance'!AO17/SUM('Monthly Avg Balance'!AO17:'Monthly Avg Balance'!AQ17))</x:f>
        <x:v>180.906575746772</x:v>
      </x:c>
      <x:c r="AP17" s="43" t="n">
        <x:f>IF(SUM('Monthly Avg Balance'!AO17:'Monthly Avg Balance'!AQ17)=0,"",'Monthly Avg Balance'!AP17*Rate!O17/12+('Net Interest Income'!O17-SUM('Monthly Avg Balance'!AO17:'Monthly Avg Balance'!AQ17)*Rate!O17/12)*'Monthly Avg Balance'!AP17/SUM('Monthly Avg Balance'!AO17:'Monthly Avg Balance'!AQ17))</x:f>
        <x:v>181.57672615018728</x:v>
      </x:c>
      <x:c r="AQ17" s="43" t="n">
        <x:f>IF(SUM('Monthly Avg Balance'!AO17:'Monthly Avg Balance'!AQ17)=0,"",'Monthly Avg Balance'!AQ17*Rate!O17/12+('Net Interest Income'!O17-SUM('Monthly Avg Balance'!AO17:'Monthly Avg Balance'!AQ17)*Rate!O17/12)*'Monthly Avg Balance'!AQ17/SUM('Monthly Avg Balance'!AO17:'Monthly Avg Balance'!AQ17))</x:f>
        <x:v>172.5166981030407</x:v>
      </x:c>
    </x:row>
    <x:row r="18">
      <x:c r="A18" s="20" t="str">
        <x:v>  Other borrowings</x:v>
      </x:c>
      <x:c r="B18" s="43" t="n">
        <x:f>IF(SUM('Monthly Avg Balance'!B18:'Monthly Avg Balance'!D18)=0,"",'Monthly Avg Balance'!B18*Rate!B18/12+('Net Interest Income'!B18-SUM('Monthly Avg Balance'!B18:'Monthly Avg Balance'!D18)*Rate!B18/12)*'Monthly Avg Balance'!B18/SUM('Monthly Avg Balance'!B18:'Monthly Avg Balance'!D18))</x:f>
        <x:v>4.000000000000001</x:v>
      </x:c>
      <x:c r="C18" s="43" t="n">
        <x:f>IF(SUM('Monthly Avg Balance'!B18:'Monthly Avg Balance'!D18)=0,"",'Monthly Avg Balance'!C18*Rate!B18/12+('Net Interest Income'!B18-SUM('Monthly Avg Balance'!B18:'Monthly Avg Balance'!D18)*Rate!B18/12)*'Monthly Avg Balance'!C18/SUM('Monthly Avg Balance'!B18:'Monthly Avg Balance'!D18))</x:f>
        <x:v>4.000000000000001</x:v>
      </x:c>
      <x:c r="D18" s="43" t="n">
        <x:f>IF(SUM('Monthly Avg Balance'!B18:'Monthly Avg Balance'!D18)=0,"",'Monthly Avg Balance'!D18*Rate!B18/12+('Net Interest Income'!B18-SUM('Monthly Avg Balance'!B18:'Monthly Avg Balance'!D18)*Rate!B18/12)*'Monthly Avg Balance'!D18/SUM('Monthly Avg Balance'!B18:'Monthly Avg Balance'!D18))</x:f>
        <x:v>4.000000000000001</x:v>
      </x:c>
      <x:c r="E18" s="43" t="n">
        <x:f>IF(SUM('Monthly Avg Balance'!E18:'Monthly Avg Balance'!G18)=0,"",'Monthly Avg Balance'!E18*Rate!C18/12+('Net Interest Income'!C18-SUM('Monthly Avg Balance'!E18:'Monthly Avg Balance'!G18)*Rate!C18/12)*'Monthly Avg Balance'!E18/SUM('Monthly Avg Balance'!E18:'Monthly Avg Balance'!G18))</x:f>
        <x:v>3.9073997519636205</x:v>
      </x:c>
      <x:c r="F18" s="43" t="n">
        <x:f>IF(SUM('Monthly Avg Balance'!E18:'Monthly Avg Balance'!G18)=0,"",'Monthly Avg Balance'!F18*Rate!C18/12+('Net Interest Income'!C18-SUM('Monthly Avg Balance'!E18:'Monthly Avg Balance'!G18)*Rate!C18/12)*'Monthly Avg Balance'!F18/SUM('Monthly Avg Balance'!E18:'Monthly Avg Balance'!G18))</x:f>
        <x:v>3.9999999999999996</x:v>
      </x:c>
      <x:c r="G18" s="43" t="n">
        <x:f>IF(SUM('Monthly Avg Balance'!E18:'Monthly Avg Balance'!G18)=0,"",'Monthly Avg Balance'!G18*Rate!C18/12+('Net Interest Income'!C18-SUM('Monthly Avg Balance'!E18:'Monthly Avg Balance'!G18)*Rate!C18/12)*'Monthly Avg Balance'!G18/SUM('Monthly Avg Balance'!E18:'Monthly Avg Balance'!G18))</x:f>
        <x:v>4.092600248036379</x:v>
      </x:c>
      <x:c r="H18" s="43" t="n">
        <x:f>IF(SUM('Monthly Avg Balance'!H18:'Monthly Avg Balance'!J18)=0,"",'Monthly Avg Balance'!H18*Rate!D18/12+('Net Interest Income'!D18-SUM('Monthly Avg Balance'!H18:'Monthly Avg Balance'!J18)*Rate!D18/12)*'Monthly Avg Balance'!H18/SUM('Monthly Avg Balance'!H18:'Monthly Avg Balance'!J18))</x:f>
        <x:v>3.696320258794986</x:v>
      </x:c>
      <x:c r="I18" s="43" t="n">
        <x:f>IF(SUM('Monthly Avg Balance'!H18:'Monthly Avg Balance'!J18)=0,"",'Monthly Avg Balance'!I18*Rate!D18/12+('Net Interest Income'!D18-SUM('Monthly Avg Balance'!H18:'Monthly Avg Balance'!J18)*Rate!D18/12)*'Monthly Avg Balance'!I18/SUM('Monthly Avg Balance'!H18:'Monthly Avg Balance'!J18))</x:f>
        <x:v>3.6666666666666674</x:v>
      </x:c>
      <x:c r="J18" s="43" t="n">
        <x:f>IF(SUM('Monthly Avg Balance'!H18:'Monthly Avg Balance'!J18)=0,"",'Monthly Avg Balance'!J18*Rate!D18/12+('Net Interest Income'!D18-SUM('Monthly Avg Balance'!H18:'Monthly Avg Balance'!J18)*Rate!D18/12)*'Monthly Avg Balance'!J18/SUM('Monthly Avg Balance'!H18:'Monthly Avg Balance'!J18))</x:f>
        <x:v>3.6370130745383475</x:v>
      </x:c>
      <x:c r="K18" s="43" t="n">
        <x:f>IF(SUM('Monthly Avg Balance'!K18:'Monthly Avg Balance'!M18)=0,"",'Monthly Avg Balance'!K18*Rate!E18/12+('Net Interest Income'!E18-SUM('Monthly Avg Balance'!K18:'Monthly Avg Balance'!M18)*Rate!E18/12)*'Monthly Avg Balance'!K18/SUM('Monthly Avg Balance'!K18:'Monthly Avg Balance'!M18))</x:f>
        <x:v>3.7715736040609134</x:v>
      </x:c>
      <x:c r="L18" s="43" t="n">
        <x:f>IF(SUM('Monthly Avg Balance'!K18:'Monthly Avg Balance'!M18)=0,"",'Monthly Avg Balance'!L18*Rate!E18/12+('Net Interest Income'!E18-SUM('Monthly Avg Balance'!K18:'Monthly Avg Balance'!M18)*Rate!E18/12)*'Monthly Avg Balance'!L18/SUM('Monthly Avg Balance'!K18:'Monthly Avg Balance'!M18))</x:f>
        <x:v>4.0456852791878175</x:v>
      </x:c>
      <x:c r="M18" s="43" t="n">
        <x:f>IF(SUM('Monthly Avg Balance'!K18:'Monthly Avg Balance'!M18)=0,"",'Monthly Avg Balance'!M18*Rate!E18/12+('Net Interest Income'!E18-SUM('Monthly Avg Balance'!K18:'Monthly Avg Balance'!M18)*Rate!E18/12)*'Monthly Avg Balance'!M18/SUM('Monthly Avg Balance'!K18:'Monthly Avg Balance'!M18))</x:f>
        <x:v>2.182741116751269</x:v>
      </x:c>
      <x:c r="N18" s="43" t="n">
        <x:f>IF(SUM('Monthly Avg Balance'!N18:'Monthly Avg Balance'!P18)=0,"",'Monthly Avg Balance'!N18*Rate!F18/12+('Net Interest Income'!F18-SUM('Monthly Avg Balance'!N18:'Monthly Avg Balance'!P18)*Rate!F18/12)*'Monthly Avg Balance'!N18/SUM('Monthly Avg Balance'!N18:'Monthly Avg Balance'!P18))</x:f>
        <x:v>2.6521568407471814</x:v>
      </x:c>
      <x:c r="O18" s="43" t="n">
        <x:f>IF(SUM('Monthly Avg Balance'!N18:'Monthly Avg Balance'!P18)=0,"",'Monthly Avg Balance'!O18*Rate!F18/12+('Net Interest Income'!F18-SUM('Monthly Avg Balance'!N18:'Monthly Avg Balance'!P18)*Rate!F18/12)*'Monthly Avg Balance'!O18/SUM('Monthly Avg Balance'!N18:'Monthly Avg Balance'!P18))</x:f>
        <x:v>4.675492230885735</x:v>
      </x:c>
      <x:c r="P18" s="43" t="n">
        <x:f>IF(SUM('Monthly Avg Balance'!N18:'Monthly Avg Balance'!P18)=0,"",'Monthly Avg Balance'!P18*Rate!F18/12+('Net Interest Income'!F18-SUM('Monthly Avg Balance'!N18:'Monthly Avg Balance'!P18)*Rate!F18/12)*'Monthly Avg Balance'!P18/SUM('Monthly Avg Balance'!N18:'Monthly Avg Balance'!P18))</x:f>
        <x:v>2.672350928367084</x:v>
      </x:c>
      <x:c r="Q18" s="43" t="n">
        <x:f>IF(SUM('Monthly Avg Balance'!Q18:'Monthly Avg Balance'!S18)=0,"",'Monthly Avg Balance'!Q18*Rate!G18/12+('Net Interest Income'!G18-SUM('Monthly Avg Balance'!Q18:'Monthly Avg Balance'!S18)*Rate!G18/12)*'Monthly Avg Balance'!Q18/SUM('Monthly Avg Balance'!Q18:'Monthly Avg Balance'!S18))</x:f>
        <x:v>2.887961178905302</x:v>
      </x:c>
      <x:c r="R18" s="43" t="n">
        <x:f>IF(SUM('Monthly Avg Balance'!Q18:'Monthly Avg Balance'!S18)=0,"",'Monthly Avg Balance'!R18*Rate!G18/12+('Net Interest Income'!G18-SUM('Monthly Avg Balance'!Q18:'Monthly Avg Balance'!S18)*Rate!G18/12)*'Monthly Avg Balance'!R18/SUM('Monthly Avg Balance'!Q18:'Monthly Avg Balance'!S18))</x:f>
        <x:v>5.107899807321773</x:v>
      </x:c>
      <x:c r="S18" s="43" t="n">
        <x:f>IF(SUM('Monthly Avg Balance'!Q18:'Monthly Avg Balance'!S18)=0,"",'Monthly Avg Balance'!S18*Rate!G18/12+('Net Interest Income'!G18-SUM('Monthly Avg Balance'!Q18:'Monthly Avg Balance'!S18)*Rate!G18/12)*'Monthly Avg Balance'!S18/SUM('Monthly Avg Balance'!Q18:'Monthly Avg Balance'!S18))</x:f>
        <x:v>3.0041390137729254</x:v>
      </x:c>
      <x:c r="T18" s="43" t="n">
        <x:f>IF(SUM('Monthly Avg Balance'!T18:'Monthly Avg Balance'!V18)=0,"",'Monthly Avg Balance'!T18*Rate!H18/12+('Net Interest Income'!H18-SUM('Monthly Avg Balance'!T18:'Monthly Avg Balance'!V18)*Rate!H18/12)*'Monthly Avg Balance'!T18/SUM('Monthly Avg Balance'!T18:'Monthly Avg Balance'!V18))</x:f>
        <x:v>2.478012115772941</x:v>
      </x:c>
      <x:c r="U18" s="43" t="n">
        <x:f>IF(SUM('Monthly Avg Balance'!T18:'Monthly Avg Balance'!V18)=0,"",'Monthly Avg Balance'!U18*Rate!H18/12+('Net Interest Income'!H18-SUM('Monthly Avg Balance'!T18:'Monthly Avg Balance'!V18)*Rate!H18/12)*'Monthly Avg Balance'!U18/SUM('Monthly Avg Balance'!T18:'Monthly Avg Balance'!V18))</x:f>
        <x:v>4.175903073816468</x:v>
      </x:c>
      <x:c r="V18" s="43" t="n">
        <x:f>IF(SUM('Monthly Avg Balance'!T18:'Monthly Avg Balance'!V18)=0,"",'Monthly Avg Balance'!V18*Rate!H18/12+('Net Interest Income'!H18-SUM('Monthly Avg Balance'!T18:'Monthly Avg Balance'!V18)*Rate!H18/12)*'Monthly Avg Balance'!V18/SUM('Monthly Avg Balance'!T18:'Monthly Avg Balance'!V18))</x:f>
        <x:v>2.3460848104105896</x:v>
      </x:c>
      <x:c r="W18" s="43" t="n">
        <x:f>IF(SUM('Monthly Avg Balance'!W18:'Monthly Avg Balance'!Y18)=0,"",'Monthly Avg Balance'!W18*Rate!I18/12+('Net Interest Income'!I18-SUM('Monthly Avg Balance'!W18:'Monthly Avg Balance'!Y18)*Rate!I18/12)*'Monthly Avg Balance'!W18/SUM('Monthly Avg Balance'!W18:'Monthly Avg Balance'!Y18))</x:f>
        <x:v>3.165473914231085</x:v>
      </x:c>
      <x:c r="X18" s="43" t="n">
        <x:f>IF(SUM('Monthly Avg Balance'!W18:'Monthly Avg Balance'!Y18)=0,"",'Monthly Avg Balance'!X18*Rate!I18/12+('Net Interest Income'!I18-SUM('Monthly Avg Balance'!W18:'Monthly Avg Balance'!Y18)*Rate!I18/12)*'Monthly Avg Balance'!X18/SUM('Monthly Avg Balance'!W18:'Monthly Avg Balance'!Y18))</x:f>
        <x:v>5.627970499863426</x:v>
      </x:c>
      <x:c r="Y18" s="43" t="n">
        <x:f>IF(SUM('Monthly Avg Balance'!W18:'Monthly Avg Balance'!Y18)=0,"",'Monthly Avg Balance'!Y18*Rate!I18/12+('Net Interest Income'!I18-SUM('Monthly Avg Balance'!W18:'Monthly Avg Balance'!Y18)*Rate!I18/12)*'Monthly Avg Balance'!Y18/SUM('Monthly Avg Balance'!W18:'Monthly Avg Balance'!Y18))</x:f>
        <x:v>3.2065555859054906</x:v>
      </x:c>
      <x:c r="Z18" s="43" t="n">
        <x:f>IF(SUM('Monthly Avg Balance'!Z18:'Monthly Avg Balance'!AB18)=0,"",'Monthly Avg Balance'!Z18*Rate!J18/12+('Net Interest Income'!J18-SUM('Monthly Avg Balance'!Z18:'Monthly Avg Balance'!AB18)*Rate!J18/12)*'Monthly Avg Balance'!Z18/SUM('Monthly Avg Balance'!Z18:'Monthly Avg Balance'!AB18))</x:f>
        <x:v>2.4021494193101054</x:v>
      </x:c>
      <x:c r="AA18" s="43" t="n">
        <x:f>IF(SUM('Monthly Avg Balance'!Z18:'Monthly Avg Balance'!AB18)=0,"",'Monthly Avg Balance'!AA18*Rate!J18/12+('Net Interest Income'!J18-SUM('Monthly Avg Balance'!Z18:'Monthly Avg Balance'!AB18)*Rate!J18/12)*'Monthly Avg Balance'!AA18/SUM('Monthly Avg Balance'!Z18:'Monthly Avg Balance'!AB18))</x:f>
        <x:v>4.1908476339053555</x:v>
      </x:c>
      <x:c r="AB18" s="43" t="n">
        <x:f>IF(SUM('Monthly Avg Balance'!Z18:'Monthly Avg Balance'!AB18)=0,"",'Monthly Avg Balance'!AB18*Rate!J18/12+('Net Interest Income'!J18-SUM('Monthly Avg Balance'!Z18:'Monthly Avg Balance'!AB18)*Rate!J18/12)*'Monthly Avg Balance'!AB18/SUM('Monthly Avg Balance'!Z18:'Monthly Avg Balance'!AB18))</x:f>
        <x:v>2.4070029467845377</x:v>
      </x:c>
      <x:c r="AC18" s="43" t="n">
        <x:f>IF(SUM('Monthly Avg Balance'!AC18:'Monthly Avg Balance'!AE18)=0,"",'Monthly Avg Balance'!AC18*Rate!K18/12+('Net Interest Income'!K18-SUM('Monthly Avg Balance'!AC18:'Monthly Avg Balance'!AE18)*Rate!K18/12)*'Monthly Avg Balance'!AC18/SUM('Monthly Avg Balance'!AC18:'Monthly Avg Balance'!AE18))</x:f>
        <x:v>3.5037641551211482</x:v>
      </x:c>
      <x:c r="AD18" s="43" t="n">
        <x:f>IF(SUM('Monthly Avg Balance'!AC18:'Monthly Avg Balance'!AE18)=0,"",'Monthly Avg Balance'!AD18*Rate!K18/12+('Net Interest Income'!K18-SUM('Monthly Avg Balance'!AC18:'Monthly Avg Balance'!AE18)*Rate!K18/12)*'Monthly Avg Balance'!AD18/SUM('Monthly Avg Balance'!AC18:'Monthly Avg Balance'!AE18))</x:f>
        <x:v>6.368950464983866</x:v>
      </x:c>
      <x:c r="AE18" s="43" t="n">
        <x:f>IF(SUM('Monthly Avg Balance'!AC18:'Monthly Avg Balance'!AE18)=0,"",'Monthly Avg Balance'!AE18*Rate!K18/12+('Net Interest Income'!K18-SUM('Monthly Avg Balance'!AC18:'Monthly Avg Balance'!AE18)*Rate!K18/12)*'Monthly Avg Balance'!AE18/SUM('Monthly Avg Balance'!AC18:'Monthly Avg Balance'!AE18))</x:f>
        <x:v>4.127285379894983</x:v>
      </x:c>
      <x:c r="AF18" s="43" t="n">
        <x:f>IF(SUM('Monthly Avg Balance'!AF18:'Monthly Avg Balance'!AH18)=0,"",'Monthly Avg Balance'!AF18*Rate!L18/12+('Net Interest Income'!L18-SUM('Monthly Avg Balance'!AF18:'Monthly Avg Balance'!AH18)*Rate!L18/12)*'Monthly Avg Balance'!AF18/SUM('Monthly Avg Balance'!AF18:'Monthly Avg Balance'!AH18))</x:f>
        <x:v>4.218861209964413</x:v>
      </x:c>
      <x:c r="AG18" s="43" t="n">
        <x:f>IF(SUM('Monthly Avg Balance'!AF18:'Monthly Avg Balance'!AH18)=0,"",'Monthly Avg Balance'!AG18*Rate!L18/12+('Net Interest Income'!L18-SUM('Monthly Avg Balance'!AF18:'Monthly Avg Balance'!AH18)*Rate!L18/12)*'Monthly Avg Balance'!AG18/SUM('Monthly Avg Balance'!AF18:'Monthly Avg Balance'!AH18))</x:f>
        <x:v>6.672597864768685</x:v>
      </x:c>
      <x:c r="AH18" s="43" t="n">
        <x:f>IF(SUM('Monthly Avg Balance'!AF18:'Monthly Avg Balance'!AH18)=0,"",'Monthly Avg Balance'!AH18*Rate!L18/12+('Net Interest Income'!L18-SUM('Monthly Avg Balance'!AF18:'Monthly Avg Balance'!AH18)*Rate!L18/12)*'Monthly Avg Balance'!AH18/SUM('Monthly Avg Balance'!AF18:'Monthly Avg Balance'!AH18))</x:f>
        <x:v>4.108540925266904</x:v>
      </x:c>
      <x:c r="AI18" s="43" t="n">
        <x:f>IF(SUM('Monthly Avg Balance'!AI18:'Monthly Avg Balance'!AK18)=0,"",'Monthly Avg Balance'!AI18*Rate!M18/12+('Net Interest Income'!M18-SUM('Monthly Avg Balance'!AI18:'Monthly Avg Balance'!AK18)*Rate!M18/12)*'Monthly Avg Balance'!AI18/SUM('Monthly Avg Balance'!AI18:'Monthly Avg Balance'!AK18))</x:f>
        <x:v>5.730089622161115</x:v>
      </x:c>
      <x:c r="AJ18" s="43" t="n">
        <x:f>IF(SUM('Monthly Avg Balance'!AI18:'Monthly Avg Balance'!AK18)=0,"",'Monthly Avg Balance'!AJ18*Rate!M18/12+('Net Interest Income'!M18-SUM('Monthly Avg Balance'!AI18:'Monthly Avg Balance'!AK18)*Rate!M18/12)*'Monthly Avg Balance'!AJ18/SUM('Monthly Avg Balance'!AI18:'Monthly Avg Balance'!AK18))</x:f>
        <x:v>9.820501069355332</x:v>
      </x:c>
      <x:c r="AK18" s="43" t="n">
        <x:f>IF(SUM('Monthly Avg Balance'!AI18:'Monthly Avg Balance'!AK18)=0,"",'Monthly Avg Balance'!AK18*Rate!M18/12+('Net Interest Income'!M18-SUM('Monthly Avg Balance'!AI18:'Monthly Avg Balance'!AK18)*Rate!M18/12)*'Monthly Avg Balance'!AK18/SUM('Monthly Avg Balance'!AI18:'Monthly Avg Balance'!AK18))</x:f>
        <x:v>7.449409308483553</x:v>
      </x:c>
      <x:c r="AL18" s="43" t="n">
        <x:f>IF(SUM('Monthly Avg Balance'!AL18:'Monthly Avg Balance'!AN18)=0,"",'Monthly Avg Balance'!AL18*Rate!N18/12+('Net Interest Income'!N18-SUM('Monthly Avg Balance'!AL18:'Monthly Avg Balance'!AN18)*Rate!N18/12)*'Monthly Avg Balance'!AL18/SUM('Monthly Avg Balance'!AL18:'Monthly Avg Balance'!AN18))</x:f>
        <x:v>7.517655719408231</x:v>
      </x:c>
      <x:c r="AM18" s="43" t="n">
        <x:f>IF(SUM('Monthly Avg Balance'!AL18:'Monthly Avg Balance'!AN18)=0,"",'Monthly Avg Balance'!AM18*Rate!N18/12+('Net Interest Income'!N18-SUM('Monthly Avg Balance'!AL18:'Monthly Avg Balance'!AN18)*Rate!N18/12)*'Monthly Avg Balance'!AM18/SUM('Monthly Avg Balance'!AL18:'Monthly Avg Balance'!AN18))</x:f>
        <x:v>10.300349077438199</x:v>
      </x:c>
      <x:c r="AN18" s="43" t="n">
        <x:f>IF(SUM('Monthly Avg Balance'!AL18:'Monthly Avg Balance'!AN18)=0,"",'Monthly Avg Balance'!AN18*Rate!N18/12+('Net Interest Income'!N18-SUM('Monthly Avg Balance'!AL18:'Monthly Avg Balance'!AN18)*Rate!N18/12)*'Monthly Avg Balance'!AN18/SUM('Monthly Avg Balance'!AL18:'Monthly Avg Balance'!AN18))</x:f>
        <x:v>8.181995203153571</x:v>
      </x:c>
      <x:c r="AO18" s="43" t="n">
        <x:f>IF(SUM('Monthly Avg Balance'!AO18:'Monthly Avg Balance'!AQ18)=0,"",'Monthly Avg Balance'!AO18*Rate!O18/12+('Net Interest Income'!O18-SUM('Monthly Avg Balance'!AO18:'Monthly Avg Balance'!AQ18)*Rate!O18/12)*'Monthly Avg Balance'!AO18/SUM('Monthly Avg Balance'!AO18:'Monthly Avg Balance'!AQ18))</x:f>
        <x:v>7.167066346922463</x:v>
      </x:c>
      <x:c r="AP18" s="43" t="n">
        <x:f>IF(SUM('Monthly Avg Balance'!AO18:'Monthly Avg Balance'!AQ18)=0,"",'Monthly Avg Balance'!AP18*Rate!O18/12+('Net Interest Income'!O18-SUM('Monthly Avg Balance'!AO18:'Monthly Avg Balance'!AQ18)*Rate!O18/12)*'Monthly Avg Balance'!AP18/SUM('Monthly Avg Balance'!AO18:'Monthly Avg Balance'!AQ18))</x:f>
        <x:v>8.728217426059155</x:v>
      </x:c>
      <x:c r="AQ18" s="43" t="n">
        <x:f>IF(SUM('Monthly Avg Balance'!AO18:'Monthly Avg Balance'!AQ18)=0,"",'Monthly Avg Balance'!AQ18*Rate!O18/12+('Net Interest Income'!O18-SUM('Monthly Avg Balance'!AO18:'Monthly Avg Balance'!AQ18)*Rate!O18/12)*'Monthly Avg Balance'!AQ18/SUM('Monthly Avg Balance'!AO18:'Monthly Avg Balance'!AQ18))</x:f>
        <x:v>5.104716227018385</x:v>
      </x:c>
    </x:row>
    <x:row r="19">
      <x:c r="A19" s="26" t="str">
        <x:v>  Total interest-bearing liabilities</x:v>
      </x:c>
      <x:c r="B19" s="46" t="n">
        <x:f>SUM(B15:B18)</x:f>
        <x:v>856</x:v>
      </x:c>
      <x:c r="C19" s="46" t="n">
        <x:f>SUM(C15:C18)</x:f>
        <x:v>856</x:v>
      </x:c>
      <x:c r="D19" s="46" t="n">
        <x:f>SUM(D15:D18)</x:f>
        <x:v>856</x:v>
      </x:c>
      <x:c r="E19" s="46" t="n">
        <x:f>SUM(E15:E18)</x:f>
        <x:v>1008.8031322046791</x:v>
      </x:c>
      <x:c r="F19" s="46" t="n">
        <x:f>SUM(F15:F18)</x:f>
        <x:v>1017.6666666666666</x:v>
      </x:c>
      <x:c r="G19" s="46" t="n">
        <x:f>SUM(G15:G18)</x:f>
        <x:v>1026.530201128654</x:v>
      </x:c>
      <x:c r="H19" s="46" t="n">
        <x:f>SUM(H15:H18)</x:f>
        <x:v>1149.5156877718077</x:v>
      </x:c>
      <x:c r="I19" s="46" t="n">
        <x:f>SUM(I15:I18)</x:f>
        <x:v>1150.0000000000002</x:v>
      </x:c>
      <x:c r="J19" s="46" t="n">
        <x:f>SUM(J15:J18)</x:f>
        <x:v>1150.484312228192</x:v>
      </x:c>
      <x:c r="K19" s="46" t="n">
        <x:f>SUM(K15:K18)</x:f>
        <x:v>1203.5144796206014</x:v>
      </x:c>
      <x:c r="L19" s="46" t="n">
        <x:f>SUM(L15:L18)</x:f>
        <x:v>1211.871298187191</x:v>
      </x:c>
      <x:c r="M19" s="46" t="n">
        <x:f>SUM(M15:M18)</x:f>
        <x:v>1210.6142221922075</x:v>
      </x:c>
      <x:c r="N19" s="46" t="n">
        <x:f>SUM(N15:N18)</x:f>
        <x:v>1227.593437597018</x:v>
      </x:c>
      <x:c r="O19" s="46" t="n">
        <x:f>SUM(O15:O18)</x:f>
        <x:v>1226.1508454963657</x:v>
      </x:c>
      <x:c r="P19" s="46" t="n">
        <x:f>SUM(P15:P18)</x:f>
        <x:v>1235.2557169066158</x:v>
      </x:c>
      <x:c r="Q19" s="46" t="n">
        <x:f>SUM(Q15:Q18)</x:f>
        <x:v>1249.401907076559</x:v>
      </x:c>
      <x:c r="R19" s="46" t="n">
        <x:f>SUM(R15:R18)</x:f>
        <x:v>1243.0691826814632</x:v>
      </x:c>
      <x:c r="S19" s="46" t="n">
        <x:f>SUM(S15:S18)</x:f>
        <x:v>1241.5289102419774</x:v>
      </x:c>
      <x:c r="T19" s="46" t="n">
        <x:f>SUM(T15:T18)</x:f>
        <x:v>1255.7707208150655</x:v>
      </x:c>
      <x:c r="U19" s="46" t="n">
        <x:f>SUM(U15:U18)</x:f>
        <x:v>1259.7555836978206</x:v>
      </x:c>
      <x:c r="V19" s="46" t="n">
        <x:f>SUM(V15:V18)</x:f>
        <x:v>1268.4736954871141</x:v>
      </x:c>
      <x:c r="W19" s="46" t="n">
        <x:f>SUM(W15:W18)</x:f>
        <x:v>1205.6549008777395</x:v>
      </x:c>
      <x:c r="X19" s="46" t="n">
        <x:f>SUM(X15:X18)</x:f>
        <x:v>1203.486491907925</x:v>
      </x:c>
      <x:c r="Y19" s="46" t="n">
        <x:f>SUM(Y15:Y18)</x:f>
        <x:v>1209.8586072143355</x:v>
      </x:c>
      <x:c r="Z19" s="46" t="n">
        <x:f>SUM(Z15:Z18)</x:f>
        <x:v>1135.7450174461653</x:v>
      </x:c>
      <x:c r="AA19" s="46" t="n">
        <x:f>SUM(AA15:AA18)</x:f>
        <x:v>1138.0746557753932</x:v>
      </x:c>
      <x:c r="AB19" s="46" t="n">
        <x:f>SUM(AB15:AB18)</x:f>
        <x:v>1131.1803267784412</x:v>
      </x:c>
      <x:c r="AC19" s="46" t="n">
        <x:f>SUM(AC15:AC18)</x:f>
        <x:v>1172.6943469846515</x:v>
      </x:c>
      <x:c r="AD19" s="46" t="n">
        <x:f>SUM(AD15:AD18)</x:f>
        <x:v>1271.3932041369671</x:v>
      </x:c>
      <x:c r="AE19" s="46" t="n">
        <x:f>SUM(AE15:AE18)</x:f>
        <x:v>1388.9124488783818</x:v>
      </x:c>
      <x:c r="AF19" s="46" t="n">
        <x:f>SUM(AF15:AF18)</x:f>
        <x:v>1457.4655868756906</x:v>
      </x:c>
      <x:c r="AG19" s="46" t="n">
        <x:f>SUM(AG15:AG18)</x:f>
        <x:v>1445.3997513204558</x:v>
      </x:c>
      <x:c r="AH19" s="46" t="n">
        <x:f>SUM(AH15:AH18)</x:f>
        <x:v>1456.1346618038533</x:v>
      </x:c>
      <x:c r="AI19" s="46" t="n">
        <x:f>SUM(AI15:AI18)</x:f>
        <x:v>1403.3885580843046</x:v>
      </x:c>
      <x:c r="AJ19" s="46" t="n">
        <x:f>SUM(AJ15:AJ18)</x:f>
        <x:v>1402.6891828019632</x:v>
      </x:c>
      <x:c r="AK19" s="46" t="n">
        <x:f>SUM(AK15:AK18)</x:f>
        <x:v>1414.922259113732</x:v>
      </x:c>
      <x:c r="AL19" s="46" t="n">
        <x:f>SUM(AL15:AL18)</x:f>
        <x:v>1351.483507341557</x:v>
      </x:c>
      <x:c r="AM19" s="46" t="n">
        <x:f>SUM(AM15:AM18)</x:f>
        <x:v>1359.8065856232938</x:v>
      </x:c>
      <x:c r="AN19" s="46" t="n">
        <x:f>SUM(AN15:AN18)</x:f>
        <x:v>1374.7099070351492</x:v>
      </x:c>
      <x:c r="AO19" s="46" t="n">
        <x:f>SUM(AO15:AO18)</x:f>
        <x:v>1348.9306546569192</x:v>
      </x:c>
      <x:c r="AP19" s="46" t="n">
        <x:f>SUM(AP15:AP18)</x:f>
        <x:v>1338.7682582597763</x:v>
      </x:c>
      <x:c r="AQ19" s="46" t="n">
        <x:f>SUM(AQ15:AQ18)</x:f>
        <x:v>1323.301087083305</x:v>
      </x:c>
    </x:row>
    <x:row r="20">
      <x:c r="A20" s="20"/>
      <x:c r="B20" s="42"/>
      <x:c r="C20" s="42"/>
      <x:c r="D20" s="42"/>
      <x:c r="E20" s="42"/>
      <x:c r="F20" s="42"/>
      <x:c r="G20" s="42"/>
      <x:c r="H20" s="42"/>
      <x:c r="I20" s="42"/>
      <x:c r="J20" s="42"/>
      <x:c r="K20" s="42"/>
      <x:c r="L20" s="42"/>
      <x:c r="M20" s="42"/>
      <x:c r="N20" s="42"/>
      <x:c r="O20" s="42"/>
      <x:c r="P20" s="42"/>
      <x:c r="Q20" s="42"/>
      <x:c r="R20" s="42"/>
      <x:c r="S20" s="42"/>
      <x:c r="T20" s="42"/>
      <x:c r="U20" s="42"/>
      <x:c r="V20" s="42"/>
      <x:c r="W20" s="42"/>
      <x:c r="X20" s="42"/>
      <x:c r="Y20" s="42"/>
      <x:c r="Z20" s="42"/>
      <x:c r="AA20" s="42"/>
      <x:c r="AB20" s="42"/>
      <x:c r="AC20" s="42"/>
      <x:c r="AD20" s="42"/>
      <x:c r="AE20" s="42"/>
      <x:c r="AF20" s="42"/>
      <x:c r="AG20" s="42"/>
      <x:c r="AH20" s="42"/>
      <x:c r="AI20" s="42"/>
      <x:c r="AJ20" s="42"/>
      <x:c r="AK20" s="42"/>
      <x:c r="AL20" s="42"/>
      <x:c r="AM20" s="42"/>
      <x:c r="AN20" s="42"/>
      <x:c r="AO20" s="42"/>
      <x:c r="AP20" s="42"/>
      <x:c r="AQ20" s="42"/>
    </x:row>
    <x:row r="21">
      <x:c r="A21" s="26" t="str">
        <x:v>NET INTEREST INCOME</x:v>
      </x:c>
      <x:c r="B21" s="46" t="n">
        <x:f>B12-B19</x:f>
        <x:v>2377.931780054214</x:v>
      </x:c>
      <x:c r="C21" s="46" t="n">
        <x:f>C12-C19</x:f>
        <x:v>2390.2864835461205</x:v>
      </x:c>
      <x:c r="D21" s="46" t="n">
        <x:f>D12-D19</x:f>
        <x:v>2417.781736399665</x:v>
      </x:c>
      <x:c r="E21" s="46" t="n">
        <x:f>E12-E19</x:f>
        <x:v>2380.445742814786</x:v>
      </x:c>
      <x:c r="F21" s="46" t="n">
        <x:f>F12-F19</x:f>
        <x:v>2354.8691887286886</x:v>
      </x:c>
      <x:c r="G21" s="46" t="n">
        <x:f>G12-G19</x:f>
        <x:v>2377.6850684565256</x:v>
      </x:c>
      <x:c r="H21" s="46" t="n">
        <x:f>H12-H19</x:f>
        <x:v>2469.4085252865066</x:v>
      </x:c>
      <x:c r="I21" s="46" t="n">
        <x:f>I12-I19</x:f>
        <x:v>2470.087743955027</x:v>
      </x:c>
      <x:c r="J21" s="46" t="n">
        <x:f>J12-J19</x:f>
        <x:v>2483.503730758469</x:v>
      </x:c>
      <x:c r="K21" s="46" t="n">
        <x:f>K12-K19</x:f>
        <x:v>2499.465415250896</x:v>
      </x:c>
      <x:c r="L21" s="46" t="n">
        <x:f>L12-L19</x:f>
        <x:v>2499.8990985870832</x:v>
      </x:c>
      <x:c r="M21" s="46" t="n">
        <x:f>M12-M19</x:f>
        <x:v>2519.6354861620202</x:v>
      </x:c>
      <x:c r="N21" s="46" t="n">
        <x:f>N12-N19</x:f>
        <x:v>2511.353261580425</x:v>
      </x:c>
      <x:c r="O21" s="46" t="n">
        <x:f>O12-O19</x:f>
        <x:v>2488.210852694977</x:v>
      </x:c>
      <x:c r="P21" s="46" t="n">
        <x:f>P12-P19</x:f>
        <x:v>2488.4358857245975</x:v>
      </x:c>
      <x:c r="Q21" s="46" t="n">
        <x:f>Q12-Q19</x:f>
        <x:v>2504.710317712687</x:v>
      </x:c>
      <x:c r="R21" s="46" t="n">
        <x:f>R12-R19</x:f>
        <x:v>2516.778138045536</x:v>
      </x:c>
      <x:c r="S21" s="46" t="n">
        <x:f>S12-S19</x:f>
        <x:v>2524.5115442417764</x:v>
      </x:c>
      <x:c r="T21" s="46" t="n">
        <x:f>T12-T19</x:f>
        <x:v>2682.667939056316</x:v>
      </x:c>
      <x:c r="U21" s="46" t="n">
        <x:f>U12-U19</x:f>
        <x:v>2695.298887047463</x:v>
      </x:c>
      <x:c r="V21" s="46" t="n">
        <x:f>V12-V19</x:f>
        <x:v>2698.033173896221</x:v>
      </x:c>
      <x:c r="W21" s="46" t="n">
        <x:f>W12-W19</x:f>
        <x:v>2680.099376473405</x:v>
      </x:c>
      <x:c r="X21" s="46" t="n">
        <x:f>X12-X19</x:f>
        <x:v>2704.058230565169</x:v>
      </x:c>
      <x:c r="Y21" s="46" t="n">
        <x:f>Y12-Y19</x:f>
        <x:v>2713.8423929614264</x:v>
      </x:c>
      <x:c r="Z21" s="46" t="n">
        <x:f>Z12-Z19</x:f>
        <x:v>2678.6668482521754</x:v>
      </x:c>
      <x:c r="AA21" s="46" t="n">
        <x:f>AA12-AA19</x:f>
        <x:v>2665.8712011407865</x:v>
      </x:c>
      <x:c r="AB21" s="46" t="n">
        <x:f>AB12-AB19</x:f>
        <x:v>2668.4619506070394</x:v>
      </x:c>
      <x:c r="AC21" s="46" t="n">
        <x:f>AC12-AC19</x:f>
        <x:v>3000.8106451028257</x:v>
      </x:c>
      <x:c r="AD21" s="46" t="n">
        <x:f>AD12-AD19</x:f>
        <x:v>3325.067649242873</x:v>
      </x:c>
      <x:c r="AE21" s="46" t="n">
        <x:f>AE12-AE19</x:f>
        <x:v>3669.121705654303</x:v>
      </x:c>
      <x:c r="AF21" s="46" t="n">
        <x:f>AF12-AF19</x:f>
        <x:v>4118.259598711727</x:v>
      </x:c>
      <x:c r="AG21" s="46" t="n">
        <x:f>AG12-AG19</x:f>
        <x:v>4140.42905278182</x:v>
      </x:c>
      <x:c r="AH21" s="46" t="n">
        <x:f>AH12-AH19</x:f>
        <x:v>4145.311348506453</x:v>
      </x:c>
      <x:c r="AI21" s="46" t="n">
        <x:f>AI12-AI19</x:f>
        <x:v>4115.742359534118</x:v>
      </x:c>
      <x:c r="AJ21" s="46" t="n">
        <x:f>AJ12-AJ19</x:f>
        <x:v>4155.724801819621</x:v>
      </x:c>
      <x:c r="AK21" s="46" t="n">
        <x:f>AK12-AK19</x:f>
        <x:v>4194.5328386462625</x:v>
      </x:c>
      <x:c r="AL21" s="46" t="n">
        <x:f>AL12-AL19</x:f>
        <x:v>4068.8457510930857</x:v>
      </x:c>
      <x:c r="AM21" s="46" t="n">
        <x:f>AM12-AM19</x:f>
        <x:v>4036.7751922174834</x:v>
      </x:c>
      <x:c r="AN21" s="46" t="n">
        <x:f>AN12-AN19</x:f>
        <x:v>4039.3790566894327</x:v>
      </x:c>
      <x:c r="AO21" s="46" t="n">
        <x:f>AO12-AO19</x:f>
        <x:v>4101.50485943471</x:v>
      </x:c>
      <x:c r="AP21" s="46" t="n">
        <x:f>AP12-AP19</x:f>
        <x:v>4123.377428107533</x:v>
      </x:c>
      <x:c r="AQ21" s="46" t="n">
        <x:f>AQ12-AQ19</x:f>
        <x:v>4149.117712457757</x:v>
      </x:c>
    </x:row>
  </x:sheetData>
  <x:pageMargins left="0.7" right="0.7" top="0.75" bottom="0.75" header="0.3" footer="0.3"/>
</x:worksheet>
</file>

<file path=xl/worksheets/sheet9.xml><?xml version="1.0" encoding="utf-8"?>
<x:worksheet xmlns:x="http://schemas.openxmlformats.org/spreadsheetml/2006/main">
  <x:sheetViews>
    <x:sheetView showGridLines="1" workbookViewId="0">
      <x:pane xSplit="1" ySplit="4" topLeftCell="B5" activePane="bottomRight" state="frozen"/>
    </x:sheetView>
  </x:sheetViews>
  <x:sheetFormatPr defaultRowHeight="15"/>
  <x:cols>
    <x:col min="1" max="1" width="43"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 min="39" max="39" width="12" hidden="0" customWidth="1"/>
    <x:col min="40" max="40" width="12" hidden="0" customWidth="1"/>
    <x:col min="41" max="41" width="12" hidden="0" customWidth="1"/>
    <x:col min="42" max="42" width="12" hidden="0" customWidth="1"/>
    <x:col min="43" max="43" width="12" hidden="0" customWidth="1"/>
  </x:cols>
  <x:sheetData>
    <x:row r="1">
      <x:c r="A1" s="28" t="str">
        <x:v>Capital One - Imputed Monthly Yield / Rate by line item (annualized)</x:v>
      </x:c>
      <x:c r="B1" s="20"/>
      <x:c r="C1" s="20"/>
      <x:c r="D1" s="20"/>
      <x:c r="E1" s="20"/>
      <x:c r="F1" s="20"/>
      <x:c r="G1" s="20"/>
      <x:c r="H1" s="20"/>
      <x:c r="I1" s="20"/>
      <x:c r="J1" s="20"/>
      <x:c r="K1" s="20"/>
      <x:c r="L1" s="20"/>
      <x:c r="M1" s="20"/>
      <x:c r="N1" s="20"/>
      <x:c r="O1" s="20"/>
      <x:c r="P1" s="20"/>
      <x:c r="Q1" s="20"/>
      <x:c r="R1" s="20"/>
      <x:c r="S1" s="20"/>
      <x:c r="T1" s="20"/>
      <x:c r="U1" s="20"/>
      <x:c r="V1" s="20"/>
      <x:c r="W1" s="20"/>
      <x:c r="X1" s="20"/>
      <x:c r="Y1" s="20"/>
      <x:c r="Z1" s="20"/>
      <x:c r="AA1" s="20"/>
      <x:c r="AB1" s="20"/>
      <x:c r="AC1" s="20"/>
      <x:c r="AD1" s="20"/>
      <x:c r="AE1" s="20"/>
      <x:c r="AF1" s="20"/>
      <x:c r="AG1" s="20"/>
      <x:c r="AH1" s="20"/>
      <x:c r="AI1" s="20"/>
      <x:c r="AJ1" s="20"/>
      <x:c r="AK1" s="20"/>
      <x:c r="AL1" s="20"/>
      <x:c r="AM1" s="20"/>
      <x:c r="AN1" s="20"/>
      <x:c r="AO1" s="20"/>
      <x:c r="AP1" s="20"/>
      <x:c r="AQ1" s="20"/>
    </x:row>
    <x:row r="2" ht="31" customHeight="1">
      <x:c r="A2" s="30" t="str">
        <x:v>Monthly annualized rate equals monthly income or expense times 12 divided by monthly average balance. The rate reflects the disclosed quarterly rate plus the residual adjustment required to match reported quarterly income.</x:v>
      </x:c>
      <x:c r="B2" s="30"/>
      <x:c r="C2" s="30"/>
      <x:c r="D2" s="30"/>
      <x:c r="E2" s="30"/>
      <x:c r="F2" s="30"/>
      <x:c r="G2" s="30"/>
      <x:c r="H2" s="30"/>
      <x:c r="I2" s="30"/>
      <x:c r="J2" s="30"/>
      <x:c r="K2" s="30"/>
      <x:c r="L2" s="30"/>
      <x:c r="M2" s="30"/>
      <x:c r="N2" s="30"/>
      <x:c r="O2" s="30"/>
      <x:c r="P2" s="30"/>
      <x:c r="Q2" s="30"/>
      <x:c r="R2" s="30"/>
      <x:c r="S2" s="30"/>
      <x:c r="T2" s="30"/>
      <x:c r="U2" s="30"/>
      <x:c r="V2" s="30"/>
      <x:c r="W2" s="30"/>
      <x:c r="X2" s="30"/>
      <x:c r="Y2" s="30"/>
      <x:c r="Z2" s="30"/>
      <x:c r="AA2" s="30"/>
      <x:c r="AB2" s="30"/>
      <x:c r="AC2" s="30"/>
      <x:c r="AD2" s="30"/>
      <x:c r="AE2" s="30"/>
      <x:c r="AF2" s="30"/>
      <x:c r="AG2" s="30"/>
      <x:c r="AH2" s="30"/>
      <x:c r="AI2" s="30"/>
      <x:c r="AJ2" s="30"/>
      <x:c r="AK2" s="30"/>
      <x:c r="AL2" s="30"/>
      <x:c r="AM2" s="30"/>
      <x:c r="AN2" s="30"/>
      <x:c r="AO2" s="30"/>
      <x:c r="AP2" s="30"/>
      <x:c r="AQ2" s="30"/>
    </x:row>
    <x:row r="3">
      <x:c r="A3" s="20"/>
      <x:c r="B3" s="20"/>
      <x:c r="C3" s="20"/>
      <x:c r="D3" s="20"/>
      <x:c r="E3" s="20"/>
      <x:c r="F3" s="20"/>
      <x:c r="G3" s="20"/>
      <x:c r="H3" s="20"/>
      <x:c r="I3" s="20"/>
      <x:c r="J3" s="20"/>
      <x:c r="K3" s="20"/>
      <x:c r="L3" s="20"/>
      <x:c r="M3" s="20"/>
      <x:c r="N3" s="20"/>
      <x:c r="O3" s="20"/>
      <x:c r="P3" s="20"/>
      <x:c r="Q3" s="20"/>
      <x:c r="R3" s="20"/>
      <x:c r="S3" s="20"/>
      <x:c r="T3" s="20"/>
      <x:c r="U3" s="20"/>
      <x:c r="V3" s="20"/>
      <x:c r="W3" s="20"/>
      <x:c r="X3" s="20"/>
      <x:c r="Y3" s="20"/>
      <x:c r="Z3" s="20"/>
      <x:c r="AA3" s="20"/>
      <x:c r="AB3" s="20"/>
      <x:c r="AC3" s="20"/>
      <x:c r="AD3" s="20"/>
      <x:c r="AE3" s="20"/>
      <x:c r="AF3" s="20"/>
      <x:c r="AG3" s="20"/>
      <x:c r="AH3" s="20"/>
      <x:c r="AI3" s="20"/>
      <x:c r="AJ3" s="20"/>
      <x:c r="AK3" s="20"/>
      <x:c r="AL3" s="20"/>
      <x:c r="AM3" s="20"/>
      <x:c r="AN3" s="20"/>
      <x:c r="AO3" s="20"/>
      <x:c r="AP3" s="20"/>
      <x:c r="AQ3" s="20"/>
    </x:row>
    <x:row r="4">
      <x:c r="A4" s="26" t="str">
        <x:v>Line item (as disclosed)</x:v>
      </x:c>
      <x:c r="B4" s="31" t="n">
        <x:v>44957</x:v>
      </x:c>
      <x:c r="C4" s="31" t="n">
        <x:v>44985</x:v>
      </x:c>
      <x:c r="D4" s="31" t="n">
        <x:v>45016</x:v>
      </x:c>
      <x:c r="E4" s="31" t="n">
        <x:v>45046</x:v>
      </x:c>
      <x:c r="F4" s="31" t="n">
        <x:v>45077</x:v>
      </x:c>
      <x:c r="G4" s="31" t="n">
        <x:v>45107</x:v>
      </x:c>
      <x:c r="H4" s="31" t="n">
        <x:v>45138</x:v>
      </x:c>
      <x:c r="I4" s="31" t="n">
        <x:v>45169</x:v>
      </x:c>
      <x:c r="J4" s="31" t="n">
        <x:v>45199</x:v>
      </x:c>
      <x:c r="K4" s="31" t="n">
        <x:v>45230</x:v>
      </x:c>
      <x:c r="L4" s="31" t="n">
        <x:v>45260</x:v>
      </x:c>
      <x:c r="M4" s="31" t="n">
        <x:v>45291</x:v>
      </x:c>
      <x:c r="N4" s="31" t="n">
        <x:v>45322</x:v>
      </x:c>
      <x:c r="O4" s="31" t="n">
        <x:v>45351</x:v>
      </x:c>
      <x:c r="P4" s="31" t="n">
        <x:v>45382</x:v>
      </x:c>
      <x:c r="Q4" s="31" t="n">
        <x:v>45412</x:v>
      </x:c>
      <x:c r="R4" s="31" t="n">
        <x:v>45443</x:v>
      </x:c>
      <x:c r="S4" s="31" t="n">
        <x:v>45473</x:v>
      </x:c>
      <x:c r="T4" s="31" t="n">
        <x:v>45504</x:v>
      </x:c>
      <x:c r="U4" s="31" t="n">
        <x:v>45535</x:v>
      </x:c>
      <x:c r="V4" s="31" t="n">
        <x:v>45565</x:v>
      </x:c>
      <x:c r="W4" s="31" t="n">
        <x:v>45596</x:v>
      </x:c>
      <x:c r="X4" s="31" t="n">
        <x:v>45626</x:v>
      </x:c>
      <x:c r="Y4" s="31" t="n">
        <x:v>45657</x:v>
      </x:c>
      <x:c r="Z4" s="31" t="n">
        <x:v>45688</x:v>
      </x:c>
      <x:c r="AA4" s="31" t="n">
        <x:v>45716</x:v>
      </x:c>
      <x:c r="AB4" s="31" t="n">
        <x:v>45747</x:v>
      </x:c>
      <x:c r="AC4" s="31" t="n">
        <x:v>45777</x:v>
      </x:c>
      <x:c r="AD4" s="31" t="n">
        <x:v>45808</x:v>
      </x:c>
      <x:c r="AE4" s="31" t="n">
        <x:v>45838</x:v>
      </x:c>
      <x:c r="AF4" s="31" t="n">
        <x:v>45869</x:v>
      </x:c>
      <x:c r="AG4" s="31" t="n">
        <x:v>45900</x:v>
      </x:c>
      <x:c r="AH4" s="31" t="n">
        <x:v>45930</x:v>
      </x:c>
      <x:c r="AI4" s="31" t="n">
        <x:v>45961</x:v>
      </x:c>
      <x:c r="AJ4" s="31" t="n">
        <x:v>45991</x:v>
      </x:c>
      <x:c r="AK4" s="31" t="n">
        <x:v>46022</x:v>
      </x:c>
      <x:c r="AL4" s="31" t="n">
        <x:v>46053</x:v>
      </x:c>
      <x:c r="AM4" s="31" t="n">
        <x:v>46081</x:v>
      </x:c>
      <x:c r="AN4" s="31" t="n">
        <x:v>46112</x:v>
      </x:c>
      <x:c r="AO4" s="31" t="n">
        <x:v>46142</x:v>
      </x:c>
      <x:c r="AP4" s="31" t="n">
        <x:v>46173</x:v>
      </x:c>
      <x:c r="AQ4" s="31" t="n">
        <x:v>46203</x:v>
      </x:c>
    </x:row>
    <x:row r="5">
      <x:c r="A5" s="32" t="str">
        <x:v>INTEREST-EARNING ASSETS</x:v>
      </x:c>
      <x:c r="B5" s="32"/>
      <x:c r="C5" s="32"/>
      <x:c r="D5" s="32"/>
      <x:c r="E5" s="32"/>
      <x:c r="F5" s="32"/>
      <x:c r="G5" s="32"/>
      <x:c r="H5" s="32"/>
      <x:c r="I5" s="32"/>
      <x:c r="J5" s="32"/>
      <x:c r="K5" s="32"/>
      <x:c r="L5" s="32"/>
      <x:c r="M5" s="32"/>
      <x:c r="N5" s="32"/>
      <x:c r="O5" s="32"/>
      <x:c r="P5" s="32"/>
      <x:c r="Q5" s="32"/>
      <x:c r="R5" s="32"/>
      <x:c r="S5" s="32"/>
      <x:c r="T5" s="32"/>
      <x:c r="U5" s="32"/>
      <x:c r="V5" s="32"/>
      <x:c r="W5" s="32"/>
      <x:c r="X5" s="32"/>
      <x:c r="Y5" s="32"/>
      <x:c r="Z5" s="32"/>
      <x:c r="AA5" s="32"/>
      <x:c r="AB5" s="32"/>
      <x:c r="AC5" s="32"/>
      <x:c r="AD5" s="32"/>
      <x:c r="AE5" s="32"/>
      <x:c r="AF5" s="32"/>
      <x:c r="AG5" s="32"/>
      <x:c r="AH5" s="32"/>
      <x:c r="AI5" s="32"/>
      <x:c r="AJ5" s="32"/>
      <x:c r="AK5" s="32"/>
      <x:c r="AL5" s="32"/>
      <x:c r="AM5" s="32"/>
      <x:c r="AN5" s="32"/>
      <x:c r="AO5" s="32"/>
      <x:c r="AP5" s="32"/>
      <x:c r="AQ5" s="32"/>
    </x:row>
    <x:row r="6">
      <x:c r="A6" s="20" t="str">
        <x:v>  Credit card</x:v>
      </x:c>
      <x:c r="B6" s="48" t="n">
        <x:f>IF('Monthly Avg Balance'!B6=0,"",'Monthly NII'!B6*12/'Monthly Avg Balance'!B6)</x:f>
        <x:v>0.17978896405260306</x:v>
      </x:c>
      <x:c r="C6" s="48" t="n">
        <x:f>IF('Monthly Avg Balance'!C6=0,"",'Monthly NII'!C6*12/'Monthly Avg Balance'!C6)</x:f>
        <x:v>0.17978896405260306</x:v>
      </x:c>
      <x:c r="D6" s="48" t="n">
        <x:f>IF('Monthly Avg Balance'!D6=0,"",'Monthly NII'!D6*12/'Monthly Avg Balance'!D6)</x:f>
        <x:v>0.17978896405260306</x:v>
      </x:c>
      <x:c r="E6" s="48" t="n">
        <x:f>IF('Monthly Avg Balance'!E6=0,"",'Monthly NII'!E6*12/'Monthly Avg Balance'!E6)</x:f>
        <x:v>0.1816635678355746</x:v>
      </x:c>
      <x:c r="F6" s="48" t="n">
        <x:f>IF('Monthly Avg Balance'!F6=0,"",'Monthly NII'!F6*12/'Monthly Avg Balance'!F6)</x:f>
        <x:v>0.18166356783557458</x:v>
      </x:c>
      <x:c r="G6" s="48" t="n">
        <x:f>IF('Monthly Avg Balance'!G6=0,"",'Monthly NII'!G6*12/'Monthly Avg Balance'!G6)</x:f>
        <x:v>0.18166356783557458</x:v>
      </x:c>
      <x:c r="H6" s="48" t="n">
        <x:f>IF('Monthly Avg Balance'!H6=0,"",'Monthly NII'!H6*12/'Monthly Avg Balance'!H6)</x:f>
        <x:v>0.19020777075104303</x:v>
      </x:c>
      <x:c r="I6" s="48" t="n">
        <x:f>IF('Monthly Avg Balance'!I6=0,"",'Monthly NII'!I6*12/'Monthly Avg Balance'!I6)</x:f>
        <x:v>0.190207770751043</x:v>
      </x:c>
      <x:c r="J6" s="48" t="n">
        <x:f>IF('Monthly Avg Balance'!J6=0,"",'Monthly NII'!J6*12/'Monthly Avg Balance'!J6)</x:f>
        <x:v>0.190207770751043</x:v>
      </x:c>
      <x:c r="K6" s="48" t="n">
        <x:f>IF('Monthly Avg Balance'!K6=0,"",'Monthly NII'!K6*12/'Monthly Avg Balance'!K6)</x:f>
        <x:v>0.18899891937237298</x:v>
      </x:c>
      <x:c r="L6" s="48" t="n">
        <x:f>IF('Monthly Avg Balance'!L6=0,"",'Monthly NII'!L6*12/'Monthly Avg Balance'!L6)</x:f>
        <x:v>0.188998919372373</x:v>
      </x:c>
      <x:c r="M6" s="48" t="n">
        <x:f>IF('Monthly Avg Balance'!M6=0,"",'Monthly NII'!M6*12/'Monthly Avg Balance'!M6)</x:f>
        <x:v>0.18899891937237304</x:v>
      </x:c>
      <x:c r="N6" s="48" t="n">
        <x:f>IF('Monthly Avg Balance'!N6=0,"",'Monthly NII'!N6*12/'Monthly Avg Balance'!N6)</x:f>
        <x:v>0.18852465638788732</x:v>
      </x:c>
      <x:c r="O6" s="48" t="n">
        <x:f>IF('Monthly Avg Balance'!O6=0,"",'Monthly NII'!O6*12/'Monthly Avg Balance'!O6)</x:f>
        <x:v>0.18852465638788737</x:v>
      </x:c>
      <x:c r="P6" s="48" t="n">
        <x:f>IF('Monthly Avg Balance'!P6=0,"",'Monthly NII'!P6*12/'Monthly Avg Balance'!P6)</x:f>
        <x:v>0.18852465638788732</x:v>
      </x:c>
      <x:c r="Q6" s="48" t="n">
        <x:f>IF('Monthly Avg Balance'!Q6=0,"",'Monthly NII'!Q6*12/'Monthly Avg Balance'!Q6)</x:f>
        <x:v>0.18795271768406724</x:v>
      </x:c>
      <x:c r="R6" s="48" t="n">
        <x:f>IF('Monthly Avg Balance'!R6=0,"",'Monthly NII'!R6*12/'Monthly Avg Balance'!R6)</x:f>
        <x:v>0.18795271768406724</x:v>
      </x:c>
      <x:c r="S6" s="48" t="n">
        <x:f>IF('Monthly Avg Balance'!S6=0,"",'Monthly NII'!S6*12/'Monthly Avg Balance'!S6)</x:f>
        <x:v>0.1879527176840672</x:v>
      </x:c>
      <x:c r="T6" s="48" t="n">
        <x:f>IF('Monthly Avg Balance'!T6=0,"",'Monthly NII'!T6*12/'Monthly Avg Balance'!T6)</x:f>
        <x:v>0.19632418227633983</x:v>
      </x:c>
      <x:c r="U6" s="48" t="n">
        <x:f>IF('Monthly Avg Balance'!U6=0,"",'Monthly NII'!U6*12/'Monthly Avg Balance'!U6)</x:f>
        <x:v>0.19632418227633983</x:v>
      </x:c>
      <x:c r="V6" s="48" t="n">
        <x:f>IF('Monthly Avg Balance'!V6=0,"",'Monthly NII'!V6*12/'Monthly Avg Balance'!V6)</x:f>
        <x:v>0.19632418227633983</x:v>
      </x:c>
      <x:c r="W6" s="48" t="n">
        <x:f>IF('Monthly Avg Balance'!W6=0,"",'Monthly NII'!W6*12/'Monthly Avg Balance'!W6)</x:f>
        <x:v>0.19051424295377017</x:v>
      </x:c>
      <x:c r="X6" s="48" t="n">
        <x:f>IF('Monthly Avg Balance'!X6=0,"",'Monthly NII'!X6*12/'Monthly Avg Balance'!X6)</x:f>
        <x:v>0.19051424295377017</x:v>
      </x:c>
      <x:c r="Y6" s="48" t="n">
        <x:f>IF('Monthly Avg Balance'!Y6=0,"",'Monthly NII'!Y6*12/'Monthly Avg Balance'!Y6)</x:f>
        <x:v>0.19051424295377017</x:v>
      </x:c>
      <x:c r="Z6" s="48" t="n">
        <x:f>IF('Monthly Avg Balance'!Z6=0,"",'Monthly NII'!Z6*12/'Monthly Avg Balance'!Z6)</x:f>
        <x:v>0.1861635374169502</x:v>
      </x:c>
      <x:c r="AA6" s="48" t="n">
        <x:f>IF('Monthly Avg Balance'!AA6=0,"",'Monthly NII'!AA6*12/'Monthly Avg Balance'!AA6)</x:f>
        <x:v>0.18616353741695021</x:v>
      </x:c>
      <x:c r="AB6" s="48" t="n">
        <x:f>IF('Monthly Avg Balance'!AB6=0,"",'Monthly NII'!AB6*12/'Monthly Avg Balance'!AB6)</x:f>
        <x:v>0.18616353741695021</x:v>
      </x:c>
      <x:c r="AC6" s="48" t="n">
        <x:f>IF('Monthly Avg Balance'!AC6=0,"",'Monthly NII'!AC6*12/'Monthly Avg Balance'!AC6)</x:f>
        <x:v>0.17674241937148993</x:v>
      </x:c>
      <x:c r="AD6" s="48" t="n">
        <x:f>IF('Monthly Avg Balance'!AD6=0,"",'Monthly NII'!AD6*12/'Monthly Avg Balance'!AD6)</x:f>
        <x:v>0.17674241937148993</x:v>
      </x:c>
      <x:c r="AE6" s="48" t="n">
        <x:f>IF('Monthly Avg Balance'!AE6=0,"",'Monthly NII'!AE6*12/'Monthly Avg Balance'!AE6)</x:f>
        <x:v>0.17674241937148993</x:v>
      </x:c>
      <x:c r="AF6" s="48" t="n">
        <x:f>IF('Monthly Avg Balance'!AF6=0,"",'Monthly NII'!AF6*12/'Monthly Avg Balance'!AF6)</x:f>
        <x:v>0.17729446583931205</x:v>
      </x:c>
      <x:c r="AG6" s="48" t="n">
        <x:f>IF('Monthly Avg Balance'!AG6=0,"",'Monthly NII'!AG6*12/'Monthly Avg Balance'!AG6)</x:f>
        <x:v>0.177294465839312</x:v>
      </x:c>
      <x:c r="AH6" s="48" t="n">
        <x:f>IF('Monthly Avg Balance'!AH6=0,"",'Monthly NII'!AH6*12/'Monthly Avg Balance'!AH6)</x:f>
        <x:v>0.17729446583931205</x:v>
      </x:c>
      <x:c r="AI6" s="48" t="n">
        <x:f>IF('Monthly Avg Balance'!AI6=0,"",'Monthly NII'!AI6*12/'Monthly Avg Balance'!AI6)</x:f>
        <x:v>0.1770349923990321</x:v>
      </x:c>
      <x:c r="AJ6" s="48" t="n">
        <x:f>IF('Monthly Avg Balance'!AJ6=0,"",'Monthly NII'!AJ6*12/'Monthly Avg Balance'!AJ6)</x:f>
        <x:v>0.1770349923990321</x:v>
      </x:c>
      <x:c r="AK6" s="48" t="n">
        <x:f>IF('Monthly Avg Balance'!AK6=0,"",'Monthly NII'!AK6*12/'Monthly Avg Balance'!AK6)</x:f>
        <x:v>0.17703499239903212</x:v>
      </x:c>
      <x:c r="AL6" s="48" t="n">
        <x:f>IF('Monthly Avg Balance'!AL6=0,"",'Monthly NII'!AL6*12/'Monthly Avg Balance'!AL6)</x:f>
        <x:v>0.1724720067190962</x:v>
      </x:c>
      <x:c r="AM6" s="48" t="n">
        <x:f>IF('Monthly Avg Balance'!AM6=0,"",'Monthly NII'!AM6*12/'Monthly Avg Balance'!AM6)</x:f>
        <x:v>0.1724720067190962</x:v>
      </x:c>
      <x:c r="AN6" s="48" t="n">
        <x:f>IF('Monthly Avg Balance'!AN6=0,"",'Monthly NII'!AN6*12/'Monthly Avg Balance'!AN6)</x:f>
        <x:v>0.17247200671909618</x:v>
      </x:c>
      <x:c r="AO6" s="48" t="n">
        <x:f>IF('Monthly Avg Balance'!AO6=0,"",'Monthly NII'!AO6*12/'Monthly Avg Balance'!AO6)</x:f>
        <x:v>0.17256975848575984</x:v>
      </x:c>
      <x:c r="AP6" s="48" t="n">
        <x:f>IF('Monthly Avg Balance'!AP6=0,"",'Monthly NII'!AP6*12/'Monthly Avg Balance'!AP6)</x:f>
        <x:v>0.17256975848575984</x:v>
      </x:c>
      <x:c r="AQ6" s="48" t="n">
        <x:f>IF('Monthly Avg Balance'!AQ6=0,"",'Monthly NII'!AQ6*12/'Monthly Avg Balance'!AQ6)</x:f>
        <x:v>0.17256975848575987</x:v>
      </x:c>
    </x:row>
    <x:row r="7">
      <x:c r="A7" s="20" t="str">
        <x:v>  Consumer banking</x:v>
      </x:c>
      <x:c r="B7" s="48" t="n">
        <x:f>IF('Monthly Avg Balance'!B7=0,"",'Monthly NII'!B7*12/'Monthly Avg Balance'!B7)</x:f>
        <x:v>0.0739746835443038</x:v>
      </x:c>
      <x:c r="C7" s="48" t="n">
        <x:f>IF('Monthly Avg Balance'!C7=0,"",'Monthly NII'!C7*12/'Monthly Avg Balance'!C7)</x:f>
        <x:v>0.0739746835443038</x:v>
      </x:c>
      <x:c r="D7" s="48" t="n">
        <x:f>IF('Monthly Avg Balance'!D7=0,"",'Monthly NII'!D7*12/'Monthly Avg Balance'!D7)</x:f>
        <x:v>0.0739746835443038</x:v>
      </x:c>
      <x:c r="E7" s="48" t="n">
        <x:f>IF('Monthly Avg Balance'!E7=0,"",'Monthly NII'!E7*12/'Monthly Avg Balance'!E7)</x:f>
        <x:v>0.07650034105973048</x:v>
      </x:c>
      <x:c r="F7" s="48" t="n">
        <x:f>IF('Monthly Avg Balance'!F7=0,"",'Monthly NII'!F7*12/'Monthly Avg Balance'!F7)</x:f>
        <x:v>0.0765003410597305</x:v>
      </x:c>
      <x:c r="G7" s="48" t="n">
        <x:f>IF('Monthly Avg Balance'!G7=0,"",'Monthly NII'!G7*12/'Monthly Avg Balance'!G7)</x:f>
        <x:v>0.0765003410597305</x:v>
      </x:c>
      <x:c r="H7" s="48" t="n">
        <x:f>IF('Monthly Avg Balance'!H7=0,"",'Monthly NII'!H7*12/'Monthly Avg Balance'!H7)</x:f>
        <x:v>0.07968478627161261</x:v>
      </x:c>
      <x:c r="I7" s="48" t="n">
        <x:f>IF('Monthly Avg Balance'!I7=0,"",'Monthly NII'!I7*12/'Monthly Avg Balance'!I7)</x:f>
        <x:v>0.07968478627161261</x:v>
      </x:c>
      <x:c r="J7" s="48" t="n">
        <x:f>IF('Monthly Avg Balance'!J7=0,"",'Monthly NII'!J7*12/'Monthly Avg Balance'!J7)</x:f>
        <x:v>0.0796847862716126</x:v>
      </x:c>
      <x:c r="K7" s="48" t="n">
        <x:f>IF('Monthly Avg Balance'!K7=0,"",'Monthly NII'!K7*12/'Monthly Avg Balance'!K7)</x:f>
        <x:v>0.08217167157664636</x:v>
      </x:c>
      <x:c r="L7" s="48" t="n">
        <x:f>IF('Monthly Avg Balance'!L7=0,"",'Monthly NII'!L7*12/'Monthly Avg Balance'!L7)</x:f>
        <x:v>0.08217167157664636</x:v>
      </x:c>
      <x:c r="M7" s="48" t="n">
        <x:f>IF('Monthly Avg Balance'!M7=0,"",'Monthly NII'!M7*12/'Monthly Avg Balance'!M7)</x:f>
        <x:v>0.08217167157664637</x:v>
      </x:c>
      <x:c r="N7" s="48" t="n">
        <x:f>IF('Monthly Avg Balance'!N7=0,"",'Monthly NII'!N7*12/'Monthly Avg Balance'!N7)</x:f>
        <x:v>0.08367223629729612</x:v>
      </x:c>
      <x:c r="O7" s="48" t="n">
        <x:f>IF('Monthly Avg Balance'!O7=0,"",'Monthly NII'!O7*12/'Monthly Avg Balance'!O7)</x:f>
        <x:v>0.08367223629729612</x:v>
      </x:c>
      <x:c r="P7" s="48" t="n">
        <x:f>IF('Monthly Avg Balance'!P7=0,"",'Monthly NII'!P7*12/'Monthly Avg Balance'!P7)</x:f>
        <x:v>0.0836722362972961</x:v>
      </x:c>
      <x:c r="Q7" s="48" t="n">
        <x:f>IF('Monthly Avg Balance'!Q7=0,"",'Monthly NII'!Q7*12/'Monthly Avg Balance'!Q7)</x:f>
        <x:v>0.08551252631936695</x:v>
      </x:c>
      <x:c r="R7" s="48" t="n">
        <x:f>IF('Monthly Avg Balance'!R7=0,"",'Monthly NII'!R7*12/'Monthly Avg Balance'!R7)</x:f>
        <x:v>0.08551252631936695</x:v>
      </x:c>
      <x:c r="S7" s="48" t="n">
        <x:f>IF('Monthly Avg Balance'!S7=0,"",'Monthly NII'!S7*12/'Monthly Avg Balance'!S7)</x:f>
        <x:v>0.08551252631936695</x:v>
      </x:c>
      <x:c r="T7" s="48" t="n">
        <x:f>IF('Monthly Avg Balance'!T7=0,"",'Monthly NII'!T7*12/'Monthly Avg Balance'!T7)</x:f>
        <x:v>0.08886579449875923</x:v>
      </x:c>
      <x:c r="U7" s="48" t="n">
        <x:f>IF('Monthly Avg Balance'!U7=0,"",'Monthly NII'!U7*12/'Monthly Avg Balance'!U7)</x:f>
        <x:v>0.08886579449875924</x:v>
      </x:c>
      <x:c r="V7" s="48" t="n">
        <x:f>IF('Monthly Avg Balance'!V7=0,"",'Monthly NII'!V7*12/'Monthly Avg Balance'!V7)</x:f>
        <x:v>0.08886579449875924</x:v>
      </x:c>
      <x:c r="W7" s="48" t="n">
        <x:f>IF('Monthly Avg Balance'!W7=0,"",'Monthly NII'!W7*12/'Monthly Avg Balance'!W7)</x:f>
        <x:v>0.09050266541693</x:v>
      </x:c>
      <x:c r="X7" s="48" t="n">
        <x:f>IF('Monthly Avg Balance'!X7=0,"",'Monthly NII'!X7*12/'Monthly Avg Balance'!X7)</x:f>
        <x:v>0.09050266541692999</x:v>
      </x:c>
      <x:c r="Y7" s="48" t="n">
        <x:f>IF('Monthly Avg Balance'!Y7=0,"",'Monthly NII'!Y7*12/'Monthly Avg Balance'!Y7)</x:f>
        <x:v>0.09050266541693</x:v>
      </x:c>
      <x:c r="Z7" s="48" t="n">
        <x:f>IF('Monthly Avg Balance'!Z7=0,"",'Monthly NII'!Z7*12/'Monthly Avg Balance'!Z7)</x:f>
        <x:v>0.09041935591673281</x:v>
      </x:c>
      <x:c r="AA7" s="48" t="n">
        <x:f>IF('Monthly Avg Balance'!AA7=0,"",'Monthly NII'!AA7*12/'Monthly Avg Balance'!AA7)</x:f>
        <x:v>0.09041935591673281</x:v>
      </x:c>
      <x:c r="AB7" s="48" t="n">
        <x:f>IF('Monthly Avg Balance'!AB7=0,"",'Monthly NII'!AB7*12/'Monthly Avg Balance'!AB7)</x:f>
        <x:v>0.09041935591673281</x:v>
      </x:c>
      <x:c r="AC7" s="48" t="n">
        <x:f>IF('Monthly Avg Balance'!AC7=0,"",'Monthly NII'!AC7*12/'Monthly Avg Balance'!AC7)</x:f>
        <x:v>0.09520644630391224</x:v>
      </x:c>
      <x:c r="AD7" s="48" t="n">
        <x:f>IF('Monthly Avg Balance'!AD7=0,"",'Monthly NII'!AD7*12/'Monthly Avg Balance'!AD7)</x:f>
        <x:v>0.09520644630391223</x:v>
      </x:c>
      <x:c r="AE7" s="48" t="n">
        <x:f>IF('Monthly Avg Balance'!AE7=0,"",'Monthly NII'!AE7*12/'Monthly Avg Balance'!AE7)</x:f>
        <x:v>0.09520644630391224</x:v>
      </x:c>
      <x:c r="AF7" s="48" t="n">
        <x:f>IF('Monthly Avg Balance'!AF7=0,"",'Monthly NII'!AF7*12/'Monthly Avg Balance'!AF7)</x:f>
        <x:v>0.09737391977627828</x:v>
      </x:c>
      <x:c r="AG7" s="48" t="n">
        <x:f>IF('Monthly Avg Balance'!AG7=0,"",'Monthly NII'!AG7*12/'Monthly Avg Balance'!AG7)</x:f>
        <x:v>0.0973739197762783</x:v>
      </x:c>
      <x:c r="AH7" s="48" t="n">
        <x:f>IF('Monthly Avg Balance'!AH7=0,"",'Monthly NII'!AH7*12/'Monthly Avg Balance'!AH7)</x:f>
        <x:v>0.0973739197762783</x:v>
      </x:c>
      <x:c r="AI7" s="48" t="n">
        <x:f>IF('Monthly Avg Balance'!AI7=0,"",'Monthly NII'!AI7*12/'Monthly Avg Balance'!AI7)</x:f>
        <x:v>0.09587685325874801</x:v>
      </x:c>
      <x:c r="AJ7" s="48" t="n">
        <x:f>IF('Monthly Avg Balance'!AJ7=0,"",'Monthly NII'!AJ7*12/'Monthly Avg Balance'!AJ7)</x:f>
        <x:v>0.09587685325874801</x:v>
      </x:c>
      <x:c r="AK7" s="48" t="n">
        <x:f>IF('Monthly Avg Balance'!AK7=0,"",'Monthly NII'!AK7*12/'Monthly Avg Balance'!AK7)</x:f>
        <x:v>0.09587685325874801</x:v>
      </x:c>
      <x:c r="AL7" s="48" t="n">
        <x:f>IF('Monthly Avg Balance'!AL7=0,"",'Monthly NII'!AL7*12/'Monthly Avg Balance'!AL7)</x:f>
        <x:v>0.09426954862613154</x:v>
      </x:c>
      <x:c r="AM7" s="48" t="n">
        <x:f>IF('Monthly Avg Balance'!AM7=0,"",'Monthly NII'!AM7*12/'Monthly Avg Balance'!AM7)</x:f>
        <x:v>0.09426954862613156</x:v>
      </x:c>
      <x:c r="AN7" s="48" t="n">
        <x:f>IF('Monthly Avg Balance'!AN7=0,"",'Monthly NII'!AN7*12/'Monthly Avg Balance'!AN7)</x:f>
        <x:v>0.09426954862613156</x:v>
      </x:c>
      <x:c r="AO7" s="48" t="n">
        <x:f>IF('Monthly Avg Balance'!AO7=0,"",'Monthly NII'!AO7*12/'Monthly Avg Balance'!AO7)</x:f>
        <x:v>0.09551427625072216</x:v>
      </x:c>
      <x:c r="AP7" s="48" t="n">
        <x:f>IF('Monthly Avg Balance'!AP7=0,"",'Monthly NII'!AP7*12/'Monthly Avg Balance'!AP7)</x:f>
        <x:v>0.09551427625072217</x:v>
      </x:c>
      <x:c r="AQ7" s="48" t="n">
        <x:f>IF('Monthly Avg Balance'!AQ7=0,"",'Monthly NII'!AQ7*12/'Monthly Avg Balance'!AQ7)</x:f>
        <x:v>0.09551427625072219</x:v>
      </x:c>
    </x:row>
    <x:row r="8">
      <x:c r="A8" s="20" t="str">
        <x:v>  Commercial banking</x:v>
      </x:c>
      <x:c r="B8" s="48" t="n">
        <x:f>IF('Monthly Avg Balance'!B8=0,"",'Monthly NII'!B8*12/'Monthly Avg Balance'!B8)</x:f>
        <x:v>0.06302013849183659</x:v>
      </x:c>
      <x:c r="C8" s="48" t="n">
        <x:f>IF('Monthly Avg Balance'!C8=0,"",'Monthly NII'!C8*12/'Monthly Avg Balance'!C8)</x:f>
        <x:v>0.06302013849183659</x:v>
      </x:c>
      <x:c r="D8" s="48" t="n">
        <x:f>IF('Monthly Avg Balance'!D8=0,"",'Monthly NII'!D8*12/'Monthly Avg Balance'!D8)</x:f>
        <x:v>0.06302013849183659</x:v>
      </x:c>
      <x:c r="E8" s="48" t="n">
        <x:f>IF('Monthly Avg Balance'!E8=0,"",'Monthly NII'!E8*12/'Monthly Avg Balance'!E8)</x:f>
        <x:v>0.06732428574472166</x:v>
      </x:c>
      <x:c r="F8" s="48" t="n">
        <x:f>IF('Monthly Avg Balance'!F8=0,"",'Monthly NII'!F8*12/'Monthly Avg Balance'!F8)</x:f>
        <x:v>0.06732428574472164</x:v>
      </x:c>
      <x:c r="G8" s="48" t="n">
        <x:f>IF('Monthly Avg Balance'!G8=0,"",'Monthly NII'!G8*12/'Monthly Avg Balance'!G8)</x:f>
        <x:v>0.06732428574472164</x:v>
      </x:c>
      <x:c r="H8" s="48" t="n">
        <x:f>IF('Monthly Avg Balance'!H8=0,"",'Monthly NII'!H8*12/'Monthly Avg Balance'!H8)</x:f>
        <x:v>0.0711947449433087</x:v>
      </x:c>
      <x:c r="I8" s="48" t="n">
        <x:f>IF('Monthly Avg Balance'!I8=0,"",'Monthly NII'!I8*12/'Monthly Avg Balance'!I8)</x:f>
        <x:v>0.07119474494330869</x:v>
      </x:c>
      <x:c r="J8" s="48" t="n">
        <x:f>IF('Monthly Avg Balance'!J8=0,"",'Monthly NII'!J8*12/'Monthly Avg Balance'!J8)</x:f>
        <x:v>0.0711947449433087</x:v>
      </x:c>
      <x:c r="K8" s="48" t="n">
        <x:f>IF('Monthly Avg Balance'!K8=0,"",'Monthly NII'!K8*12/'Monthly Avg Balance'!K8)</x:f>
        <x:v>0.07247262326457019</x:v>
      </x:c>
      <x:c r="L8" s="48" t="n">
        <x:f>IF('Monthly Avg Balance'!L8=0,"",'Monthly NII'!L8*12/'Monthly Avg Balance'!L8)</x:f>
        <x:v>0.07247262326457016</x:v>
      </x:c>
      <x:c r="M8" s="48" t="n">
        <x:f>IF('Monthly Avg Balance'!M8=0,"",'Monthly NII'!M8*12/'Monthly Avg Balance'!M8)</x:f>
        <x:v>0.07247262326457017</x:v>
      </x:c>
      <x:c r="N8" s="48" t="n">
        <x:f>IF('Monthly Avg Balance'!N8=0,"",'Monthly NII'!N8*12/'Monthly Avg Balance'!N8)</x:f>
        <x:v>0.0715634845113661</x:v>
      </x:c>
      <x:c r="O8" s="48" t="n">
        <x:f>IF('Monthly Avg Balance'!O8=0,"",'Monthly NII'!O8*12/'Monthly Avg Balance'!O8)</x:f>
        <x:v>0.0715634845113661</x:v>
      </x:c>
      <x:c r="P8" s="48" t="n">
        <x:f>IF('Monthly Avg Balance'!P8=0,"",'Monthly NII'!P8*12/'Monthly Avg Balance'!P8)</x:f>
        <x:v>0.0715634845113661</x:v>
      </x:c>
      <x:c r="Q8" s="48" t="n">
        <x:f>IF('Monthly Avg Balance'!Q8=0,"",'Monthly NII'!Q8*12/'Monthly Avg Balance'!Q8)</x:f>
        <x:v>0.07235537100602286</x:v>
      </x:c>
      <x:c r="R8" s="48" t="n">
        <x:f>IF('Monthly Avg Balance'!R8=0,"",'Monthly NII'!R8*12/'Monthly Avg Balance'!R8)</x:f>
        <x:v>0.07235537100602288</x:v>
      </x:c>
      <x:c r="S8" s="48" t="n">
        <x:f>IF('Monthly Avg Balance'!S8=0,"",'Monthly NII'!S8*12/'Monthly Avg Balance'!S8)</x:f>
        <x:v>0.07235537100602288</x:v>
      </x:c>
      <x:c r="T8" s="48" t="n">
        <x:f>IF('Monthly Avg Balance'!T8=0,"",'Monthly NII'!T8*12/'Monthly Avg Balance'!T8)</x:f>
        <x:v>0.07278015086729321</x:v>
      </x:c>
      <x:c r="U8" s="48" t="n">
        <x:f>IF('Monthly Avg Balance'!U8=0,"",'Monthly NII'!U8*12/'Monthly Avg Balance'!U8)</x:f>
        <x:v>0.07278015086729323</x:v>
      </x:c>
      <x:c r="V8" s="48" t="n">
        <x:f>IF('Monthly Avg Balance'!V8=0,"",'Monthly NII'!V8*12/'Monthly Avg Balance'!V8)</x:f>
        <x:v>0.07278015086729321</x:v>
      </x:c>
      <x:c r="W8" s="48" t="n">
        <x:f>IF('Monthly Avg Balance'!W8=0,"",'Monthly NII'!W8*12/'Monthly Avg Balance'!W8)</x:f>
        <x:v>0.06749613187198522</x:v>
      </x:c>
      <x:c r="X8" s="48" t="n">
        <x:f>IF('Monthly Avg Balance'!X8=0,"",'Monthly NII'!X8*12/'Monthly Avg Balance'!X8)</x:f>
        <x:v>0.06749613187198525</x:v>
      </x:c>
      <x:c r="Y8" s="48" t="n">
        <x:f>IF('Monthly Avg Balance'!Y8=0,"",'Monthly NII'!Y8*12/'Monthly Avg Balance'!Y8)</x:f>
        <x:v>0.06749613187198523</x:v>
      </x:c>
      <x:c r="Z8" s="48" t="n">
        <x:f>IF('Monthly Avg Balance'!Z8=0,"",'Monthly NII'!Z8*12/'Monthly Avg Balance'!Z8)</x:f>
        <x:v>0.06308203292971686</x:v>
      </x:c>
      <x:c r="AA8" s="48" t="n">
        <x:f>IF('Monthly Avg Balance'!AA8=0,"",'Monthly NII'!AA8*12/'Monthly Avg Balance'!AA8)</x:f>
        <x:v>0.06308203292971687</x:v>
      </x:c>
      <x:c r="AB8" s="48" t="n">
        <x:f>IF('Monthly Avg Balance'!AB8=0,"",'Monthly NII'!AB8*12/'Monthly Avg Balance'!AB8)</x:f>
        <x:v>0.06308203292971687</x:v>
      </x:c>
      <x:c r="AC8" s="48" t="n">
        <x:f>IF('Monthly Avg Balance'!AC8=0,"",'Monthly NII'!AC8*12/'Monthly Avg Balance'!AC8)</x:f>
        <x:v>0.06572507048300932</x:v>
      </x:c>
      <x:c r="AD8" s="48" t="n">
        <x:f>IF('Monthly Avg Balance'!AD8=0,"",'Monthly NII'!AD8*12/'Monthly Avg Balance'!AD8)</x:f>
        <x:v>0.06572507048300932</x:v>
      </x:c>
      <x:c r="AE8" s="48" t="n">
        <x:f>IF('Monthly Avg Balance'!AE8=0,"",'Monthly NII'!AE8*12/'Monthly Avg Balance'!AE8)</x:f>
        <x:v>0.06572507048300932</x:v>
      </x:c>
      <x:c r="AF8" s="48" t="n">
        <x:f>IF('Monthly Avg Balance'!AF8=0,"",'Monthly NII'!AF8*12/'Monthly Avg Balance'!AF8)</x:f>
        <x:v>0.06597125268286631</x:v>
      </x:c>
      <x:c r="AG8" s="48" t="n">
        <x:f>IF('Monthly Avg Balance'!AG8=0,"",'Monthly NII'!AG8*12/'Monthly Avg Balance'!AG8)</x:f>
        <x:v>0.06597125268286633</x:v>
      </x:c>
      <x:c r="AH8" s="48" t="n">
        <x:f>IF('Monthly Avg Balance'!AH8=0,"",'Monthly NII'!AH8*12/'Monthly Avg Balance'!AH8)</x:f>
        <x:v>0.06597125268286633</x:v>
      </x:c>
      <x:c r="AI8" s="48" t="n">
        <x:f>IF('Monthly Avg Balance'!AI8=0,"",'Monthly NII'!AI8*12/'Monthly Avg Balance'!AI8)</x:f>
        <x:v>0.061020021183302534</x:v>
      </x:c>
      <x:c r="AJ8" s="48" t="n">
        <x:f>IF('Monthly Avg Balance'!AJ8=0,"",'Monthly NII'!AJ8*12/'Monthly Avg Balance'!AJ8)</x:f>
        <x:v>0.061020021183302534</x:v>
      </x:c>
      <x:c r="AK8" s="48" t="n">
        <x:f>IF('Monthly Avg Balance'!AK8=0,"",'Monthly NII'!AK8*12/'Monthly Avg Balance'!AK8)</x:f>
        <x:v>0.06102002118330254</x:v>
      </x:c>
      <x:c r="AL8" s="48" t="n">
        <x:f>IF('Monthly Avg Balance'!AL8=0,"",'Monthly NII'!AL8*12/'Monthly Avg Balance'!AL8)</x:f>
        <x:v>0.05685190715709724</x:v>
      </x:c>
      <x:c r="AM8" s="48" t="n">
        <x:f>IF('Monthly Avg Balance'!AM8=0,"",'Monthly NII'!AM8*12/'Monthly Avg Balance'!AM8)</x:f>
        <x:v>0.056851907157097224</x:v>
      </x:c>
      <x:c r="AN8" s="48" t="n">
        <x:f>IF('Monthly Avg Balance'!AN8=0,"",'Monthly NII'!AN8*12/'Monthly Avg Balance'!AN8)</x:f>
        <x:v>0.05685190715709723</x:v>
      </x:c>
      <x:c r="AO8" s="48" t="n">
        <x:f>IF('Monthly Avg Balance'!AO8=0,"",'Monthly NII'!AO8*12/'Monthly Avg Balance'!AO8)</x:f>
        <x:v>0.0574911726194103</x:v>
      </x:c>
      <x:c r="AP8" s="48" t="n">
        <x:f>IF('Monthly Avg Balance'!AP8=0,"",'Monthly NII'!AP8*12/'Monthly Avg Balance'!AP8)</x:f>
        <x:v>0.057491172619410294</x:v>
      </x:c>
      <x:c r="AQ8" s="48" t="n">
        <x:f>IF('Monthly Avg Balance'!AQ8=0,"",'Monthly NII'!AQ8*12/'Monthly Avg Balance'!AQ8)</x:f>
        <x:v>0.0574911726194103</x:v>
      </x:c>
    </x:row>
    <x:row r="9">
      <x:c r="A9" s="26" t="str">
        <x:v>  Total loans (incl. HFS)</x:v>
      </x:c>
      <x:c r="B9" s="51" t="n">
        <x:f>IF('Monthly Avg Balance'!B9=0,"",'Monthly NII'!B9*12/'Monthly Avg Balance'!B9)</x:f>
        <x:v>0.11324343183551595</x:v>
      </x:c>
      <x:c r="C9" s="51" t="n">
        <x:f>IF('Monthly Avg Balance'!C9=0,"",'Monthly NII'!C9*12/'Monthly Avg Balance'!C9)</x:f>
        <x:v>0.11324343183551595</x:v>
      </x:c>
      <x:c r="D9" s="51" t="n">
        <x:f>IF('Monthly Avg Balance'!D9=0,"",'Monthly NII'!D9*12/'Monthly Avg Balance'!D9)</x:f>
        <x:v>0.11324343183551595</x:v>
      </x:c>
      <x:c r="E9" s="51" t="n">
        <x:f>IF('Monthly Avg Balance'!E9=0,"",'Monthly NII'!E9*12/'Monthly Avg Balance'!E9)</x:f>
        <x:v>0.11673836338150707</x:v>
      </x:c>
      <x:c r="F9" s="51" t="n">
        <x:f>IF('Monthly Avg Balance'!F9=0,"",'Monthly NII'!F9*12/'Monthly Avg Balance'!F9)</x:f>
        <x:v>0.11673836338150709</x:v>
      </x:c>
      <x:c r="G9" s="51" t="n">
        <x:f>IF('Monthly Avg Balance'!G9=0,"",'Monthly NII'!G9*12/'Monthly Avg Balance'!G9)</x:f>
        <x:v>0.11673836338150706</x:v>
      </x:c>
      <x:c r="H9" s="51" t="n">
        <x:f>IF('Monthly Avg Balance'!H9=0,"",'Monthly NII'!H9*12/'Monthly Avg Balance'!H9)</x:f>
        <x:v>0.12372831069893864</x:v>
      </x:c>
      <x:c r="I9" s="51" t="n">
        <x:f>IF('Monthly Avg Balance'!I9=0,"",'Monthly NII'!I9*12/'Monthly Avg Balance'!I9)</x:f>
        <x:v>0.12372831069893866</x:v>
      </x:c>
      <x:c r="J9" s="51" t="n">
        <x:f>IF('Monthly Avg Balance'!J9=0,"",'Monthly NII'!J9*12/'Monthly Avg Balance'!J9)</x:f>
        <x:v>0.12372831069893864</x:v>
      </x:c>
      <x:c r="K9" s="51" t="n">
        <x:f>IF('Monthly Avg Balance'!K9=0,"",'Monthly NII'!K9*12/'Monthly Avg Balance'!K9)</x:f>
        <x:v>0.1255528774377557</x:v>
      </x:c>
      <x:c r="L9" s="51" t="n">
        <x:f>IF('Monthly Avg Balance'!L9=0,"",'Monthly NII'!L9*12/'Monthly Avg Balance'!L9)</x:f>
        <x:v>0.1255528774377557</x:v>
      </x:c>
      <x:c r="M9" s="51" t="n">
        <x:f>IF('Monthly Avg Balance'!M9=0,"",'Monthly NII'!M9*12/'Monthly Avg Balance'!M9)</x:f>
        <x:v>0.1255528774377557</x:v>
      </x:c>
      <x:c r="N9" s="51" t="n">
        <x:f>IF('Monthly Avg Balance'!N9=0,"",'Monthly NII'!N9*12/'Monthly Avg Balance'!N9)</x:f>
        <x:v>0.12604307954245855</x:v>
      </x:c>
      <x:c r="O9" s="51" t="n">
        <x:f>IF('Monthly Avg Balance'!O9=0,"",'Monthly NII'!O9*12/'Monthly Avg Balance'!O9)</x:f>
        <x:v>0.12604307954245852</x:v>
      </x:c>
      <x:c r="P9" s="51" t="n">
        <x:f>IF('Monthly Avg Balance'!P9=0,"",'Monthly NII'!P9*12/'Monthly Avg Balance'!P9)</x:f>
        <x:v>0.12604307954245852</x:v>
      </x:c>
      <x:c r="Q9" s="51" t="n">
        <x:f>IF('Monthly Avg Balance'!Q9=0,"",'Monthly NII'!Q9*12/'Monthly Avg Balance'!Q9)</x:f>
        <x:v>0.12667780803742146</x:v>
      </x:c>
      <x:c r="R9" s="51" t="n">
        <x:f>IF('Monthly Avg Balance'!R9=0,"",'Monthly NII'!R9*12/'Monthly Avg Balance'!R9)</x:f>
        <x:v>0.12667780803742146</x:v>
      </x:c>
      <x:c r="S9" s="51" t="n">
        <x:f>IF('Monthly Avg Balance'!S9=0,"",'Monthly NII'!S9*12/'Monthly Avg Balance'!S9)</x:f>
        <x:v>0.12667780803742149</x:v>
      </x:c>
      <x:c r="T9" s="51" t="n">
        <x:f>IF('Monthly Avg Balance'!T9=0,"",'Monthly NII'!T9*12/'Monthly Avg Balance'!T9)</x:f>
        <x:v>0.13243823154087997</x:v>
      </x:c>
      <x:c r="U9" s="51" t="n">
        <x:f>IF('Monthly Avg Balance'!U9=0,"",'Monthly NII'!U9*12/'Monthly Avg Balance'!U9)</x:f>
        <x:v>0.13243823154087997</x:v>
      </x:c>
      <x:c r="V9" s="51" t="n">
        <x:f>IF('Monthly Avg Balance'!V9=0,"",'Monthly NII'!V9*12/'Monthly Avg Balance'!V9)</x:f>
        <x:v>0.13243823154087994</x:v>
      </x:c>
      <x:c r="W9" s="51" t="n">
        <x:f>IF('Monthly Avg Balance'!W9=0,"",'Monthly NII'!W9*12/'Monthly Avg Balance'!W9)</x:f>
        <x:v>0.1297434414839546</x:v>
      </x:c>
      <x:c r="X9" s="51" t="n">
        <x:f>IF('Monthly Avg Balance'!X9=0,"",'Monthly NII'!X9*12/'Monthly Avg Balance'!X9)</x:f>
        <x:v>0.1297434414839546</x:v>
      </x:c>
      <x:c r="Y9" s="51" t="n">
        <x:f>IF('Monthly Avg Balance'!Y9=0,"",'Monthly NII'!Y9*12/'Monthly Avg Balance'!Y9)</x:f>
        <x:v>0.1297434414839546</x:v>
      </x:c>
      <x:c r="Z9" s="51" t="n">
        <x:f>IF('Monthly Avg Balance'!Z9=0,"",'Monthly NII'!Z9*12/'Monthly Avg Balance'!Z9)</x:f>
        <x:v>0.12625213447462016</x:v>
      </x:c>
      <x:c r="AA9" s="51" t="n">
        <x:f>IF('Monthly Avg Balance'!AA9=0,"",'Monthly NII'!AA9*12/'Monthly Avg Balance'!AA9)</x:f>
        <x:v>0.1262521344746202</x:v>
      </x:c>
      <x:c r="AB9" s="51" t="n">
        <x:f>IF('Monthly Avg Balance'!AB9=0,"",'Monthly NII'!AB9*12/'Monthly Avg Balance'!AB9)</x:f>
        <x:v>0.12625213447462016</x:v>
      </x:c>
      <x:c r="AC9" s="51" t="n">
        <x:f>IF('Monthly Avg Balance'!AC9=0,"",'Monthly NII'!AC9*12/'Monthly Avg Balance'!AC9)</x:f>
        <x:v>0.13188658431774333</x:v>
      </x:c>
      <x:c r="AD9" s="51" t="n">
        <x:f>IF('Monthly Avg Balance'!AD9=0,"",'Monthly NII'!AD9*12/'Monthly Avg Balance'!AD9)</x:f>
        <x:v>0.1318865843177433</x:v>
      </x:c>
      <x:c r="AE9" s="51" t="n">
        <x:f>IF('Monthly Avg Balance'!AE9=0,"",'Monthly NII'!AE9*12/'Monthly Avg Balance'!AE9)</x:f>
        <x:v>0.1318865843177433</x:v>
      </x:c>
      <x:c r="AF9" s="51" t="n">
        <x:f>IF('Monthly Avg Balance'!AF9=0,"",'Monthly NII'!AF9*12/'Monthly Avg Balance'!AF9)</x:f>
        <x:v>0.13841735162860874</x:v>
      </x:c>
      <x:c r="AG9" s="51" t="n">
        <x:f>IF('Monthly Avg Balance'!AG9=0,"",'Monthly NII'!AG9*12/'Monthly Avg Balance'!AG9)</x:f>
        <x:v>0.13841735162860874</x:v>
      </x:c>
      <x:c r="AH9" s="51" t="n">
        <x:f>IF('Monthly Avg Balance'!AH9=0,"",'Monthly NII'!AH9*12/'Monthly Avg Balance'!AH9)</x:f>
        <x:v>0.13841735162860874</x:v>
      </x:c>
      <x:c r="AI9" s="51" t="n">
        <x:f>IF('Monthly Avg Balance'!AI9=0,"",'Monthly NII'!AI9*12/'Monthly Avg Balance'!AI9)</x:f>
        <x:v>0.1364819528321211</x:v>
      </x:c>
      <x:c r="AJ9" s="51" t="n">
        <x:f>IF('Monthly Avg Balance'!AJ9=0,"",'Monthly NII'!AJ9*12/'Monthly Avg Balance'!AJ9)</x:f>
        <x:v>0.1364819528321211</x:v>
      </x:c>
      <x:c r="AK9" s="51" t="n">
        <x:f>IF('Monthly Avg Balance'!AK9=0,"",'Monthly NII'!AK9*12/'Monthly Avg Balance'!AK9)</x:f>
        <x:v>0.13648195283212108</x:v>
      </x:c>
      <x:c r="AL9" s="51" t="n">
        <x:f>IF('Monthly Avg Balance'!AL9=0,"",'Monthly NII'!AL9*12/'Monthly Avg Balance'!AL9)</x:f>
        <x:v>0.1323233593160674</x:v>
      </x:c>
      <x:c r="AM9" s="51" t="n">
        <x:f>IF('Monthly Avg Balance'!AM9=0,"",'Monthly NII'!AM9*12/'Monthly Avg Balance'!AM9)</x:f>
        <x:v>0.1323233593160674</x:v>
      </x:c>
      <x:c r="AN9" s="51" t="n">
        <x:f>IF('Monthly Avg Balance'!AN9=0,"",'Monthly NII'!AN9*12/'Monthly Avg Balance'!AN9)</x:f>
        <x:v>0.1323233593160674</x:v>
      </x:c>
      <x:c r="AO9" s="51" t="n">
        <x:f>IF('Monthly Avg Balance'!AO9=0,"",'Monthly NII'!AO9*12/'Monthly Avg Balance'!AO9)</x:f>
        <x:v>0.13244538992603183</x:v>
      </x:c>
      <x:c r="AP9" s="51" t="n">
        <x:f>IF('Monthly Avg Balance'!AP9=0,"",'Monthly NII'!AP9*12/'Monthly Avg Balance'!AP9)</x:f>
        <x:v>0.13244538992603186</x:v>
      </x:c>
      <x:c r="AQ9" s="51" t="n">
        <x:f>IF('Monthly Avg Balance'!AQ9=0,"",'Monthly NII'!AQ9*12/'Monthly Avg Balance'!AQ9)</x:f>
        <x:v>0.13244538992603186</x:v>
      </x:c>
    </x:row>
    <x:row r="10">
      <x:c r="A10" s="20" t="str">
        <x:v>  Investment securities</x:v>
      </x:c>
      <x:c r="B10" s="48" t="n">
        <x:f>IF('Monthly Avg Balance'!B10=0,"",'Monthly NII'!B10*12/'Monthly Avg Balance'!B10)</x:f>
        <x:v>0.02734548688305914</x:v>
      </x:c>
      <x:c r="C10" s="48" t="n">
        <x:f>IF('Monthly Avg Balance'!C10=0,"",'Monthly NII'!C10*12/'Monthly Avg Balance'!C10)</x:f>
        <x:v>0.02734548688305914</x:v>
      </x:c>
      <x:c r="D10" s="48" t="n">
        <x:f>IF('Monthly Avg Balance'!D10=0,"",'Monthly NII'!D10*12/'Monthly Avg Balance'!D10)</x:f>
        <x:v>0.02734548688305914</x:v>
      </x:c>
      <x:c r="E10" s="48" t="n">
        <x:f>IF('Monthly Avg Balance'!E10=0,"",'Monthly NII'!E10*12/'Monthly Avg Balance'!E10)</x:f>
        <x:v>0.028401893459563975</x:v>
      </x:c>
      <x:c r="F10" s="48" t="n">
        <x:f>IF('Monthly Avg Balance'!F10=0,"",'Monthly NII'!F10*12/'Monthly Avg Balance'!F10)</x:f>
        <x:v>0.02840189345956397</x:v>
      </x:c>
      <x:c r="G10" s="48" t="n">
        <x:f>IF('Monthly Avg Balance'!G10=0,"",'Monthly NII'!G10*12/'Monthly Avg Balance'!G10)</x:f>
        <x:v>0.028401893459563975</x:v>
      </x:c>
      <x:c r="H10" s="48" t="n">
        <x:f>IF('Monthly Avg Balance'!H10=0,"",'Monthly NII'!H10*12/'Monthly Avg Balance'!H10)</x:f>
        <x:v>0.0285502874381012</x:v>
      </x:c>
      <x:c r="I10" s="48" t="n">
        <x:f>IF('Monthly Avg Balance'!I10=0,"",'Monthly NII'!I10*12/'Monthly Avg Balance'!I10)</x:f>
        <x:v>0.028550287438101205</x:v>
      </x:c>
      <x:c r="J10" s="48" t="n">
        <x:f>IF('Monthly Avg Balance'!J10=0,"",'Monthly NII'!J10*12/'Monthly Avg Balance'!J10)</x:f>
        <x:v>0.02855028743810121</x:v>
      </x:c>
      <x:c r="K10" s="48" t="n">
        <x:f>IF('Monthly Avg Balance'!K10=0,"",'Monthly NII'!K10*12/'Monthly Avg Balance'!K10)</x:f>
        <x:v>0.029494916094899563</x:v>
      </x:c>
      <x:c r="L10" s="48" t="n">
        <x:f>IF('Monthly Avg Balance'!L10=0,"",'Monthly NII'!L10*12/'Monthly Avg Balance'!L10)</x:f>
        <x:v>0.029494916094899563</x:v>
      </x:c>
      <x:c r="M10" s="48" t="n">
        <x:f>IF('Monthly Avg Balance'!M10=0,"",'Monthly NII'!M10*12/'Monthly Avg Balance'!M10)</x:f>
        <x:v>0.029494916094899563</x:v>
      </x:c>
      <x:c r="N10" s="48" t="n">
        <x:f>IF('Monthly Avg Balance'!N10=0,"",'Monthly NII'!N10*12/'Monthly Avg Balance'!N10)</x:f>
        <x:v>0.02991655371752372</x:v>
      </x:c>
      <x:c r="O10" s="48" t="n">
        <x:f>IF('Monthly Avg Balance'!O10=0,"",'Monthly NII'!O10*12/'Monthly Avg Balance'!O10)</x:f>
        <x:v>0.02991655371752372</x:v>
      </x:c>
      <x:c r="P10" s="48" t="n">
        <x:f>IF('Monthly Avg Balance'!P10=0,"",'Monthly NII'!P10*12/'Monthly Avg Balance'!P10)</x:f>
        <x:v>0.02991655371752372</x:v>
      </x:c>
      <x:c r="Q10" s="48" t="n">
        <x:f>IF('Monthly Avg Balance'!Q10=0,"",'Monthly NII'!Q10*12/'Monthly Avg Balance'!Q10)</x:f>
        <x:v>0.03008811519449817</x:v>
      </x:c>
      <x:c r="R10" s="48" t="n">
        <x:f>IF('Monthly Avg Balance'!R10=0,"",'Monthly NII'!R10*12/'Monthly Avg Balance'!R10)</x:f>
        <x:v>0.03008811519449817</x:v>
      </x:c>
      <x:c r="S10" s="48" t="n">
        <x:f>IF('Monthly Avg Balance'!S10=0,"",'Monthly NII'!S10*12/'Monthly Avg Balance'!S10)</x:f>
        <x:v>0.030088115194498173</x:v>
      </x:c>
      <x:c r="T10" s="48" t="n">
        <x:f>IF('Monthly Avg Balance'!T10=0,"",'Monthly NII'!T10*12/'Monthly Avg Balance'!T10)</x:f>
        <x:v>0.03128011635804994</x:v>
      </x:c>
      <x:c r="U10" s="48" t="n">
        <x:f>IF('Monthly Avg Balance'!U10=0,"",'Monthly NII'!U10*12/'Monthly Avg Balance'!U10)</x:f>
        <x:v>0.03128011635804994</x:v>
      </x:c>
      <x:c r="V10" s="48" t="n">
        <x:f>IF('Monthly Avg Balance'!V10=0,"",'Monthly NII'!V10*12/'Monthly Avg Balance'!V10)</x:f>
        <x:v>0.03128011635804994</x:v>
      </x:c>
      <x:c r="W10" s="48" t="n">
        <x:f>IF('Monthly Avg Balance'!W10=0,"",'Monthly NII'!W10*12/'Monthly Avg Balance'!W10)</x:f>
        <x:v>0.03161834045702429</x:v>
      </x:c>
      <x:c r="X10" s="48" t="n">
        <x:f>IF('Monthly Avg Balance'!X10=0,"",'Monthly NII'!X10*12/'Monthly Avg Balance'!X10)</x:f>
        <x:v>0.031618340457024295</x:v>
      </x:c>
      <x:c r="Y10" s="48" t="n">
        <x:f>IF('Monthly Avg Balance'!Y10=0,"",'Monthly NII'!Y10*12/'Monthly Avg Balance'!Y10)</x:f>
        <x:v>0.03161834045702428</x:v>
      </x:c>
      <x:c r="Z10" s="48" t="n">
        <x:f>IF('Monthly Avg Balance'!Z10=0,"",'Monthly NII'!Z10*12/'Monthly Avg Balance'!Z10)</x:f>
        <x:v>0.03220090016152724</x:v>
      </x:c>
      <x:c r="AA10" s="48" t="n">
        <x:f>IF('Monthly Avg Balance'!AA10=0,"",'Monthly NII'!AA10*12/'Monthly Avg Balance'!AA10)</x:f>
        <x:v>0.032200900161527234</x:v>
      </x:c>
      <x:c r="AB10" s="48" t="n">
        <x:f>IF('Monthly Avg Balance'!AB10=0,"",'Monthly NII'!AB10*12/'Monthly Avg Balance'!AB10)</x:f>
        <x:v>0.032200900161527234</x:v>
      </x:c>
      <x:c r="AC10" s="48" t="n">
        <x:f>IF('Monthly Avg Balance'!AC10=0,"",'Monthly NII'!AC10*12/'Monthly Avg Balance'!AC10)</x:f>
        <x:v>0.03285868460482612</x:v>
      </x:c>
      <x:c r="AD10" s="48" t="n">
        <x:f>IF('Monthly Avg Balance'!AD10=0,"",'Monthly NII'!AD10*12/'Monthly Avg Balance'!AD10)</x:f>
        <x:v>0.03285868460482612</x:v>
      </x:c>
      <x:c r="AE10" s="48" t="n">
        <x:f>IF('Monthly Avg Balance'!AE10=0,"",'Monthly NII'!AE10*12/'Monthly Avg Balance'!AE10)</x:f>
        <x:v>0.03285868460482612</x:v>
      </x:c>
      <x:c r="AF10" s="48" t="n">
        <x:f>IF('Monthly Avg Balance'!AF10=0,"",'Monthly NII'!AF10*12/'Monthly Avg Balance'!AF10)</x:f>
        <x:v>0.03333338958652218</x:v>
      </x:c>
      <x:c r="AG10" s="48" t="n">
        <x:f>IF('Monthly Avg Balance'!AG10=0,"",'Monthly NII'!AG10*12/'Monthly Avg Balance'!AG10)</x:f>
        <x:v>0.03333338958652218</x:v>
      </x:c>
      <x:c r="AH10" s="48" t="n">
        <x:f>IF('Monthly Avg Balance'!AH10=0,"",'Monthly NII'!AH10*12/'Monthly Avg Balance'!AH10)</x:f>
        <x:v>0.03333338958652218</x:v>
      </x:c>
      <x:c r="AI10" s="48" t="n">
        <x:f>IF('Monthly Avg Balance'!AI10=0,"",'Monthly NII'!AI10*12/'Monthly Avg Balance'!AI10)</x:f>
        <x:v>0.03376063801316705</x:v>
      </x:c>
      <x:c r="AJ10" s="48" t="n">
        <x:f>IF('Monthly Avg Balance'!AJ10=0,"",'Monthly NII'!AJ10*12/'Monthly Avg Balance'!AJ10)</x:f>
        <x:v>0.03376063801316705</x:v>
      </x:c>
      <x:c r="AK10" s="48" t="n">
        <x:f>IF('Monthly Avg Balance'!AK10=0,"",'Monthly NII'!AK10*12/'Monthly Avg Balance'!AK10)</x:f>
        <x:v>0.03376063801316705</x:v>
      </x:c>
      <x:c r="AL10" s="48" t="n">
        <x:f>IF('Monthly Avg Balance'!AL10=0,"",'Monthly NII'!AL10*12/'Monthly Avg Balance'!AL10)</x:f>
        <x:v>0.03333227611971443</x:v>
      </x:c>
      <x:c r="AM10" s="48" t="n">
        <x:f>IF('Monthly Avg Balance'!AM10=0,"",'Monthly NII'!AM10*12/'Monthly Avg Balance'!AM10)</x:f>
        <x:v>0.03333227611971442</x:v>
      </x:c>
      <x:c r="AN10" s="48" t="n">
        <x:f>IF('Monthly Avg Balance'!AN10=0,"",'Monthly NII'!AN10*12/'Monthly Avg Balance'!AN10)</x:f>
        <x:v>0.03333227611971442</x:v>
      </x:c>
      <x:c r="AO10" s="48" t="n">
        <x:f>IF('Monthly Avg Balance'!AO10=0,"",'Monthly NII'!AO10*12/'Monthly Avg Balance'!AO10)</x:f>
        <x:v>0.033463469046291126</x:v>
      </x:c>
      <x:c r="AP10" s="48" t="n">
        <x:f>IF('Monthly Avg Balance'!AP10=0,"",'Monthly NII'!AP10*12/'Monthly Avg Balance'!AP10)</x:f>
        <x:v>0.03346346904629113</x:v>
      </x:c>
      <x:c r="AQ10" s="48" t="n">
        <x:f>IF('Monthly Avg Balance'!AQ10=0,"",'Monthly NII'!AQ10*12/'Monthly Avg Balance'!AQ10)</x:f>
        <x:v>0.03346346904629113</x:v>
      </x:c>
    </x:row>
    <x:row r="11">
      <x:c r="A11" s="20" t="str">
        <x:v>  Cash equivalents and other</x:v>
      </x:c>
      <x:c r="B11" s="48" t="n">
        <x:f>IF('Monthly Avg Balance'!B11=0,"",'Monthly NII'!B11*12/'Monthly Avg Balance'!B11)</x:f>
        <x:v>0.04563843063040825</x:v>
      </x:c>
      <x:c r="C11" s="48" t="n">
        <x:f>IF('Monthly Avg Balance'!C11=0,"",'Monthly NII'!C11*12/'Monthly Avg Balance'!C11)</x:f>
        <x:v>0.04563843063040824</x:v>
      </x:c>
      <x:c r="D11" s="48" t="n">
        <x:f>IF('Monthly Avg Balance'!D11=0,"",'Monthly NII'!D11*12/'Monthly Avg Balance'!D11)</x:f>
        <x:v>0.04563843063040825</x:v>
      </x:c>
      <x:c r="E11" s="48" t="n">
        <x:f>IF('Monthly Avg Balance'!E11=0,"",'Monthly NII'!E11*12/'Monthly Avg Balance'!E11)</x:f>
        <x:v>0.05093493603782191</x:v>
      </x:c>
      <x:c r="F11" s="48" t="n">
        <x:f>IF('Monthly Avg Balance'!F11=0,"",'Monthly NII'!F11*12/'Monthly Avg Balance'!F11)</x:f>
        <x:v>0.0509349360378219</x:v>
      </x:c>
      <x:c r="G11" s="48" t="n">
        <x:f>IF('Monthly Avg Balance'!G11=0,"",'Monthly NII'!G11*12/'Monthly Avg Balance'!G11)</x:f>
        <x:v>0.0509349360378219</x:v>
      </x:c>
      <x:c r="H11" s="48" t="n">
        <x:f>IF('Monthly Avg Balance'!H11=0,"",'Monthly NII'!H11*12/'Monthly Avg Balance'!H11)</x:f>
        <x:v>0.05270386814450441</x:v>
      </x:c>
      <x:c r="I11" s="48" t="n">
        <x:f>IF('Monthly Avg Balance'!I11=0,"",'Monthly NII'!I11*12/'Monthly Avg Balance'!I11)</x:f>
        <x:v>0.05270386814450442</x:v>
      </x:c>
      <x:c r="J11" s="48" t="n">
        <x:f>IF('Monthly Avg Balance'!J11=0,"",'Monthly NII'!J11*12/'Monthly Avg Balance'!J11)</x:f>
        <x:v>0.052703868144504416</x:v>
      </x:c>
      <x:c r="K11" s="48" t="n">
        <x:f>IF('Monthly Avg Balance'!K11=0,"",'Monthly NII'!K11*12/'Monthly Avg Balance'!K11)</x:f>
        <x:v>0.053324369417195136</x:v>
      </x:c>
      <x:c r="L11" s="48" t="n">
        <x:f>IF('Monthly Avg Balance'!L11=0,"",'Monthly NII'!L11*12/'Monthly Avg Balance'!L11)</x:f>
        <x:v>0.053324369417195136</x:v>
      </x:c>
      <x:c r="M11" s="48" t="n">
        <x:f>IF('Monthly Avg Balance'!M11=0,"",'Monthly NII'!M11*12/'Monthly Avg Balance'!M11)</x:f>
        <x:v>0.05332436941719514</x:v>
      </x:c>
      <x:c r="N11" s="48" t="n">
        <x:f>IF('Monthly Avg Balance'!N11=0,"",'Monthly NII'!N11*12/'Monthly Avg Balance'!N11)</x:f>
        <x:v>0.05385508729799421</x:v>
      </x:c>
      <x:c r="O11" s="48" t="n">
        <x:f>IF('Monthly Avg Balance'!O11=0,"",'Monthly NII'!O11*12/'Monthly Avg Balance'!O11)</x:f>
        <x:v>0.05385508729799422</x:v>
      </x:c>
      <x:c r="P11" s="48" t="n">
        <x:f>IF('Monthly Avg Balance'!P11=0,"",'Monthly NII'!P11*12/'Monthly Avg Balance'!P11)</x:f>
        <x:v>0.05385508729799421</x:v>
      </x:c>
      <x:c r="Q11" s="48" t="n">
        <x:f>IF('Monthly Avg Balance'!Q11=0,"",'Monthly NII'!Q11*12/'Monthly Avg Balance'!Q11)</x:f>
        <x:v>0.05309394326545842</x:v>
      </x:c>
      <x:c r="R11" s="48" t="n">
        <x:f>IF('Monthly Avg Balance'!R11=0,"",'Monthly NII'!R11*12/'Monthly Avg Balance'!R11)</x:f>
        <x:v>0.05309394326545841</x:v>
      </x:c>
      <x:c r="S11" s="48" t="n">
        <x:f>IF('Monthly Avg Balance'!S11=0,"",'Monthly NII'!S11*12/'Monthly Avg Balance'!S11)</x:f>
        <x:v>0.05309394326545841</x:v>
      </x:c>
      <x:c r="T11" s="48" t="n">
        <x:f>IF('Monthly Avg Balance'!T11=0,"",'Monthly NII'!T11*12/'Monthly Avg Balance'!T11)</x:f>
        <x:v>0.05283694942532226</x:v>
      </x:c>
      <x:c r="U11" s="48" t="n">
        <x:f>IF('Monthly Avg Balance'!U11=0,"",'Monthly NII'!U11*12/'Monthly Avg Balance'!U11)</x:f>
        <x:v>0.05283694942532226</x:v>
      </x:c>
      <x:c r="V11" s="48" t="n">
        <x:f>IF('Monthly Avg Balance'!V11=0,"",'Monthly NII'!V11*12/'Monthly Avg Balance'!V11)</x:f>
        <x:v>0.052836949425322265</x:v>
      </x:c>
      <x:c r="W11" s="48" t="n">
        <x:f>IF('Monthly Avg Balance'!W11=0,"",'Monthly NII'!W11*12/'Monthly Avg Balance'!W11)</x:f>
        <x:v>0.04609597529951512</x:v>
      </x:c>
      <x:c r="X11" s="48" t="n">
        <x:f>IF('Monthly Avg Balance'!X11=0,"",'Monthly NII'!X11*12/'Monthly Avg Balance'!X11)</x:f>
        <x:v>0.04609597529951512</x:v>
      </x:c>
      <x:c r="Y11" s="48" t="n">
        <x:f>IF('Monthly Avg Balance'!Y11=0,"",'Monthly NII'!Y11*12/'Monthly Avg Balance'!Y11)</x:f>
        <x:v>0.04609597529951511</x:v>
      </x:c>
      <x:c r="Z11" s="48" t="n">
        <x:f>IF('Monthly Avg Balance'!Z11=0,"",'Monthly NII'!Z11*12/'Monthly Avg Balance'!Z11)</x:f>
        <x:v>0.041190699235189664</x:v>
      </x:c>
      <x:c r="AA11" s="48" t="n">
        <x:f>IF('Monthly Avg Balance'!AA11=0,"",'Monthly NII'!AA11*12/'Monthly Avg Balance'!AA11)</x:f>
        <x:v>0.041190699235189664</x:v>
      </x:c>
      <x:c r="AB11" s="48" t="n">
        <x:f>IF('Monthly Avg Balance'!AB11=0,"",'Monthly NII'!AB11*12/'Monthly Avg Balance'!AB11)</x:f>
        <x:v>0.04119069923518967</x:v>
      </x:c>
      <x:c r="AC11" s="48" t="n">
        <x:f>IF('Monthly Avg Balance'!AC11=0,"",'Monthly NII'!AC11*12/'Monthly Avg Balance'!AC11)</x:f>
        <x:v>0.04513260071870823</x:v>
      </x:c>
      <x:c r="AD11" s="48" t="n">
        <x:f>IF('Monthly Avg Balance'!AD11=0,"",'Monthly NII'!AD11*12/'Monthly Avg Balance'!AD11)</x:f>
        <x:v>0.04513260071870822</x:v>
      </x:c>
      <x:c r="AE11" s="48" t="n">
        <x:f>IF('Monthly Avg Balance'!AE11=0,"",'Monthly NII'!AE11*12/'Monthly Avg Balance'!AE11)</x:f>
        <x:v>0.04513260071870822</x:v>
      </x:c>
      <x:c r="AF11" s="48" t="n">
        <x:f>IF('Monthly Avg Balance'!AF11=0,"",'Monthly NII'!AF11*12/'Monthly Avg Balance'!AF11)</x:f>
        <x:v>0.05118314531586036</x:v>
      </x:c>
      <x:c r="AG11" s="48" t="n">
        <x:f>IF('Monthly Avg Balance'!AG11=0,"",'Monthly NII'!AG11*12/'Monthly Avg Balance'!AG11)</x:f>
        <x:v>0.05118314531586036</x:v>
      </x:c>
      <x:c r="AH11" s="48" t="n">
        <x:f>IF('Monthly Avg Balance'!AH11=0,"",'Monthly NII'!AH11*12/'Monthly Avg Balance'!AH11)</x:f>
        <x:v>0.05118314531586035</x:v>
      </x:c>
      <x:c r="AI11" s="48" t="n">
        <x:f>IF('Monthly Avg Balance'!AI11=0,"",'Monthly NII'!AI11*12/'Monthly Avg Balance'!AI11)</x:f>
        <x:v>0.042997209524533384</x:v>
      </x:c>
      <x:c r="AJ11" s="48" t="n">
        <x:f>IF('Monthly Avg Balance'!AJ11=0,"",'Monthly NII'!AJ11*12/'Monthly Avg Balance'!AJ11)</x:f>
        <x:v>0.04299720952453339</x:v>
      </x:c>
      <x:c r="AK11" s="48" t="n">
        <x:f>IF('Monthly Avg Balance'!AK11=0,"",'Monthly NII'!AK11*12/'Monthly Avg Balance'!AK11)</x:f>
        <x:v>0.04299720952453339</x:v>
      </x:c>
      <x:c r="AL11" s="48" t="n">
        <x:f>IF('Monthly Avg Balance'!AL11=0,"",'Monthly NII'!AL11*12/'Monthly Avg Balance'!AL11)</x:f>
        <x:v>0.036243634734393015</x:v>
      </x:c>
      <x:c r="AM11" s="48" t="n">
        <x:f>IF('Monthly Avg Balance'!AM11=0,"",'Monthly NII'!AM11*12/'Monthly Avg Balance'!AM11)</x:f>
        <x:v>0.036243634734393015</x:v>
      </x:c>
      <x:c r="AN11" s="48" t="n">
        <x:f>IF('Monthly Avg Balance'!AN11=0,"",'Monthly NII'!AN11*12/'Monthly Avg Balance'!AN11)</x:f>
        <x:v>0.036243634734393015</x:v>
      </x:c>
      <x:c r="AO11" s="48" t="n">
        <x:f>IF('Monthly Avg Balance'!AO11=0,"",'Monthly NII'!AO11*12/'Monthly Avg Balance'!AO11)</x:f>
        <x:v>0.0370767406336419</x:v>
      </x:c>
      <x:c r="AP11" s="48" t="n">
        <x:f>IF('Monthly Avg Balance'!AP11=0,"",'Monthly NII'!AP11*12/'Monthly Avg Balance'!AP11)</x:f>
        <x:v>0.0370767406336419</x:v>
      </x:c>
      <x:c r="AQ11" s="48" t="n">
        <x:f>IF('Monthly Avg Balance'!AQ11=0,"",'Monthly NII'!AQ11*12/'Monthly Avg Balance'!AQ11)</x:f>
        <x:v>0.0370767406336419</x:v>
      </x:c>
    </x:row>
    <x:row r="12">
      <x:c r="A12" s="26" t="str">
        <x:v>  Total interest-earning assets</x:v>
      </x:c>
      <x:c r="B12" s="51" t="n">
        <x:f>IF('Monthly Avg Balance'!B12=0,"",'Monthly NII'!B12*12/'Monthly Avg Balance'!B12)</x:f>
        <x:v>0.09025765503919102</x:v>
      </x:c>
      <x:c r="C12" s="51" t="n">
        <x:f>IF('Monthly Avg Balance'!C12=0,"",'Monthly NII'!C12*12/'Monthly Avg Balance'!C12)</x:f>
        <x:v>0.08992306892074704</x:v>
      </x:c>
      <x:c r="D12" s="51" t="n">
        <x:f>IF('Monthly Avg Balance'!D12=0,"",'Monthly NII'!D12*12/'Monthly Avg Balance'!D12)</x:f>
        <x:v>0.08919616571866183</x:v>
      </x:c>
      <x:c r="E12" s="51" t="n">
        <x:f>IF('Monthly Avg Balance'!E12=0,"",'Monthly NII'!E12*12/'Monthly Avg Balance'!E12)</x:f>
        <x:v>0.09258598541295851</x:v>
      </x:c>
      <x:c r="F12" s="51" t="n">
        <x:f>IF('Monthly Avg Balance'!F12=0,"",'Monthly NII'!F12*12/'Monthly Avg Balance'!F12)</x:f>
        <x:v>0.0933706402747893</x:v>
      </x:c>
      <x:c r="G12" s="51" t="n">
        <x:f>IF('Monthly Avg Balance'!G12=0,"",'Monthly NII'!G12*12/'Monthly Avg Balance'!G12)</x:f>
        <x:v>0.09305372035312563</x:v>
      </x:c>
      <x:c r="H12" s="51" t="n">
        <x:f>IF('Monthly Avg Balance'!H12=0,"",'Monthly NII'!H12*12/'Monthly Avg Balance'!H12)</x:f>
        <x:v>0.09796365099030396</x:v>
      </x:c>
      <x:c r="I12" s="51" t="n">
        <x:f>IF('Monthly Avg Balance'!I12=0,"",'Monthly NII'!I12*12/'Monthly Avg Balance'!I12)</x:f>
        <x:v>0.09826469507344864</x:v>
      </x:c>
      <x:c r="J12" s="51" t="n">
        <x:f>IF('Monthly Avg Balance'!J12=0,"",'Monthly NII'!J12*12/'Monthly Avg Balance'!J12)</x:f>
        <x:v>0.09826768277840107</x:v>
      </x:c>
      <x:c r="K12" s="51" t="n">
        <x:f>IF('Monthly Avg Balance'!K12=0,"",'Monthly NII'!K12*12/'Monthly Avg Balance'!K12)</x:f>
        <x:v>0.09926406838003174</x:v>
      </x:c>
      <x:c r="L12" s="51" t="n">
        <x:f>IF('Monthly Avg Balance'!L12=0,"",'Monthly NII'!L12*12/'Monthly Avg Balance'!L12)</x:f>
        <x:v>0.09905990190205997</x:v>
      </x:c>
      <x:c r="M12" s="51" t="n">
        <x:f>IF('Monthly Avg Balance'!M12=0,"",'Monthly NII'!M12*12/'Monthly Avg Balance'!M12)</x:f>
        <x:v>0.10029215528616019</x:v>
      </x:c>
      <x:c r="N12" s="51" t="n">
        <x:f>IF('Monthly Avg Balance'!N12=0,"",'Monthly NII'!N12*12/'Monthly Avg Balance'!N12)</x:f>
        <x:v>0.10032211484870152</x:v>
      </x:c>
      <x:c r="O12" s="51" t="n">
        <x:f>IF('Monthly Avg Balance'!O12=0,"",'Monthly NII'!O12*12/'Monthly Avg Balance'!O12)</x:f>
        <x:v>0.09874091535642139</x:v>
      </x:c>
      <x:c r="P12" s="51" t="n">
        <x:f>IF('Monthly Avg Balance'!P12=0,"",'Monthly NII'!P12*12/'Monthly Avg Balance'!P12)</x:f>
        <x:v>0.0996587645366125</x:v>
      </x:c>
      <x:c r="Q12" s="51" t="n">
        <x:f>IF('Monthly Avg Balance'!Q12=0,"",'Monthly NII'!Q12*12/'Monthly Avg Balance'!Q12)</x:f>
        <x:v>0.09992365329753788</x:v>
      </x:c>
      <x:c r="R12" s="51" t="n">
        <x:f>IF('Monthly Avg Balance'!R12=0,"",'Monthly NII'!R12*12/'Monthly Avg Balance'!R12)</x:f>
        <x:v>0.09880110728463075</x:v>
      </x:c>
      <x:c r="S12" s="51" t="n">
        <x:f>IF('Monthly Avg Balance'!S12=0,"",'Monthly NII'!S12*12/'Monthly Avg Balance'!S12)</x:f>
        <x:v>0.10020988174702786</x:v>
      </x:c>
      <x:c r="T12" s="51" t="n">
        <x:f>IF('Monthly Avg Balance'!T12=0,"",'Monthly NII'!T12*12/'Monthly Avg Balance'!T12)</x:f>
        <x:v>0.10461779647030983</x:v>
      </x:c>
      <x:c r="U12" s="51" t="n">
        <x:f>IF('Monthly Avg Balance'!U12=0,"",'Monthly NII'!U12*12/'Monthly Avg Balance'!U12)</x:f>
        <x:v>0.10326411871281374</x:v>
      </x:c>
      <x:c r="V12" s="51" t="n">
        <x:f>IF('Monthly Avg Balance'!V12=0,"",'Monthly NII'!V12*12/'Monthly Avg Balance'!V12)</x:f>
        <x:v>0.10410407276045115</x:v>
      </x:c>
      <x:c r="W12" s="51" t="n">
        <x:f>IF('Monthly Avg Balance'!W12=0,"",'Monthly NII'!W12*12/'Monthly Avg Balance'!W12)</x:f>
        <x:v>0.10128874721657813</x:v>
      </x:c>
      <x:c r="X12" s="51" t="n">
        <x:f>IF('Monthly Avg Balance'!X12=0,"",'Monthly NII'!X12*12/'Monthly Avg Balance'!X12)</x:f>
        <x:v>0.1003178871863008</x:v>
      </x:c>
      <x:c r="Y12" s="51" t="n">
        <x:f>IF('Monthly Avg Balance'!Y12=0,"",'Monthly NII'!Y12*12/'Monthly Avg Balance'!Y12)</x:f>
        <x:v>0.10213043620180903</x:v>
      </x:c>
      <x:c r="Z12" s="51" t="n">
        <x:f>IF('Monthly Avg Balance'!Z12=0,"",'Monthly NII'!Z12*12/'Monthly Avg Balance'!Z12)</x:f>
        <x:v>0.09908657100324947</x:v>
      </x:c>
      <x:c r="AA12" s="51" t="n">
        <x:f>IF('Monthly Avg Balance'!AA12=0,"",'Monthly NII'!AA12*12/'Monthly Avg Balance'!AA12)</x:f>
        <x:v>0.09715302816429532</x:v>
      </x:c>
      <x:c r="AB12" s="51" t="n">
        <x:f>IF('Monthly Avg Balance'!AB12=0,"",'Monthly NII'!AB12*12/'Monthly Avg Balance'!AB12)</x:f>
        <x:v>0.09835288136064557</x:v>
      </x:c>
      <x:c r="AC12" s="51" t="n">
        <x:f>IF('Monthly Avg Balance'!AC12=0,"",'Monthly NII'!AC12*12/'Monthly Avg Balance'!AC12)</x:f>
        <x:v>0.10407447538214083</x:v>
      </x:c>
      <x:c r="AD12" s="51" t="n">
        <x:f>IF('Monthly Avg Balance'!AD12=0,"",'Monthly NII'!AD12*12/'Monthly Avg Balance'!AD12)</x:f>
        <x:v>0.10459179733115534</x:v>
      </x:c>
      <x:c r="AE12" s="51" t="n">
        <x:f>IF('Monthly Avg Balance'!AE12=0,"",'Monthly NII'!AE12*12/'Monthly Avg Balance'!AE12)</x:f>
        <x:v>0.106738793119763</x:v>
      </x:c>
      <x:c r="AF12" s="51" t="n">
        <x:f>IF('Monthly Avg Balance'!AF12=0,"",'Monthly NII'!AF12*12/'Monthly Avg Balance'!AF12)</x:f>
        <x:v>0.11299645218211682</x:v>
      </x:c>
      <x:c r="AG12" s="51" t="n">
        <x:f>IF('Monthly Avg Balance'!AG12=0,"",'Monthly NII'!AG12*12/'Monthly Avg Balance'!AG12)</x:f>
        <x:v>0.11232519141083992</x:v>
      </x:c>
      <x:c r="AH12" s="51" t="n">
        <x:f>IF('Monthly Avg Balance'!AH12=0,"",'Monthly NII'!AH12*12/'Monthly Avg Balance'!AH12)</x:f>
        <x:v>0.11309141404112248</x:v>
      </x:c>
      <x:c r="AI12" s="51" t="n">
        <x:f>IF('Monthly Avg Balance'!AI12=0,"",'Monthly NII'!AI12*12/'Monthly Avg Balance'!AI12)</x:f>
        <x:v>0.11052236774625206</x:v>
      </x:c>
      <x:c r="AJ12" s="51" t="n">
        <x:f>IF('Monthly Avg Balance'!AJ12=0,"",'Monthly NII'!AJ12*12/'Monthly Avg Balance'!AJ12)</x:f>
        <x:v>0.10941373920614514</x:v>
      </x:c>
      <x:c r="AK12" s="51" t="n">
        <x:f>IF('Monthly Avg Balance'!AK12=0,"",'Monthly NII'!AK12*12/'Monthly Avg Balance'!AK12)</x:f>
        <x:v>0.1104454142976933</x:v>
      </x:c>
      <x:c r="AL12" s="51" t="n">
        <x:f>IF('Monthly Avg Balance'!AL12=0,"",'Monthly NII'!AL12*12/'Monthly Avg Balance'!AL12)</x:f>
        <x:v>0.10610983773100525</x:v>
      </x:c>
      <x:c r="AM12" s="51" t="n">
        <x:f>IF('Monthly Avg Balance'!AM12=0,"",'Monthly NII'!AM12*12/'Monthly Avg Balance'!AM12)</x:f>
        <x:v>0.10423125237862056</x:v>
      </x:c>
      <x:c r="AN12" s="51" t="n">
        <x:f>IF('Monthly Avg Balance'!AN12=0,"",'Monthly NII'!AN12*12/'Monthly Avg Balance'!AN12)</x:f>
        <x:v>0.10455963068804827</x:v>
      </x:c>
      <x:c r="AO12" s="51" t="n">
        <x:f>IF('Monthly Avg Balance'!AO12=0,"",'Monthly NII'!AO12*12/'Monthly Avg Balance'!AO12)</x:f>
        <x:v>0.10513923593529396</x:v>
      </x:c>
      <x:c r="AP12" s="51" t="n">
        <x:f>IF('Monthly Avg Balance'!AP12=0,"",'Monthly NII'!AP12*12/'Monthly Avg Balance'!AP12)</x:f>
        <x:v>0.10527906904523554</x:v>
      </x:c>
      <x:c r="AQ12" s="51" t="n">
        <x:f>IF('Monthly Avg Balance'!AQ12=0,"",'Monthly NII'!AQ12*12/'Monthly Avg Balance'!AQ12)</x:f>
        <x:v>0.1071126070725916</x:v>
      </x:c>
    </x:row>
    <x:row r="13">
      <x:c r="A13" s="20"/>
      <x:c r="B13" s="48"/>
      <x:c r="C13" s="48"/>
      <x:c r="D13" s="48"/>
      <x:c r="E13" s="48"/>
      <x:c r="F13" s="48"/>
      <x:c r="G13" s="48"/>
      <x:c r="H13" s="48"/>
      <x:c r="I13" s="48"/>
      <x:c r="J13" s="48"/>
      <x:c r="K13" s="48"/>
      <x:c r="L13" s="48"/>
      <x:c r="M13" s="48"/>
      <x:c r="N13" s="48"/>
      <x:c r="O13" s="48"/>
      <x:c r="P13" s="48"/>
      <x:c r="Q13" s="48"/>
      <x:c r="R13" s="48"/>
      <x:c r="S13" s="48"/>
      <x:c r="T13" s="48"/>
      <x:c r="U13" s="48"/>
      <x:c r="V13" s="48"/>
      <x:c r="W13" s="48"/>
      <x:c r="X13" s="48"/>
      <x:c r="Y13" s="48"/>
      <x:c r="Z13" s="48"/>
      <x:c r="AA13" s="48"/>
      <x:c r="AB13" s="48"/>
      <x:c r="AC13" s="48"/>
      <x:c r="AD13" s="48"/>
      <x:c r="AE13" s="48"/>
      <x:c r="AF13" s="48"/>
      <x:c r="AG13" s="48"/>
      <x:c r="AH13" s="48"/>
      <x:c r="AI13" s="48"/>
      <x:c r="AJ13" s="48"/>
      <x:c r="AK13" s="48"/>
      <x:c r="AL13" s="48"/>
      <x:c r="AM13" s="48"/>
      <x:c r="AN13" s="48"/>
      <x:c r="AO13" s="48"/>
      <x:c r="AP13" s="48"/>
      <x:c r="AQ13" s="48"/>
    </x:row>
    <x:row r="14">
      <x:c r="A14" s="32" t="str">
        <x:v>INTEREST-BEARING LIABILITIES</x:v>
      </x:c>
      <x:c r="B14" s="50"/>
      <x:c r="C14" s="50"/>
      <x:c r="D14" s="50"/>
      <x:c r="E14" s="50"/>
      <x:c r="F14" s="50"/>
      <x:c r="G14" s="50"/>
      <x:c r="H14" s="50"/>
      <x:c r="I14" s="50"/>
      <x:c r="J14" s="50"/>
      <x:c r="K14" s="50"/>
      <x:c r="L14" s="50"/>
      <x:c r="M14" s="50"/>
      <x:c r="N14" s="50"/>
      <x:c r="O14" s="50"/>
      <x:c r="P14" s="50"/>
      <x:c r="Q14" s="50"/>
      <x:c r="R14" s="50"/>
      <x:c r="S14" s="50"/>
      <x:c r="T14" s="50"/>
      <x:c r="U14" s="50"/>
      <x:c r="V14" s="50"/>
      <x:c r="W14" s="50"/>
      <x:c r="X14" s="50"/>
      <x:c r="Y14" s="50"/>
      <x:c r="Z14" s="50"/>
      <x:c r="AA14" s="50"/>
      <x:c r="AB14" s="50"/>
      <x:c r="AC14" s="50"/>
      <x:c r="AD14" s="50"/>
      <x:c r="AE14" s="50"/>
      <x:c r="AF14" s="50"/>
      <x:c r="AG14" s="50"/>
      <x:c r="AH14" s="50"/>
      <x:c r="AI14" s="50"/>
      <x:c r="AJ14" s="50"/>
      <x:c r="AK14" s="50"/>
      <x:c r="AL14" s="50"/>
      <x:c r="AM14" s="50"/>
      <x:c r="AN14" s="50"/>
      <x:c r="AO14" s="50"/>
      <x:c r="AP14" s="50"/>
      <x:c r="AQ14" s="50"/>
    </x:row>
    <x:row r="15">
      <x:c r="A15" s="20" t="str">
        <x:v>  Interest-bearing deposits</x:v>
      </x:c>
      <x:c r="B15" s="48" t="n">
        <x:f>IF('Monthly Avg Balance'!B15=0,"",'Monthly NII'!B15*12/'Monthly Avg Balance'!B15)</x:f>
        <x:v>0.024042385066777205</x:v>
      </x:c>
      <x:c r="C15" s="48" t="n">
        <x:f>IF('Monthly Avg Balance'!C15=0,"",'Monthly NII'!C15*12/'Monthly Avg Balance'!C15)</x:f>
        <x:v>0.024042385066777205</x:v>
      </x:c>
      <x:c r="D15" s="48" t="n">
        <x:f>IF('Monthly Avg Balance'!D15=0,"",'Monthly NII'!D15*12/'Monthly Avg Balance'!D15)</x:f>
        <x:v>0.024042385066777205</x:v>
      </x:c>
      <x:c r="E15" s="48" t="n">
        <x:f>IF('Monthly Avg Balance'!E15=0,"",'Monthly NII'!E15*12/'Monthly Avg Balance'!E15)</x:f>
        <x:v>0.029079809838222</x:v>
      </x:c>
      <x:c r="F15" s="48" t="n">
        <x:f>IF('Monthly Avg Balance'!F15=0,"",'Monthly NII'!F15*12/'Monthly Avg Balance'!F15)</x:f>
        <x:v>0.029079809838222007</x:v>
      </x:c>
      <x:c r="G15" s="48" t="n">
        <x:f>IF('Monthly Avg Balance'!G15=0,"",'Monthly NII'!G15*12/'Monthly Avg Balance'!G15)</x:f>
        <x:v>0.029079809838222004</x:v>
      </x:c>
      <x:c r="H15" s="48" t="n">
        <x:f>IF('Monthly Avg Balance'!H15=0,"",'Monthly NII'!H15*12/'Monthly Avg Balance'!H15)</x:f>
        <x:v>0.033047286350749286</x:v>
      </x:c>
      <x:c r="I15" s="48" t="n">
        <x:f>IF('Monthly Avg Balance'!I15=0,"",'Monthly NII'!I15*12/'Monthly Avg Balance'!I15)</x:f>
        <x:v>0.03304728635074929</x:v>
      </x:c>
      <x:c r="J15" s="48" t="n">
        <x:f>IF('Monthly Avg Balance'!J15=0,"",'Monthly NII'!J15*12/'Monthly Avg Balance'!J15)</x:f>
        <x:v>0.033047286350749286</x:v>
      </x:c>
      <x:c r="K15" s="48" t="n">
        <x:f>IF('Monthly Avg Balance'!K15=0,"",'Monthly NII'!K15*12/'Monthly Avg Balance'!K15)</x:f>
        <x:v>0.034675344977048904</x:v>
      </x:c>
      <x:c r="L15" s="48" t="n">
        <x:f>IF('Monthly Avg Balance'!L15=0,"",'Monthly NII'!L15*12/'Monthly Avg Balance'!L15)</x:f>
        <x:v>0.0346753449770489</x:v>
      </x:c>
      <x:c r="M15" s="48" t="n">
        <x:f>IF('Monthly Avg Balance'!M15=0,"",'Monthly NII'!M15*12/'Monthly Avg Balance'!M15)</x:f>
        <x:v>0.034675344977048904</x:v>
      </x:c>
      <x:c r="N15" s="48" t="n">
        <x:f>IF('Monthly Avg Balance'!N15=0,"",'Monthly NII'!N15*12/'Monthly Avg Balance'!N15)</x:f>
        <x:v>0.03544800323973571</x:v>
      </x:c>
      <x:c r="O15" s="48" t="n">
        <x:f>IF('Monthly Avg Balance'!O15=0,"",'Monthly NII'!O15*12/'Monthly Avg Balance'!O15)</x:f>
        <x:v>0.035448003239735716</x:v>
      </x:c>
      <x:c r="P15" s="48" t="n">
        <x:f>IF('Monthly Avg Balance'!P15=0,"",'Monthly NII'!P15*12/'Monthly Avg Balance'!P15)</x:f>
        <x:v>0.03544800323973571</x:v>
      </x:c>
      <x:c r="Q15" s="48" t="n">
        <x:f>IF('Monthly Avg Balance'!Q15=0,"",'Monthly NII'!Q15*12/'Monthly Avg Balance'!Q15)</x:f>
        <x:v>0.0356859967540312</x:v>
      </x:c>
      <x:c r="R15" s="48" t="n">
        <x:f>IF('Monthly Avg Balance'!R15=0,"",'Monthly NII'!R15*12/'Monthly Avg Balance'!R15)</x:f>
        <x:v>0.035685996754031196</x:v>
      </x:c>
      <x:c r="S15" s="48" t="n">
        <x:f>IF('Monthly Avg Balance'!S15=0,"",'Monthly NII'!S15*12/'Monthly Avg Balance'!S15)</x:f>
        <x:v>0.0356859967540312</x:v>
      </x:c>
      <x:c r="T15" s="48" t="n">
        <x:f>IF('Monthly Avg Balance'!T15=0,"",'Monthly NII'!T15*12/'Monthly Avg Balance'!T15)</x:f>
        <x:v>0.03635088166831415</x:v>
      </x:c>
      <x:c r="U15" s="48" t="n">
        <x:f>IF('Monthly Avg Balance'!U15=0,"",'Monthly NII'!U15*12/'Monthly Avg Balance'!U15)</x:f>
        <x:v>0.036350881668314156</x:v>
      </x:c>
      <x:c r="V15" s="48" t="n">
        <x:f>IF('Monthly Avg Balance'!V15=0,"",'Monthly NII'!V15*12/'Monthly Avg Balance'!V15)</x:f>
        <x:v>0.03635088166831415</x:v>
      </x:c>
      <x:c r="W15" s="48" t="n">
        <x:f>IF('Monthly Avg Balance'!W15=0,"",'Monthly NII'!W15*12/'Monthly Avg Balance'!W15)</x:f>
        <x:v>0.034531818561154115</x:v>
      </x:c>
      <x:c r="X15" s="48" t="n">
        <x:f>IF('Monthly Avg Balance'!X15=0,"",'Monthly NII'!X15*12/'Monthly Avg Balance'!X15)</x:f>
        <x:v>0.03453181856115412</x:v>
      </x:c>
      <x:c r="Y15" s="48" t="n">
        <x:f>IF('Monthly Avg Balance'!Y15=0,"",'Monthly NII'!Y15*12/'Monthly Avg Balance'!Y15)</x:f>
        <x:v>0.034531818561154115</x:v>
      </x:c>
      <x:c r="Z15" s="48" t="n">
        <x:f>IF('Monthly Avg Balance'!Z15=0,"",'Monthly NII'!Z15*12/'Monthly Avg Balance'!Z15)</x:f>
        <x:v>0.03217506077264586</x:v>
      </x:c>
      <x:c r="AA15" s="48" t="n">
        <x:f>IF('Monthly Avg Balance'!AA15=0,"",'Monthly NII'!AA15*12/'Monthly Avg Balance'!AA15)</x:f>
        <x:v>0.03217506077264587</x:v>
      </x:c>
      <x:c r="AB15" s="48" t="n">
        <x:f>IF('Monthly Avg Balance'!AB15=0,"",'Monthly NII'!AB15*12/'Monthly Avg Balance'!AB15)</x:f>
        <x:v>0.03217506077264586</x:v>
      </x:c>
      <x:c r="AC15" s="48" t="n">
        <x:f>IF('Monthly Avg Balance'!AC15=0,"",'Monthly NII'!AC15*12/'Monthly Avg Balance'!AC15)</x:f>
        <x:v>0.03233276494796662</x:v>
      </x:c>
      <x:c r="AD15" s="48" t="n">
        <x:f>IF('Monthly Avg Balance'!AD15=0,"",'Monthly NII'!AD15*12/'Monthly Avg Balance'!AD15)</x:f>
        <x:v>0.03233276494796662</x:v>
      </x:c>
      <x:c r="AE15" s="48" t="n">
        <x:f>IF('Monthly Avg Balance'!AE15=0,"",'Monthly NII'!AE15*12/'Monthly Avg Balance'!AE15)</x:f>
        <x:v>0.032332764947966615</x:v>
      </x:c>
      <x:c r="AF15" s="48" t="n">
        <x:f>IF('Monthly Avg Balance'!AF15=0,"",'Monthly NII'!AF15*12/'Monthly Avg Balance'!AF15)</x:f>
        <x:v>0.03276392688916897</x:v>
      </x:c>
      <x:c r="AG15" s="48" t="n">
        <x:f>IF('Monthly Avg Balance'!AG15=0,"",'Monthly NII'!AG15*12/'Monthly Avg Balance'!AG15)</x:f>
        <x:v>0.03276392688916898</x:v>
      </x:c>
      <x:c r="AH15" s="48" t="n">
        <x:f>IF('Monthly Avg Balance'!AH15=0,"",'Monthly NII'!AH15*12/'Monthly Avg Balance'!AH15)</x:f>
        <x:v>0.03276392688916898</x:v>
      </x:c>
      <x:c r="AI15" s="48" t="n">
        <x:f>IF('Monthly Avg Balance'!AI15=0,"",'Monthly NII'!AI15*12/'Monthly Avg Balance'!AI15)</x:f>
        <x:v>0.03156109031685328</x:v>
      </x:c>
      <x:c r="AJ15" s="48" t="n">
        <x:f>IF('Monthly Avg Balance'!AJ15=0,"",'Monthly NII'!AJ15*12/'Monthly Avg Balance'!AJ15)</x:f>
        <x:v>0.03156109031685329</x:v>
      </x:c>
      <x:c r="AK15" s="48" t="n">
        <x:f>IF('Monthly Avg Balance'!AK15=0,"",'Monthly NII'!AK15*12/'Monthly Avg Balance'!AK15)</x:f>
        <x:v>0.031561090316853294</x:v>
      </x:c>
      <x:c r="AL15" s="48" t="n">
        <x:f>IF('Monthly Avg Balance'!AL15=0,"",'Monthly NII'!AL15*12/'Monthly Avg Balance'!AL15)</x:f>
        <x:v>0.030038212917008023</x:v>
      </x:c>
      <x:c r="AM15" s="48" t="n">
        <x:f>IF('Monthly Avg Balance'!AM15=0,"",'Monthly NII'!AM15*12/'Monthly Avg Balance'!AM15)</x:f>
        <x:v>0.03003821291700802</x:v>
      </x:c>
      <x:c r="AN15" s="48" t="n">
        <x:f>IF('Monthly Avg Balance'!AN15=0,"",'Monthly NII'!AN15*12/'Monthly Avg Balance'!AN15)</x:f>
        <x:v>0.030038212917008023</x:v>
      </x:c>
      <x:c r="AO15" s="48" t="n">
        <x:f>IF('Monthly Avg Balance'!AO15=0,"",'Monthly NII'!AO15*12/'Monthly Avg Balance'!AO15)</x:f>
        <x:v>0.029158578890531216</x:v>
      </x:c>
      <x:c r="AP15" s="48" t="n">
        <x:f>IF('Monthly Avg Balance'!AP15=0,"",'Monthly NII'!AP15*12/'Monthly Avg Balance'!AP15)</x:f>
        <x:v>0.029158578890531223</x:v>
      </x:c>
      <x:c r="AQ15" s="48" t="n">
        <x:f>IF('Monthly Avg Balance'!AQ15=0,"",'Monthly NII'!AQ15*12/'Monthly Avg Balance'!AQ15)</x:f>
        <x:v>0.029158578890531216</x:v>
      </x:c>
    </x:row>
    <x:row r="16">
      <x:c r="A16" s="20" t="str">
        <x:v>  Securitized debt obligations</x:v>
      </x:c>
      <x:c r="B16" s="48" t="n">
        <x:f>IF('Monthly Avg Balance'!B16=0,"",'Monthly NII'!B16*12/'Monthly Avg Balance'!B16)</x:f>
        <x:v>0.0489247000173903</x:v>
      </x:c>
      <x:c r="C16" s="48" t="n">
        <x:f>IF('Monthly Avg Balance'!C16=0,"",'Monthly NII'!C16*12/'Monthly Avg Balance'!C16)</x:f>
        <x:v>0.0489247000173903</x:v>
      </x:c>
      <x:c r="D16" s="48" t="n">
        <x:f>IF('Monthly Avg Balance'!D16=0,"",'Monthly NII'!D16*12/'Monthly Avg Balance'!D16)</x:f>
        <x:v>0.0489247000173903</x:v>
      </x:c>
      <x:c r="E16" s="48" t="n">
        <x:f>IF('Monthly Avg Balance'!E16=0,"",'Monthly NII'!E16*12/'Monthly Avg Balance'!E16)</x:f>
        <x:v>0.05312025209611164</x:v>
      </x:c>
      <x:c r="F16" s="48" t="n">
        <x:f>IF('Monthly Avg Balance'!F16=0,"",'Monthly NII'!F16*12/'Monthly Avg Balance'!F16)</x:f>
        <x:v>0.05312025209611164</x:v>
      </x:c>
      <x:c r="G16" s="48" t="n">
        <x:f>IF('Monthly Avg Balance'!G16=0,"",'Monthly NII'!G16*12/'Monthly Avg Balance'!G16)</x:f>
        <x:v>0.05312025209611164</x:v>
      </x:c>
      <x:c r="H16" s="48" t="n">
        <x:f>IF('Monthly Avg Balance'!H16=0,"",'Monthly NII'!H16*12/'Monthly Avg Balance'!H16)</x:f>
        <x:v>0.05643379228284889</x:v>
      </x:c>
      <x:c r="I16" s="48" t="n">
        <x:f>IF('Monthly Avg Balance'!I16=0,"",'Monthly NII'!I16*12/'Monthly Avg Balance'!I16)</x:f>
        <x:v>0.05643379228284889</x:v>
      </x:c>
      <x:c r="J16" s="48" t="n">
        <x:f>IF('Monthly Avg Balance'!J16=0,"",'Monthly NII'!J16*12/'Monthly Avg Balance'!J16)</x:f>
        <x:v>0.05643379228284889</x:v>
      </x:c>
      <x:c r="K16" s="48" t="n">
        <x:f>IF('Monthly Avg Balance'!K16=0,"",'Monthly NII'!K16*12/'Monthly Avg Balance'!K16)</x:f>
        <x:v>0.057569300586995414</x:v>
      </x:c>
      <x:c r="L16" s="48" t="n">
        <x:f>IF('Monthly Avg Balance'!L16=0,"",'Monthly NII'!L16*12/'Monthly Avg Balance'!L16)</x:f>
        <x:v>0.0575693005869954</x:v>
      </x:c>
      <x:c r="M16" s="48" t="n">
        <x:f>IF('Monthly Avg Balance'!M16=0,"",'Monthly NII'!M16*12/'Monthly Avg Balance'!M16)</x:f>
        <x:v>0.057569300586995394</x:v>
      </x:c>
      <x:c r="N16" s="48" t="n">
        <x:f>IF('Monthly Avg Balance'!N16=0,"",'Monthly NII'!N16*12/'Monthly Avg Balance'!N16)</x:f>
        <x:v>0.05833309735451492</x:v>
      </x:c>
      <x:c r="O16" s="48" t="n">
        <x:f>IF('Monthly Avg Balance'!O16=0,"",'Monthly NII'!O16*12/'Monthly Avg Balance'!O16)</x:f>
        <x:v>0.058333097354514904</x:v>
      </x:c>
      <x:c r="P16" s="48" t="n">
        <x:f>IF('Monthly Avg Balance'!P16=0,"",'Monthly NII'!P16*12/'Monthly Avg Balance'!P16)</x:f>
        <x:v>0.058333097354514925</x:v>
      </x:c>
      <x:c r="Q16" s="48" t="n">
        <x:f>IF('Monthly Avg Balance'!Q16=0,"",'Monthly NII'!Q16*12/'Monthly Avg Balance'!Q16)</x:f>
        <x:v>0.059057492737828454</x:v>
      </x:c>
      <x:c r="R16" s="48" t="n">
        <x:f>IF('Monthly Avg Balance'!R16=0,"",'Monthly NII'!R16*12/'Monthly Avg Balance'!R16)</x:f>
        <x:v>0.05905749273782844</x:v>
      </x:c>
      <x:c r="S16" s="48" t="n">
        <x:f>IF('Monthly Avg Balance'!S16=0,"",'Monthly NII'!S16*12/'Monthly Avg Balance'!S16)</x:f>
        <x:v>0.059057492737828454</x:v>
      </x:c>
      <x:c r="T16" s="48" t="n">
        <x:f>IF('Monthly Avg Balance'!T16=0,"",'Monthly NII'!T16*12/'Monthly Avg Balance'!T16)</x:f>
        <x:v>0.06006679102644224</x:v>
      </x:c>
      <x:c r="U16" s="48" t="n">
        <x:f>IF('Monthly Avg Balance'!U16=0,"",'Monthly NII'!U16*12/'Monthly Avg Balance'!U16)</x:f>
        <x:v>0.06006679102644223</x:v>
      </x:c>
      <x:c r="V16" s="48" t="n">
        <x:f>IF('Monthly Avg Balance'!V16=0,"",'Monthly NII'!V16*12/'Monthly Avg Balance'!V16)</x:f>
        <x:v>0.06006679102644224</x:v>
      </x:c>
      <x:c r="W16" s="48" t="n">
        <x:f>IF('Monthly Avg Balance'!W16=0,"",'Monthly NII'!W16*12/'Monthly Avg Balance'!W16)</x:f>
        <x:v>0.05555496951057477</x:v>
      </x:c>
      <x:c r="X16" s="48" t="n">
        <x:f>IF('Monthly Avg Balance'!X16=0,"",'Monthly NII'!X16*12/'Monthly Avg Balance'!X16)</x:f>
        <x:v>0.055554969510574786</x:v>
      </x:c>
      <x:c r="Y16" s="48" t="n">
        <x:f>IF('Monthly Avg Balance'!Y16=0,"",'Monthly NII'!Y16*12/'Monthly Avg Balance'!Y16)</x:f>
        <x:v>0.05555496951057477</x:v>
      </x:c>
      <x:c r="Z16" s="48" t="n">
        <x:f>IF('Monthly Avg Balance'!Z16=0,"",'Monthly NII'!Z16*12/'Monthly Avg Balance'!Z16)</x:f>
        <x:v>0.051290546762056265</x:v>
      </x:c>
      <x:c r="AA16" s="48" t="n">
        <x:f>IF('Monthly Avg Balance'!AA16=0,"",'Monthly NII'!AA16*12/'Monthly Avg Balance'!AA16)</x:f>
        <x:v>0.051290546762056265</x:v>
      </x:c>
      <x:c r="AB16" s="48" t="n">
        <x:f>IF('Monthly Avg Balance'!AB16=0,"",'Monthly NII'!AB16*12/'Monthly Avg Balance'!AB16)</x:f>
        <x:v>0.051290546762056265</x:v>
      </x:c>
      <x:c r="AC16" s="48" t="n">
        <x:f>IF('Monthly Avg Balance'!AC16=0,"",'Monthly NII'!AC16*12/'Monthly Avg Balance'!AC16)</x:f>
        <x:v>0.051280103387706</x:v>
      </x:c>
      <x:c r="AD16" s="48" t="n">
        <x:f>IF('Monthly Avg Balance'!AD16=0,"",'Monthly NII'!AD16*12/'Monthly Avg Balance'!AD16)</x:f>
        <x:v>0.05128010338770599</x:v>
      </x:c>
      <x:c r="AE16" s="48" t="n">
        <x:f>IF('Monthly Avg Balance'!AE16=0,"",'Monthly NII'!AE16*12/'Monthly Avg Balance'!AE16)</x:f>
        <x:v>0.051280103387705986</x:v>
      </x:c>
      <x:c r="AF16" s="48" t="n">
        <x:f>IF('Monthly Avg Balance'!AF16=0,"",'Monthly NII'!AF16*12/'Monthly Avg Balance'!AF16)</x:f>
        <x:v>0.05262939031461049</x:v>
      </x:c>
      <x:c r="AG16" s="48" t="n">
        <x:f>IF('Monthly Avg Balance'!AG16=0,"",'Monthly NII'!AG16*12/'Monthly Avg Balance'!AG16)</x:f>
        <x:v>0.052629390314610475</x:v>
      </x:c>
      <x:c r="AH16" s="48" t="n">
        <x:f>IF('Monthly Avg Balance'!AH16=0,"",'Monthly NII'!AH16*12/'Monthly Avg Balance'!AH16)</x:f>
        <x:v>0.052629390314610475</x:v>
      </x:c>
      <x:c r="AI16" s="48" t="n">
        <x:f>IF('Monthly Avg Balance'!AI16=0,"",'Monthly NII'!AI16*12/'Monthly Avg Balance'!AI16)</x:f>
        <x:v>0.04951254901244671</x:v>
      </x:c>
      <x:c r="AJ16" s="48" t="n">
        <x:f>IF('Monthly Avg Balance'!AJ16=0,"",'Monthly NII'!AJ16*12/'Monthly Avg Balance'!AJ16)</x:f>
        <x:v>0.04951254901244672</x:v>
      </x:c>
      <x:c r="AK16" s="48" t="n">
        <x:f>IF('Monthly Avg Balance'!AK16=0,"",'Monthly NII'!AK16*12/'Monthly Avg Balance'!AK16)</x:f>
        <x:v>0.04951254901244672</x:v>
      </x:c>
      <x:c r="AL16" s="48" t="n">
        <x:f>IF('Monthly Avg Balance'!AL16=0,"",'Monthly NII'!AL16*12/'Monthly Avg Balance'!AL16)</x:f>
        <x:v>0.04542632639630119</x:v>
      </x:c>
      <x:c r="AM16" s="48" t="n">
        <x:f>IF('Monthly Avg Balance'!AM16=0,"",'Monthly NII'!AM16*12/'Monthly Avg Balance'!AM16)</x:f>
        <x:v>0.04542632639630119</x:v>
      </x:c>
      <x:c r="AN16" s="48" t="n">
        <x:f>IF('Monthly Avg Balance'!AN16=0,"",'Monthly NII'!AN16*12/'Monthly Avg Balance'!AN16)</x:f>
        <x:v>0.04542632639630119</x:v>
      </x:c>
      <x:c r="AO16" s="48" t="n">
        <x:f>IF('Monthly Avg Balance'!AO16=0,"",'Monthly NII'!AO16*12/'Monthly Avg Balance'!AO16)</x:f>
        <x:v>0.0471835490460999</x:v>
      </x:c>
      <x:c r="AP16" s="48" t="n">
        <x:f>IF('Monthly Avg Balance'!AP16=0,"",'Monthly NII'!AP16*12/'Monthly Avg Balance'!AP16)</x:f>
        <x:v>0.047183549046099914</x:v>
      </x:c>
      <x:c r="AQ16" s="48" t="n">
        <x:f>IF('Monthly Avg Balance'!AQ16=0,"",'Monthly NII'!AQ16*12/'Monthly Avg Balance'!AQ16)</x:f>
        <x:v>0.04718354904609991</x:v>
      </x:c>
    </x:row>
    <x:row r="17">
      <x:c r="A17" s="20" t="str">
        <x:v>  Senior and subordinated notes</x:v>
      </x:c>
      <x:c r="B17" s="48" t="n">
        <x:f>IF('Monthly Avg Balance'!B17=0,"",'Monthly NII'!B17*12/'Monthly Avg Balance'!B17)</x:f>
        <x:v>0.06490576055216353</x:v>
      </x:c>
      <x:c r="C17" s="48" t="n">
        <x:f>IF('Monthly Avg Balance'!C17=0,"",'Monthly NII'!C17*12/'Monthly Avg Balance'!C17)</x:f>
        <x:v>0.06490576055216353</x:v>
      </x:c>
      <x:c r="D17" s="48" t="n">
        <x:f>IF('Monthly Avg Balance'!D17=0,"",'Monthly NII'!D17*12/'Monthly Avg Balance'!D17)</x:f>
        <x:v>0.06490576055216353</x:v>
      </x:c>
      <x:c r="E17" s="48" t="n">
        <x:f>IF('Monthly Avg Balance'!E17=0,"",'Monthly NII'!E17*12/'Monthly Avg Balance'!E17)</x:f>
        <x:v>0.07002420344153046</x:v>
      </x:c>
      <x:c r="F17" s="48" t="n">
        <x:f>IF('Monthly Avg Balance'!F17=0,"",'Monthly NII'!F17*12/'Monthly Avg Balance'!F17)</x:f>
        <x:v>0.07002420344153046</x:v>
      </x:c>
      <x:c r="G17" s="48" t="n">
        <x:f>IF('Monthly Avg Balance'!G17=0,"",'Monthly NII'!G17*12/'Monthly Avg Balance'!G17)</x:f>
        <x:v>0.07002420344153046</x:v>
      </x:c>
      <x:c r="H17" s="48" t="n">
        <x:f>IF('Monthly Avg Balance'!H17=0,"",'Monthly NII'!H17*12/'Monthly Avg Balance'!H17)</x:f>
        <x:v>0.07347249540003806</x:v>
      </x:c>
      <x:c r="I17" s="48" t="n">
        <x:f>IF('Monthly Avg Balance'!I17=0,"",'Monthly NII'!I17*12/'Monthly Avg Balance'!I17)</x:f>
        <x:v>0.07347249540003807</x:v>
      </x:c>
      <x:c r="J17" s="48" t="n">
        <x:f>IF('Monthly Avg Balance'!J17=0,"",'Monthly NII'!J17*12/'Monthly Avg Balance'!J17)</x:f>
        <x:v>0.07347249540003806</x:v>
      </x:c>
      <x:c r="K17" s="48" t="n">
        <x:f>IF('Monthly Avg Balance'!K17=0,"",'Monthly NII'!K17*12/'Monthly Avg Balance'!K17)</x:f>
        <x:v>0.07437034803400526</x:v>
      </x:c>
      <x:c r="L17" s="48" t="n">
        <x:f>IF('Monthly Avg Balance'!L17=0,"",'Monthly NII'!L17*12/'Monthly Avg Balance'!L17)</x:f>
        <x:v>0.07437034803400525</x:v>
      </x:c>
      <x:c r="M17" s="48" t="n">
        <x:f>IF('Monthly Avg Balance'!M17=0,"",'Monthly NII'!M17*12/'Monthly Avg Balance'!M17)</x:f>
        <x:v>0.07437034803400526</x:v>
      </x:c>
      <x:c r="N17" s="48" t="n">
        <x:f>IF('Monthly Avg Balance'!N17=0,"",'Monthly NII'!N17*12/'Monthly Avg Balance'!N17)</x:f>
        <x:v>0.07501481246462866</x:v>
      </x:c>
      <x:c r="O17" s="48" t="n">
        <x:f>IF('Monthly Avg Balance'!O17=0,"",'Monthly NII'!O17*12/'Monthly Avg Balance'!O17)</x:f>
        <x:v>0.07501481246462864</x:v>
      </x:c>
      <x:c r="P17" s="48" t="n">
        <x:f>IF('Monthly Avg Balance'!P17=0,"",'Monthly NII'!P17*12/'Monthly Avg Balance'!P17)</x:f>
        <x:v>0.07501481246462866</x:v>
      </x:c>
      <x:c r="Q17" s="48" t="n">
        <x:f>IF('Monthly Avg Balance'!Q17=0,"",'Monthly NII'!Q17*12/'Monthly Avg Balance'!Q17)</x:f>
        <x:v>0.07643929306547965</x:v>
      </x:c>
      <x:c r="R17" s="48" t="n">
        <x:f>IF('Monthly Avg Balance'!R17=0,"",'Monthly NII'!R17*12/'Monthly Avg Balance'!R17)</x:f>
        <x:v>0.07643929306547965</x:v>
      </x:c>
      <x:c r="S17" s="48" t="n">
        <x:f>IF('Monthly Avg Balance'!S17=0,"",'Monthly NII'!S17*12/'Monthly Avg Balance'!S17)</x:f>
        <x:v>0.07643929306547964</x:v>
      </x:c>
      <x:c r="T17" s="48" t="n">
        <x:f>IF('Monthly Avg Balance'!T17=0,"",'Monthly NII'!T17*12/'Monthly Avg Balance'!T17)</x:f>
        <x:v>0.07394576182489188</x:v>
      </x:c>
      <x:c r="U17" s="48" t="n">
        <x:f>IF('Monthly Avg Balance'!U17=0,"",'Monthly NII'!U17*12/'Monthly Avg Balance'!U17)</x:f>
        <x:v>0.07394576182489188</x:v>
      </x:c>
      <x:c r="V17" s="48" t="n">
        <x:f>IF('Monthly Avg Balance'!V17=0,"",'Monthly NII'!V17*12/'Monthly Avg Balance'!V17)</x:f>
        <x:v>0.07394576182489186</x:v>
      </x:c>
      <x:c r="W17" s="48" t="n">
        <x:f>IF('Monthly Avg Balance'!W17=0,"",'Monthly NII'!W17*12/'Monthly Avg Balance'!W17)</x:f>
        <x:v>0.07040950185221885</x:v>
      </x:c>
      <x:c r="X17" s="48" t="n">
        <x:f>IF('Monthly Avg Balance'!X17=0,"",'Monthly NII'!X17*12/'Monthly Avg Balance'!X17)</x:f>
        <x:v>0.07040950185221885</x:v>
      </x:c>
      <x:c r="Y17" s="48" t="n">
        <x:f>IF('Monthly Avg Balance'!Y17=0,"",'Monthly NII'!Y17*12/'Monthly Avg Balance'!Y17)</x:f>
        <x:v>0.07040950185221885</x:v>
      </x:c>
      <x:c r="Z17" s="48" t="n">
        <x:f>IF('Monthly Avg Balance'!Z17=0,"",'Monthly NII'!Z17*12/'Monthly Avg Balance'!Z17)</x:f>
        <x:v>0.0658865227697932</x:v>
      </x:c>
      <x:c r="AA17" s="48" t="n">
        <x:f>IF('Monthly Avg Balance'!AA17=0,"",'Monthly NII'!AA17*12/'Monthly Avg Balance'!AA17)</x:f>
        <x:v>0.0658865227697932</x:v>
      </x:c>
      <x:c r="AB17" s="48" t="n">
        <x:f>IF('Monthly Avg Balance'!AB17=0,"",'Monthly NII'!AB17*12/'Monthly Avg Balance'!AB17)</x:f>
        <x:v>0.0658865227697932</x:v>
      </x:c>
      <x:c r="AC17" s="48" t="n">
        <x:f>IF('Monthly Avg Balance'!AC17=0,"",'Monthly NII'!AC17*12/'Monthly Avg Balance'!AC17)</x:f>
        <x:v>0.06503205768713205</x:v>
      </x:c>
      <x:c r="AD17" s="48" t="n">
        <x:f>IF('Monthly Avg Balance'!AD17=0,"",'Monthly NII'!AD17*12/'Monthly Avg Balance'!AD17)</x:f>
        <x:v>0.06503205768713205</x:v>
      </x:c>
      <x:c r="AE17" s="48" t="n">
        <x:f>IF('Monthly Avg Balance'!AE17=0,"",'Monthly NII'!AE17*12/'Monthly Avg Balance'!AE17)</x:f>
        <x:v>0.06503205768713206</x:v>
      </x:c>
      <x:c r="AF17" s="48" t="n">
        <x:f>IF('Monthly Avg Balance'!AF17=0,"",'Monthly NII'!AF17*12/'Monthly Avg Balance'!AF17)</x:f>
        <x:v>0.06481824801432645</x:v>
      </x:c>
      <x:c r="AG17" s="48" t="n">
        <x:f>IF('Monthly Avg Balance'!AG17=0,"",'Monthly NII'!AG17*12/'Monthly Avg Balance'!AG17)</x:f>
        <x:v>0.06481824801432645</x:v>
      </x:c>
      <x:c r="AH17" s="48" t="n">
        <x:f>IF('Monthly Avg Balance'!AH17=0,"",'Monthly NII'!AH17*12/'Monthly Avg Balance'!AH17)</x:f>
        <x:v>0.06481824801432647</x:v>
      </x:c>
      <x:c r="AI17" s="48" t="n">
        <x:f>IF('Monthly Avg Balance'!AI17=0,"",'Monthly NII'!AI17*12/'Monthly Avg Balance'!AI17)</x:f>
        <x:v>0.06064600898245677</x:v>
      </x:c>
      <x:c r="AJ17" s="48" t="n">
        <x:f>IF('Monthly Avg Balance'!AJ17=0,"",'Monthly NII'!AJ17*12/'Monthly Avg Balance'!AJ17)</x:f>
        <x:v>0.06064600898245676</x:v>
      </x:c>
      <x:c r="AK17" s="48" t="n">
        <x:f>IF('Monthly Avg Balance'!AK17=0,"",'Monthly NII'!AK17*12/'Monthly Avg Balance'!AK17)</x:f>
        <x:v>0.06064600898245678</x:v>
      </x:c>
      <x:c r="AL17" s="48" t="n">
        <x:f>IF('Monthly Avg Balance'!AL17=0,"",'Monthly NII'!AL17*12/'Monthly Avg Balance'!AL17)</x:f>
        <x:v>0.05602291225684137</x:v>
      </x:c>
      <x:c r="AM17" s="48" t="n">
        <x:f>IF('Monthly Avg Balance'!AM17=0,"",'Monthly NII'!AM17*12/'Monthly Avg Balance'!AM17)</x:f>
        <x:v>0.05602291225684136</x:v>
      </x:c>
      <x:c r="AN17" s="48" t="n">
        <x:f>IF('Monthly Avg Balance'!AN17=0,"",'Monthly NII'!AN17*12/'Monthly Avg Balance'!AN17)</x:f>
        <x:v>0.05602291225684137</x:v>
      </x:c>
      <x:c r="AO17" s="48" t="n">
        <x:f>IF('Monthly Avg Balance'!AO17=0,"",'Monthly NII'!AO17*12/'Monthly Avg Balance'!AO17)</x:f>
        <x:v>0.05655073985542899</x:v>
      </x:c>
      <x:c r="AP17" s="48" t="n">
        <x:f>IF('Monthly Avg Balance'!AP17=0,"",'Monthly NII'!AP17*12/'Monthly Avg Balance'!AP17)</x:f>
        <x:v>0.056550739855429</x:v>
      </x:c>
      <x:c r="AQ17" s="48" t="n">
        <x:f>IF('Monthly Avg Balance'!AQ17=0,"",'Monthly NII'!AQ17*12/'Monthly Avg Balance'!AQ17)</x:f>
        <x:v>0.056550739855429</x:v>
      </x:c>
    </x:row>
    <x:row r="18">
      <x:c r="A18" s="20" t="str">
        <x:v>  Other borrowings</x:v>
      </x:c>
      <x:c r="B18" s="48" t="n">
        <x:f>IF('Monthly Avg Balance'!B18=0,"",'Monthly NII'!B18*12/'Monthly Avg Balance'!B18)</x:f>
        <x:v>0.020556745182012854</x:v>
      </x:c>
      <x:c r="C18" s="48" t="n">
        <x:f>IF('Monthly Avg Balance'!C18=0,"",'Monthly NII'!C18*12/'Monthly Avg Balance'!C18)</x:f>
        <x:v>0.020556745182012854</x:v>
      </x:c>
      <x:c r="D18" s="48" t="n">
        <x:f>IF('Monthly Avg Balance'!D18=0,"",'Monthly NII'!D18*12/'Monthly Avg Balance'!D18)</x:f>
        <x:v>0.020556745182012854</x:v>
      </x:c>
      <x:c r="E18" s="48" t="n">
        <x:f>IF('Monthly Avg Balance'!E18=0,"",'Monthly NII'!E18*12/'Monthly Avg Balance'!E18)</x:f>
        <x:v>0.01984291029350971</x:v>
      </x:c>
      <x:c r="F18" s="48" t="n">
        <x:f>IF('Monthly Avg Balance'!F18=0,"",'Monthly NII'!F18*12/'Monthly Avg Balance'!F18)</x:f>
        <x:v>0.01984291029350971</x:v>
      </x:c>
      <x:c r="G18" s="48" t="n">
        <x:f>IF('Monthly Avg Balance'!G18=0,"",'Monthly NII'!G18*12/'Monthly Avg Balance'!G18)</x:f>
        <x:v>0.019842910293509715</x:v>
      </x:c>
      <x:c r="H18" s="48" t="n">
        <x:f>IF('Monthly Avg Balance'!H18=0,"",'Monthly NII'!H18*12/'Monthly Avg Balance'!H18)</x:f>
        <x:v>0.01779215527699151</x:v>
      </x:c>
      <x:c r="I18" s="48" t="n">
        <x:f>IF('Monthly Avg Balance'!I18=0,"",'Monthly NII'!I18*12/'Monthly Avg Balance'!I18)</x:f>
        <x:v>0.01779215527699151</x:v>
      </x:c>
      <x:c r="J18" s="48" t="n">
        <x:f>IF('Monthly Avg Balance'!J18=0,"",'Monthly NII'!J18*12/'Monthly Avg Balance'!J18)</x:f>
        <x:v>0.017792155276991507</x:v>
      </x:c>
      <x:c r="K18" s="48" t="n">
        <x:f>IF('Monthly Avg Balance'!K18=0,"",'Monthly NII'!K18*12/'Monthly Avg Balance'!K18)</x:f>
        <x:v>0.015228426395939085</x:v>
      </x:c>
      <x:c r="L18" s="48" t="n">
        <x:f>IF('Monthly Avg Balance'!L18=0,"",'Monthly NII'!L18*12/'Monthly Avg Balance'!L18)</x:f>
        <x:v>0.015228426395939087</x:v>
      </x:c>
      <x:c r="M18" s="48" t="n">
        <x:f>IF('Monthly Avg Balance'!M18=0,"",'Monthly NII'!M18*12/'Monthly Avg Balance'!M18)</x:f>
        <x:v>0.015228426395939087</x:v>
      </x:c>
      <x:c r="N18" s="48" t="n">
        <x:f>IF('Monthly Avg Balance'!N18=0,"",'Monthly NII'!N18*12/'Monthly Avg Balance'!N18)</x:f>
        <x:v>0.01346272507993493</x:v>
      </x:c>
      <x:c r="O18" s="48" t="n">
        <x:f>IF('Monthly Avg Balance'!O18=0,"",'Monthly NII'!O18*12/'Monthly Avg Balance'!O18)</x:f>
        <x:v>0.01346272507993493</x:v>
      </x:c>
      <x:c r="P18" s="48" t="n">
        <x:f>IF('Monthly Avg Balance'!P18=0,"",'Monthly NII'!P18*12/'Monthly Avg Balance'!P18)</x:f>
        <x:v>0.01346272507993493</x:v>
      </x:c>
      <x:c r="Q18" s="48" t="n">
        <x:f>IF('Monthly Avg Balance'!Q18=0,"",'Monthly NII'!Q18*12/'Monthly Avg Balance'!Q18)</x:f>
        <x:v>0.014129736673089274</x:v>
      </x:c>
      <x:c r="R18" s="48" t="n">
        <x:f>IF('Monthly Avg Balance'!R18=0,"",'Monthly NII'!R18*12/'Monthly Avg Balance'!R18)</x:f>
        <x:v>0.014129736673089276</x:v>
      </x:c>
      <x:c r="S18" s="48" t="n">
        <x:f>IF('Monthly Avg Balance'!S18=0,"",'Monthly NII'!S18*12/'Monthly Avg Balance'!S18)</x:f>
        <x:v>0.014129736673089276</x:v>
      </x:c>
      <x:c r="T18" s="48" t="n">
        <x:f>IF('Monthly Avg Balance'!T18=0,"",'Monthly NII'!T18*12/'Monthly Avg Balance'!T18)</x:f>
        <x:v>0.012115772941440428</x:v>
      </x:c>
      <x:c r="U18" s="48" t="n">
        <x:f>IF('Monthly Avg Balance'!U18=0,"",'Monthly NII'!U18*12/'Monthly Avg Balance'!U18)</x:f>
        <x:v>0.012115772941440431</x:v>
      </x:c>
      <x:c r="V18" s="48" t="n">
        <x:f>IF('Monthly Avg Balance'!V18=0,"",'Monthly NII'!V18*12/'Monthly Avg Balance'!V18)</x:f>
        <x:v>0.01211577294144043</x:v>
      </x:c>
      <x:c r="W18" s="48" t="n">
        <x:f>IF('Monthly Avg Balance'!W18=0,"",'Monthly NII'!W18*12/'Monthly Avg Balance'!W18)</x:f>
        <x:v>0.01573340617317673</x:v>
      </x:c>
      <x:c r="X18" s="48" t="n">
        <x:f>IF('Monthly Avg Balance'!X18=0,"",'Monthly NII'!X18*12/'Monthly Avg Balance'!X18)</x:f>
        <x:v>0.01573340617317673</x:v>
      </x:c>
      <x:c r="Y18" s="48" t="n">
        <x:f>IF('Monthly Avg Balance'!Y18=0,"",'Monthly NII'!Y18*12/'Monthly Avg Balance'!Y18)</x:f>
        <x:v>0.01573340617317673</x:v>
      </x:c>
      <x:c r="Z18" s="48" t="n">
        <x:f>IF('Monthly Avg Balance'!Z18=0,"",'Monthly NII'!Z18*12/'Monthly Avg Balance'!Z18)</x:f>
        <x:v>0.012480499219968796</x:v>
      </x:c>
      <x:c r="AA18" s="48" t="n">
        <x:f>IF('Monthly Avg Balance'!AA18=0,"",'Monthly NII'!AA18*12/'Monthly Avg Balance'!AA18)</x:f>
        <x:v>0.012480499219968796</x:v>
      </x:c>
      <x:c r="AB18" s="48" t="n">
        <x:f>IF('Monthly Avg Balance'!AB18=0,"",'Monthly NII'!AB18*12/'Monthly Avg Balance'!AB18)</x:f>
        <x:v>0.0124804992199688</x:v>
      </x:c>
      <x:c r="AC18" s="48" t="n">
        <x:f>IF('Monthly Avg Balance'!AC18=0,"",'Monthly NII'!AC18*12/'Monthly Avg Balance'!AC18)</x:f>
        <x:v>0.015942304042512807</x:v>
      </x:c>
      <x:c r="AD18" s="48" t="n">
        <x:f>IF('Monthly Avg Balance'!AD18=0,"",'Monthly NII'!AD18*12/'Monthly Avg Balance'!AD18)</x:f>
        <x:v>0.015942304042512807</x:v>
      </x:c>
      <x:c r="AE18" s="48" t="n">
        <x:f>IF('Monthly Avg Balance'!AE18=0,"",'Monthly NII'!AE18*12/'Monthly Avg Balance'!AE18)</x:f>
        <x:v>0.01594230404251281</x:v>
      </x:c>
      <x:c r="AF18" s="48" t="n">
        <x:f>IF('Monthly Avg Balance'!AF18=0,"",'Monthly NII'!AF18*12/'Monthly Avg Balance'!AF18)</x:f>
        <x:v>0.016014234875444844</x:v>
      </x:c>
      <x:c r="AG18" s="48" t="n">
        <x:f>IF('Monthly Avg Balance'!AG18=0,"",'Monthly NII'!AG18*12/'Monthly Avg Balance'!AG18)</x:f>
        <x:v>0.016014234875444844</x:v>
      </x:c>
      <x:c r="AH18" s="48" t="n">
        <x:f>IF('Monthly Avg Balance'!AH18=0,"",'Monthly NII'!AH18*12/'Monthly Avg Balance'!AH18)</x:f>
        <x:v>0.016014234875444837</x:v>
      </x:c>
      <x:c r="AI18" s="48" t="n">
        <x:f>IF('Monthly Avg Balance'!AI18=0,"",'Monthly NII'!AI18*12/'Monthly Avg Balance'!AI18)</x:f>
        <x:v>0.02108157653528872</x:v>
      </x:c>
      <x:c r="AJ18" s="48" t="n">
        <x:f>IF('Monthly Avg Balance'!AJ18=0,"",'Monthly NII'!AJ18*12/'Monthly Avg Balance'!AJ18)</x:f>
        <x:v>0.021081576535288728</x:v>
      </x:c>
      <x:c r="AK18" s="48" t="n">
        <x:f>IF('Monthly Avg Balance'!AK18=0,"",'Monthly NII'!AK18*12/'Monthly Avg Balance'!AK18)</x:f>
        <x:v>0.021081576535288728</x:v>
      </x:c>
      <x:c r="AL18" s="48" t="n">
        <x:f>IF('Monthly Avg Balance'!AL18=0,"",'Monthly NII'!AL18*12/'Monthly Avg Balance'!AL18)</x:f>
        <x:v>0.02222697157512289</x:v>
      </x:c>
      <x:c r="AM18" s="48" t="n">
        <x:f>IF('Monthly Avg Balance'!AM18=0,"",'Monthly NII'!AM18*12/'Monthly Avg Balance'!AM18)</x:f>
        <x:v>0.02222697157512289</x:v>
      </x:c>
      <x:c r="AN18" s="48" t="n">
        <x:f>IF('Monthly Avg Balance'!AN18=0,"",'Monthly NII'!AN18*12/'Monthly Avg Balance'!AN18)</x:f>
        <x:v>0.022226971575122895</x:v>
      </x:c>
      <x:c r="AO18" s="48" t="n">
        <x:f>IF('Monthly Avg Balance'!AO18=0,"",'Monthly NII'!AO18*12/'Monthly Avg Balance'!AO18)</x:f>
        <x:v>0.01918465227817746</x:v>
      </x:c>
      <x:c r="AP18" s="48" t="n">
        <x:f>IF('Monthly Avg Balance'!AP18=0,"",'Monthly NII'!AP18*12/'Monthly Avg Balance'!AP18)</x:f>
        <x:v>0.019184652278177464</x:v>
      </x:c>
      <x:c r="AQ18" s="48" t="n">
        <x:f>IF('Monthly Avg Balance'!AQ18=0,"",'Monthly NII'!AQ18*12/'Monthly Avg Balance'!AQ18)</x:f>
        <x:v>0.019184652278177457</x:v>
      </x:c>
    </x:row>
    <x:row r="19">
      <x:c r="A19" s="26" t="str">
        <x:v>  Total interest-bearing liabilities</x:v>
      </x:c>
      <x:c r="B19" s="51" t="n">
        <x:f>IF('Monthly Avg Balance'!B19=0,"",'Monthly NII'!B19*12/'Monthly Avg Balance'!B19)</x:f>
        <x:v>0.028651920448523053</x:v>
      </x:c>
      <x:c r="C19" s="51" t="n">
        <x:f>IF('Monthly Avg Balance'!C19=0,"",'Monthly NII'!C19*12/'Monthly Avg Balance'!C19)</x:f>
        <x:v>0.028651920448523053</x:v>
      </x:c>
      <x:c r="D19" s="51" t="n">
        <x:f>IF('Monthly Avg Balance'!D19=0,"",'Monthly NII'!D19*12/'Monthly Avg Balance'!D19)</x:f>
        <x:v>0.028651920448523053</x:v>
      </x:c>
      <x:c r="E19" s="51" t="n">
        <x:f>IF('Monthly Avg Balance'!E19=0,"",'Monthly NII'!E19*12/'Monthly Avg Balance'!E19)</x:f>
        <x:v>0.03360878415012007</x:v>
      </x:c>
      <x:c r="F19" s="51" t="n">
        <x:f>IF('Monthly Avg Balance'!F19=0,"",'Monthly NII'!F19*12/'Monthly Avg Balance'!F19)</x:f>
        <x:v>0.03359023869643908</x:v>
      </x:c>
      <x:c r="G19" s="51" t="n">
        <x:f>IF('Monthly Avg Balance'!G19=0,"",'Monthly NII'!G19*12/'Monthly Avg Balance'!G19)</x:f>
        <x:v>0.033572033431717385</x:v>
      </x:c>
      <x:c r="H19" s="51" t="n">
        <x:f>IF('Monthly Avg Balance'!H19=0,"",'Monthly NII'!H19*12/'Monthly Avg Balance'!H19)</x:f>
        <x:v>0.037454081101238386</x:v>
      </x:c>
      <x:c r="I19" s="51" t="n">
        <x:f>IF('Monthly Avg Balance'!I19=0,"",'Monthly NII'!I19*12/'Monthly Avg Balance'!I19)</x:f>
        <x:v>0.037533045398666226</x:v>
      </x:c>
      <x:c r="J19" s="51" t="n">
        <x:f>IF('Monthly Avg Balance'!J19=0,"",'Monthly NII'!J19*12/'Monthly Avg Balance'!J19)</x:f>
        <x:v>0.037612276455740556</x:v>
      </x:c>
      <x:c r="K19" s="51" t="n">
        <x:f>IF('Monthly Avg Balance'!K19=0,"",'Monthly NII'!K19*12/'Monthly Avg Balance'!K19)</x:f>
        <x:v>0.03917672651069616</x:v>
      </x:c>
      <x:c r="L19" s="51" t="n">
        <x:f>IF('Monthly Avg Balance'!L19=0,"",'Monthly NII'!L19*12/'Monthly Avg Balance'!L19)</x:f>
        <x:v>0.03918479104950163</x:v>
      </x:c>
      <x:c r="M19" s="51" t="n">
        <x:f>IF('Monthly Avg Balance'!M19=0,"",'Monthly NII'!M19*12/'Monthly Avg Balance'!M19)</x:f>
        <x:v>0.039158142530276434</x:v>
      </x:c>
      <x:c r="N19" s="51" t="n">
        <x:f>IF('Monthly Avg Balance'!N19=0,"",'Monthly NII'!N19*12/'Monthly Avg Balance'!N19)</x:f>
        <x:v>0.03984453227800932</x:v>
      </x:c>
      <x:c r="O19" s="51" t="n">
        <x:f>IF('Monthly Avg Balance'!O19=0,"",'Monthly NII'!O19*12/'Monthly Avg Balance'!O19)</x:f>
        <x:v>0.03979550285530166</x:v>
      </x:c>
      <x:c r="P19" s="51" t="n">
        <x:f>IF('Monthly Avg Balance'!P19=0,"",'Monthly NII'!P19*12/'Monthly Avg Balance'!P19)</x:f>
        <x:v>0.03984428090284091</x:v>
      </x:c>
      <x:c r="Q19" s="51" t="n">
        <x:f>IF('Monthly Avg Balance'!Q19=0,"",'Monthly NII'!Q19*12/'Monthly Avg Balance'!Q19)</x:f>
        <x:v>0.040092835862253616</x:v>
      </x:c>
      <x:c r="R19" s="51" t="n">
        <x:f>IF('Monthly Avg Balance'!R19=0,"",'Monthly NII'!R19*12/'Monthly Avg Balance'!R19)</x:f>
        <x:v>0.0398900655897204</x:v>
      </x:c>
      <x:c r="S19" s="51" t="n">
        <x:f>IF('Monthly Avg Balance'!S19=0,"",'Monthly NII'!S19*12/'Monthly Avg Balance'!S19)</x:f>
        <x:v>0.039934097647210724</x:v>
      </x:c>
      <x:c r="T19" s="51" t="n">
        <x:f>IF('Monthly Avg Balance'!T19=0,"",'Monthly NII'!T19*12/'Monthly Avg Balance'!T19)</x:f>
        <x:v>0.04035969859447538</x:v>
      </x:c>
      <x:c r="U19" s="51" t="n">
        <x:f>IF('Monthly Avg Balance'!U19=0,"",'Monthly NII'!U19*12/'Monthly Avg Balance'!U19)</x:f>
        <x:v>0.04030911518557615</x:v>
      </x:c>
      <x:c r="V19" s="51" t="n">
        <x:f>IF('Monthly Avg Balance'!V19=0,"",'Monthly NII'!V19*12/'Monthly Avg Balance'!V19)</x:f>
        <x:v>0.04046487188652667</x:v>
      </x:c>
      <x:c r="W19" s="51" t="n">
        <x:f>IF('Monthly Avg Balance'!W19=0,"",'Monthly NII'!W19*12/'Monthly Avg Balance'!W19)</x:f>
        <x:v>0.03827442124108131</x:v>
      </x:c>
      <x:c r="X19" s="51" t="n">
        <x:f>IF('Monthly Avg Balance'!X19=0,"",'Monthly NII'!X19*12/'Monthly Avg Balance'!X19)</x:f>
        <x:v>0.03797295928653341</x:v>
      </x:c>
      <x:c r="Y19" s="51" t="n">
        <x:f>IF('Monthly Avg Balance'!Y19=0,"",'Monthly NII'!Y19*12/'Monthly Avg Balance'!Y19)</x:f>
        <x:v>0.038035435650700354</x:v>
      </x:c>
      <x:c r="Z19" s="51" t="n">
        <x:f>IF('Monthly Avg Balance'!Z19=0,"",'Monthly NII'!Z19*12/'Monthly Avg Balance'!Z19)</x:f>
        <x:v>0.03549064544185509</x:v>
      </x:c>
      <x:c r="AA19" s="51" t="n">
        <x:f>IF('Monthly Avg Balance'!AA19=0,"",'Monthly NII'!AA19*12/'Monthly Avg Balance'!AA19)</x:f>
        <x:v>0.0353838134577266</x:v>
      </x:c>
      <x:c r="AB19" s="51" t="n">
        <x:f>IF('Monthly Avg Balance'!AB19=0,"",'Monthly NII'!AB19*12/'Monthly Avg Balance'!AB19)</x:f>
        <x:v>0.035311407057881224</x:v>
      </x:c>
      <x:c r="AC19" s="51" t="n">
        <x:f>IF('Monthly Avg Balance'!AC19=0,"",'Monthly NII'!AC19*12/'Monthly Avg Balance'!AC19)</x:f>
        <x:v>0.03526655753314303</x:v>
      </x:c>
      <x:c r="AD19" s="51" t="n">
        <x:f>IF('Monthly Avg Balance'!AD19=0,"",'Monthly NII'!AD19*12/'Monthly Avg Balance'!AD19)</x:f>
        <x:v>0.03517459886832304</x:v>
      </x:c>
      <x:c r="AE19" s="51" t="n">
        <x:f>IF('Monthly Avg Balance'!AE19=0,"",'Monthly NII'!AE19*12/'Monthly Avg Balance'!AE19)</x:f>
        <x:v>0.03524977081666112</x:v>
      </x:c>
      <x:c r="AF19" s="51" t="n">
        <x:f>IF('Monthly Avg Balance'!AF19=0,"",'Monthly NII'!AF19*12/'Monthly Avg Balance'!AF19)</x:f>
        <x:v>0.03555297540608721</x:v>
      </x:c>
      <x:c r="AG19" s="51" t="n">
        <x:f>IF('Monthly Avg Balance'!AG19=0,"",'Monthly NII'!AG19*12/'Monthly Avg Balance'!AG19)</x:f>
        <x:v>0.03537173799900169</x:v>
      </x:c>
      <x:c r="AH19" s="51" t="n">
        <x:f>IF('Monthly Avg Balance'!AH19=0,"",'Monthly NII'!AH19*12/'Monthly Avg Balance'!AH19)</x:f>
        <x:v>0.0355338483409369</x:v>
      </x:c>
      <x:c r="AI19" s="51" t="n">
        <x:f>IF('Monthly Avg Balance'!AI19=0,"",'Monthly NII'!AI19*12/'Monthly Avg Balance'!AI19)</x:f>
        <x:v>0.03411999479375503</x:v>
      </x:c>
      <x:c r="AJ19" s="51" t="n">
        <x:f>IF('Monthly Avg Balance'!AJ19=0,"",'Monthly NII'!AJ19*12/'Monthly Avg Balance'!AJ19)</x:f>
        <x:v>0.03398690619248281</x:v>
      </x:c>
      <x:c r="AK19" s="51" t="n">
        <x:f>IF('Monthly Avg Balance'!AK19=0,"",'Monthly NII'!AK19*12/'Monthly Avg Balance'!AK19)</x:f>
        <x:v>0.03404335608680019</x:v>
      </x:c>
      <x:c r="AL19" s="51" t="n">
        <x:f>IF('Monthly Avg Balance'!AL19=0,"",'Monthly NII'!AL19*12/'Monthly Avg Balance'!AL19)</x:f>
        <x:v>0.032307815994666464</x:v>
      </x:c>
      <x:c r="AM19" s="51" t="n">
        <x:f>IF('Monthly Avg Balance'!AM19=0,"",'Monthly NII'!AM19*12/'Monthly Avg Balance'!AM19)</x:f>
        <x:v>0.03229432993088886</x:v>
      </x:c>
      <x:c r="AN19" s="51" t="n">
        <x:f>IF('Monthly Avg Balance'!AN19=0,"",'Monthly NII'!AN19*12/'Monthly Avg Balance'!AN19)</x:f>
        <x:v>0.03227925731166321</x:v>
      </x:c>
      <x:c r="AO19" s="51" t="n">
        <x:f>IF('Monthly Avg Balance'!AO19=0,"",'Monthly NII'!AO19*12/'Monthly Avg Balance'!AO19)</x:f>
        <x:v>0.031510097757213064</x:v>
      </x:c>
      <x:c r="AP19" s="51" t="n">
        <x:f>IF('Monthly Avg Balance'!AP19=0,"",'Monthly NII'!AP19*12/'Monthly Avg Balance'!AP19)</x:f>
        <x:v>0.0314489088936014</x:v>
      </x:c>
      <x:c r="AQ19" s="51" t="n">
        <x:f>IF('Monthly Avg Balance'!AQ19=0,"",'Monthly NII'!AQ19*12/'Monthly Avg Balance'!AQ19)</x:f>
        <x:v>0.031407566042213335</x:v>
      </x:c>
    </x:row>
    <x:row r="20">
      <x:c r="A20" s="20"/>
      <x:c r="B20" s="48"/>
      <x:c r="C20" s="48"/>
      <x:c r="D20" s="48"/>
      <x:c r="E20" s="48"/>
      <x:c r="F20" s="48"/>
      <x:c r="G20" s="48"/>
      <x:c r="H20" s="48"/>
      <x:c r="I20" s="48"/>
      <x:c r="J20" s="48"/>
      <x:c r="K20" s="48"/>
      <x:c r="L20" s="48"/>
      <x:c r="M20" s="48"/>
      <x:c r="N20" s="48"/>
      <x:c r="O20" s="48"/>
      <x:c r="P20" s="48"/>
      <x:c r="Q20" s="48"/>
      <x:c r="R20" s="48"/>
      <x:c r="S20" s="48"/>
      <x:c r="T20" s="48"/>
      <x:c r="U20" s="48"/>
      <x:c r="V20" s="48"/>
      <x:c r="W20" s="48"/>
      <x:c r="X20" s="48"/>
      <x:c r="Y20" s="48"/>
      <x:c r="Z20" s="48"/>
      <x:c r="AA20" s="48"/>
      <x:c r="AB20" s="48"/>
      <x:c r="AC20" s="48"/>
      <x:c r="AD20" s="48"/>
      <x:c r="AE20" s="48"/>
      <x:c r="AF20" s="48"/>
      <x:c r="AG20" s="48"/>
      <x:c r="AH20" s="48"/>
      <x:c r="AI20" s="48"/>
      <x:c r="AJ20" s="48"/>
      <x:c r="AK20" s="48"/>
      <x:c r="AL20" s="48"/>
      <x:c r="AM20" s="48"/>
      <x:c r="AN20" s="48"/>
      <x:c r="AO20" s="48"/>
      <x:c r="AP20" s="48"/>
      <x:c r="AQ20" s="48"/>
    </x:row>
    <x:row r="21">
      <x:c r="A21" s="26" t="str">
        <x:v>Net interest spread (asset yield − funding cost)</x:v>
      </x:c>
      <x:c r="B21" s="51" t="n">
        <x:f>B12-B19</x:f>
        <x:v>0.06160573459066797</x:v>
      </x:c>
      <x:c r="C21" s="51" t="n">
        <x:f>C12-C19</x:f>
        <x:v>0.061271148472223994</x:v>
      </x:c>
      <x:c r="D21" s="51" t="n">
        <x:f>D12-D19</x:f>
        <x:v>0.06054424527013878</x:v>
      </x:c>
      <x:c r="E21" s="51" t="n">
        <x:f>E12-E19</x:f>
        <x:v>0.05897720126283844</x:v>
      </x:c>
      <x:c r="F21" s="51" t="n">
        <x:f>F12-F19</x:f>
        <x:v>0.05978040157835021</x:v>
      </x:c>
      <x:c r="G21" s="51" t="n">
        <x:f>G12-G19</x:f>
        <x:v>0.05948168692140825</x:v>
      </x:c>
      <x:c r="H21" s="51" t="n">
        <x:f>H12-H19</x:f>
        <x:v>0.06050956988906558</x:v>
      </x:c>
      <x:c r="I21" s="51" t="n">
        <x:f>I12-I19</x:f>
        <x:v>0.06073164967478241</x:v>
      </x:c>
      <x:c r="J21" s="51" t="n">
        <x:f>J12-J19</x:f>
        <x:v>0.06065540632266052</x:v>
      </x:c>
      <x:c r="K21" s="51" t="n">
        <x:f>K12-K19</x:f>
        <x:v>0.06008734186933558</x:v>
      </x:c>
      <x:c r="L21" s="51" t="n">
        <x:f>L12-L19</x:f>
        <x:v>0.059875110852558346</x:v>
      </x:c>
      <x:c r="M21" s="51" t="n">
        <x:f>M12-M19</x:f>
        <x:v>0.06113401275588375</x:v>
      </x:c>
      <x:c r="N21" s="51" t="n">
        <x:f>N12-N19</x:f>
        <x:v>0.0604775825706922</x:v>
      </x:c>
      <x:c r="O21" s="51" t="n">
        <x:f>O12-O19</x:f>
        <x:v>0.05894541250111973</x:v>
      </x:c>
      <x:c r="P21" s="51" t="n">
        <x:f>P12-P19</x:f>
        <x:v>0.05981448363377159</x:v>
      </x:c>
      <x:c r="Q21" s="51" t="n">
        <x:f>Q12-Q19</x:f>
        <x:v>0.05983081743528427</x:v>
      </x:c>
      <x:c r="R21" s="51" t="n">
        <x:f>R12-R19</x:f>
        <x:v>0.05891104169491035</x:v>
      </x:c>
      <x:c r="S21" s="51" t="n">
        <x:f>S12-S19</x:f>
        <x:v>0.06027578409981713</x:v>
      </x:c>
      <x:c r="T21" s="51" t="n">
        <x:f>T12-T19</x:f>
        <x:v>0.06425809787583445</x:v>
      </x:c>
      <x:c r="U21" s="51" t="n">
        <x:f>U12-U19</x:f>
        <x:v>0.0629550035272376</x:v>
      </x:c>
      <x:c r="V21" s="51" t="n">
        <x:f>V12-V19</x:f>
        <x:v>0.06363920087392448</x:v>
      </x:c>
      <x:c r="W21" s="51" t="n">
        <x:f>W12-W19</x:f>
        <x:v>0.06301432597549682</x:v>
      </x:c>
      <x:c r="X21" s="51" t="n">
        <x:f>X12-X19</x:f>
        <x:v>0.062344927899767394</x:v>
      </x:c>
      <x:c r="Y21" s="51" t="n">
        <x:f>Y12-Y19</x:f>
        <x:v>0.06409500055110867</x:v>
      </x:c>
      <x:c r="Z21" s="51" t="n">
        <x:f>Z12-Z19</x:f>
        <x:v>0.06359592556139437</x:v>
      </x:c>
      <x:c r="AA21" s="51" t="n">
        <x:f>AA12-AA19</x:f>
        <x:v>0.061769214706568716</x:v>
      </x:c>
      <x:c r="AB21" s="51" t="n">
        <x:f>AB12-AB19</x:f>
        <x:v>0.06304147430276436</x:v>
      </x:c>
      <x:c r="AC21" s="51" t="n">
        <x:f>AC12-AC19</x:f>
        <x:v>0.06880791784899781</x:v>
      </x:c>
      <x:c r="AD21" s="51" t="n">
        <x:f>AD12-AD19</x:f>
        <x:v>0.0694171984628323</x:v>
      </x:c>
      <x:c r="AE21" s="51" t="n">
        <x:f>AE12-AE19</x:f>
        <x:v>0.07148902230310189</x:v>
      </x:c>
      <x:c r="AF21" s="51" t="n">
        <x:f>AF12-AF19</x:f>
        <x:v>0.07744347677602961</x:v>
      </x:c>
      <x:c r="AG21" s="51" t="n">
        <x:f>AG12-AG19</x:f>
        <x:v>0.07695345341183824</x:v>
      </x:c>
      <x:c r="AH21" s="51" t="n">
        <x:f>AH12-AH19</x:f>
        <x:v>0.07755756570018559</x:v>
      </x:c>
      <x:c r="AI21" s="51" t="n">
        <x:f>AI12-AI19</x:f>
        <x:v>0.07640237295249702</x:v>
      </x:c>
      <x:c r="AJ21" s="51" t="n">
        <x:f>AJ12-AJ19</x:f>
        <x:v>0.07542683301366232</x:v>
      </x:c>
      <x:c r="AK21" s="51" t="n">
        <x:f>AK12-AK19</x:f>
        <x:v>0.07640205821089312</x:v>
      </x:c>
      <x:c r="AL21" s="51" t="n">
        <x:f>AL12-AL19</x:f>
        <x:v>0.07380202173633879</x:v>
      </x:c>
      <x:c r="AM21" s="51" t="n">
        <x:f>AM12-AM19</x:f>
        <x:v>0.0719369224477317</x:v>
      </x:c>
      <x:c r="AN21" s="51" t="n">
        <x:f>AN12-AN19</x:f>
        <x:v>0.07228037337638507</x:v>
      </x:c>
      <x:c r="AO21" s="51" t="n">
        <x:f>AO12-AO19</x:f>
        <x:v>0.0736291381780809</x:v>
      </x:c>
      <x:c r="AP21" s="51" t="n">
        <x:f>AP12-AP19</x:f>
        <x:v>0.07383016015163414</x:v>
      </x:c>
      <x:c r="AQ21" s="51" t="n">
        <x:f>AQ12-AQ19</x:f>
        <x:v>0.07570504103037826</x:v>
      </x:c>
    </x:row>
    <x:row r="22">
      <x:c r="A22" s="26" t="str">
        <x:v>Net interest margin (NII / avg earning assets)</x:v>
      </x:c>
      <x:c r="B22" s="51" t="n">
        <x:f>IF('Monthly Avg Balance'!B12=0,"",'Monthly NII'!B21*12/'Monthly Avg Balance'!B12)</x:f>
        <x:v>0.06636706056528646</x:v>
      </x:c>
      <x:c r="C22" s="51" t="n">
        <x:f>IF('Monthly Avg Balance'!C12=0,"",'Monthly NII'!C21*12/'Monthly Avg Balance'!C12)</x:f>
        <x:v>0.06621162281569601</x:v>
      </x:c>
      <x:c r="D22" s="51" t="n">
        <x:f>IF('Monthly Avg Balance'!D12=0,"",'Monthly NII'!D21*12/'Monthly Avg Balance'!D12)</x:f>
        <x:v>0.06587392740135042</x:v>
      </x:c>
      <x:c r="E22" s="51" t="n">
        <x:f>IF('Monthly Avg Balance'!E12=0,"",'Monthly NII'!E21*12/'Monthly Avg Balance'!E12)</x:f>
        <x:v>0.06502795248971593</x:v>
      </x:c>
      <x:c r="F22" s="51" t="n">
        <x:f>IF('Monthly Avg Balance'!F12=0,"",'Monthly NII'!F21*12/'Monthly Avg Balance'!F12)</x:f>
        <x:v>0.06519593959637703</x:v>
      </x:c>
      <x:c r="G22" s="51" t="n">
        <x:f>IF('Monthly Avg Balance'!G12=0,"",'Monthly NII'!G21*12/'Monthly Avg Balance'!G12)</x:f>
        <x:v>0.0649936692972171</x:v>
      </x:c>
      <x:c r="H22" s="51" t="n">
        <x:f>IF('Monthly Avg Balance'!H12=0,"",'Monthly NII'!H21*12/'Monthly Avg Balance'!H12)</x:f>
        <x:v>0.06684646062792542</x:v>
      </x:c>
      <x:c r="I22" s="51" t="n">
        <x:f>IF('Monthly Avg Balance'!I12=0,"",'Monthly NII'!I21*12/'Monthly Avg Balance'!I12)</x:f>
        <x:v>0.06704876680674698</x:v>
      </x:c>
      <x:c r="J22" s="51" t="n">
        <x:f>IF('Monthly Avg Balance'!J12=0,"",'Monthly NII'!J21*12/'Monthly Avg Balance'!J12)</x:f>
        <x:v>0.0671571160681567</x:v>
      </x:c>
      <x:c r="K22" s="51" t="n">
        <x:f>IF('Monthly Avg Balance'!K12=0,"",'Monthly NII'!K21*12/'Monthly Avg Balance'!K12)</x:f>
        <x:v>0.06700201268621776</x:v>
      </x:c>
      <x:c r="L22" s="51" t="n">
        <x:f>IF('Monthly Avg Balance'!L12=0,"",'Monthly NII'!L21*12/'Monthly Avg Balance'!L12)</x:f>
        <x:v>0.06671742403201898</x:v>
      </x:c>
      <x:c r="M22" s="51" t="n">
        <x:f>IF('Monthly Avg Balance'!M12=0,"",'Monthly NII'!M21*12/'Monthly Avg Balance'!M12)</x:f>
        <x:v>0.06774336658394144</x:v>
      </x:c>
      <x:c r="N22" s="51" t="n">
        <x:f>IF('Monthly Avg Balance'!N12=0,"",'Monthly NII'!N21*12/'Monthly Avg Balance'!N12)</x:f>
        <x:v>0.06738375553450908</x:v>
      </x:c>
      <x:c r="O22" s="51" t="n">
        <x:f>IF('Monthly Avg Balance'!O12=0,"",'Monthly NII'!O21*12/'Monthly Avg Balance'!O12)</x:f>
        <x:v>0.06614547455475818</x:v>
      </x:c>
      <x:c r="P22" s="51" t="n">
        <x:f>IF('Monthly Avg Balance'!P12=0,"",'Monthly NII'!P21*12/'Monthly Avg Balance'!P12)</x:f>
        <x:v>0.06659908297041787</x:v>
      </x:c>
      <x:c r="Q22" s="51" t="n">
        <x:f>IF('Monthly Avg Balance'!Q12=0,"",'Monthly NII'!Q21*12/'Monthly Avg Balance'!Q12)</x:f>
        <x:v>0.06666817356850302</x:v>
      </x:c>
      <x:c r="R22" s="51" t="n">
        <x:f>IF('Monthly Avg Balance'!R12=0,"",'Monthly NII'!R21*12/'Monthly Avg Balance'!R12)</x:f>
        <x:v>0.06613578840232522</x:v>
      </x:c>
      <x:c r="S22" s="51" t="n">
        <x:f>IF('Monthly Avg Balance'!S12=0,"",'Monthly NII'!S21*12/'Monthly Avg Balance'!S12)</x:f>
        <x:v>0.06717426601625648</x:v>
      </x:c>
      <x:c r="T22" s="51" t="n">
        <x:f>IF('Monthly Avg Balance'!T12=0,"",'Monthly NII'!T21*12/'Monthly Avg Balance'!T12)</x:f>
        <x:v>0.0712604239099117</x:v>
      </x:c>
      <x:c r="U22" s="51" t="n">
        <x:f>IF('Monthly Avg Balance'!U12=0,"",'Monthly NII'!U21*12/'Monthly Avg Balance'!U12)</x:f>
        <x:v>0.07037265006014858</x:v>
      </x:c>
      <x:c r="V22" s="51" t="n">
        <x:f>IF('Monthly Avg Balance'!V12=0,"",'Monthly NII'!V21*12/'Monthly Avg Balance'!V12)</x:f>
        <x:v>0.07081198926275158</x:v>
      </x:c>
      <x:c r="W22" s="51" t="n">
        <x:f>IF('Monthly Avg Balance'!W12=0,"",'Monthly NII'!W21*12/'Monthly Avg Balance'!W12)</x:f>
        <x:v>0.06986131620344659</x:v>
      </x:c>
      <x:c r="X22" s="51" t="n">
        <x:f>IF('Monthly Avg Balance'!X12=0,"",'Monthly NII'!X21*12/'Monthly Avg Balance'!X12)</x:f>
        <x:v>0.06942093508461249</x:v>
      </x:c>
      <x:c r="Y22" s="51" t="n">
        <x:f>IF('Monthly Avg Balance'!Y12=0,"",'Monthly NII'!Y21*12/'Monthly Avg Balance'!Y12)</x:f>
        <x:v>0.07063889612478018</x:v>
      </x:c>
      <x:c r="Z22" s="51" t="n">
        <x:f>IF('Monthly Avg Balance'!Z12=0,"",'Monthly NII'!Z21*12/'Monthly Avg Balance'!Z12)</x:f>
        <x:v>0.06958344358149082</x:v>
      </x:c>
      <x:c r="AA22" s="51" t="n">
        <x:f>IF('Monthly Avg Balance'!AA12=0,"",'Monthly NII'!AA21*12/'Monthly Avg Balance'!AA12)</x:f>
        <x:v>0.0680865263673288</x:v>
      </x:c>
      <x:c r="AB22" s="51" t="n">
        <x:f>IF('Monthly Avg Balance'!AB12=0,"",'Monthly NII'!AB21*12/'Monthly Avg Balance'!AB12)</x:f>
        <x:v>0.06907253432921652</x:v>
      </x:c>
      <x:c r="AC22" s="51" t="n">
        <x:f>IF('Monthly Avg Balance'!AC12=0,"",'Monthly NII'!AC21*12/'Monthly Avg Balance'!AC12)</x:f>
        <x:v>0.07483105787637073</x:v>
      </x:c>
      <x:c r="AD22" s="51" t="n">
        <x:f>IF('Monthly Avg Balance'!AD12=0,"",'Monthly NII'!AD21*12/'Monthly Avg Balance'!AD12)</x:f>
        <x:v>0.07566143012536877</x:v>
      </x:c>
      <x:c r="AE22" s="51" t="n">
        <x:f>IF('Monthly Avg Balance'!AE12=0,"",'Monthly NII'!AE21*12/'Monthly Avg Balance'!AE12)</x:f>
        <x:v>0.07742882129811365</x:v>
      </x:c>
      <x:c r="AF22" s="51" t="n">
        <x:f>IF('Monthly Avg Balance'!AF12=0,"",'Monthly NII'!AF21*12/'Monthly Avg Balance'!AF12)</x:f>
        <x:v>0.08345976681602674</x:v>
      </x:c>
      <x:c r="AG22" s="51" t="n">
        <x:f>IF('Monthly Avg Balance'!AG12=0,"",'Monthly NII'!AG21*12/'Monthly Avg Balance'!AG12)</x:f>
        <x:v>0.08325970991720447</x:v>
      </x:c>
      <x:c r="AH22" s="51" t="n">
        <x:f>IF('Monthly Avg Balance'!AH12=0,"",'Monthly NII'!AH21*12/'Monthly Avg Balance'!AH12)</x:f>
        <x:v>0.08369251817841528</x:v>
      </x:c>
      <x:c r="AI22" s="51" t="n">
        <x:f>IF('Monthly Avg Balance'!AI12=0,"",'Monthly NII'!AI21*12/'Monthly Avg Balance'!AI12)</x:f>
        <x:v>0.08241906151513151</x:v>
      </x:c>
      <x:c r="AJ22" s="51" t="n">
        <x:f>IF('Monthly Avg Balance'!AJ12=0,"",'Monthly NII'!AJ21*12/'Monthly Avg Balance'!AJ12)</x:f>
        <x:v>0.08180272123249499</x:v>
      </x:c>
      <x:c r="AK22" s="51" t="n">
        <x:f>IF('Monthly Avg Balance'!AK12=0,"",'Monthly NII'!AK21*12/'Monthly Avg Balance'!AK12)</x:f>
        <x:v>0.08258679480910024</x:v>
      </x:c>
      <x:c r="AL22" s="51" t="n">
        <x:f>IF('Monthly Avg Balance'!AL12=0,"",'Monthly NII'!AL21*12/'Monthly Avg Balance'!AL12)</x:f>
        <x:v>0.0796528295267551</x:v>
      </x:c>
      <x:c r="AM22" s="51" t="n">
        <x:f>IF('Monthly Avg Balance'!AM12=0,"",'Monthly NII'!AM21*12/'Monthly Avg Balance'!AM12)</x:f>
        <x:v>0.07796752670060052</x:v>
      </x:c>
      <x:c r="AN22" s="51" t="n">
        <x:f>IF('Monthly Avg Balance'!AN12=0,"",'Monthly NII'!AN21*12/'Monthly Avg Balance'!AN12)</x:f>
        <x:v>0.07801053606735106</x:v>
      </x:c>
      <x:c r="AO22" s="51" t="n">
        <x:f>IF('Monthly Avg Balance'!AO12=0,"",'Monthly NII'!AO21*12/'Monthly Avg Balance'!AO12)</x:f>
        <x:v>0.07911828073021968</x:v>
      </x:c>
      <x:c r="AP22" s="51" t="n">
        <x:f>IF('Monthly Avg Balance'!AP12=0,"",'Monthly NII'!AP21*12/'Monthly Avg Balance'!AP12)</x:f>
        <x:v>0.07947523956322879</x:v>
      </x:c>
      <x:c r="AQ22" s="51" t="n">
        <x:f>IF('Monthly Avg Balance'!AQ12=0,"",'Monthly NII'!AQ21*12/'Monthly Avg Balance'!AQ12)</x:f>
        <x:v>0.08121140422763126</x:v>
      </x:c>
    </x:row>
  </x:sheetData>
  <x:pageMargins left="0.7" right="0.7" top="0.75" bottom="0.75" header="0.3" footer="0.3"/>
</x:worksheet>
</file>

<file path=xl/worksheets/sheet10.xml><?xml version="1.0" encoding="utf-8"?>
<x:worksheet xmlns:x="http://schemas.openxmlformats.org/spreadsheetml/2006/main">
  <x:sheetViews>
    <x:sheetView showGridLines="1" workbookViewId="0">
      <x:pane xSplit="1" ySplit="4" topLeftCell="B5" activePane="bottomRight" state="frozen"/>
    </x:sheetView>
  </x:sheetViews>
  <x:sheetFormatPr defaultRowHeight="15"/>
  <x:cols>
    <x:col min="1" max="1" width="4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s>
  <x:sheetData>
    <x:row r="1">
      <x:c r="A1" s="28" t="str">
        <x:v>Controlled Monthly Imputation Checks</x:v>
      </x:c>
      <x:c r="B1" s="20"/>
      <x:c r="C1" s="20"/>
      <x:c r="D1" s="20"/>
      <x:c r="E1" s="20"/>
      <x:c r="F1" s="20"/>
      <x:c r="G1" s="20"/>
      <x:c r="H1" s="20"/>
      <x:c r="I1" s="20"/>
      <x:c r="J1" s="20"/>
      <x:c r="K1" s="20"/>
      <x:c r="L1" s="20"/>
      <x:c r="M1" s="20"/>
      <x:c r="N1" s="20"/>
      <x:c r="O1" s="20"/>
    </x:row>
    <x:row r="2">
      <x:c r="A2" s="29" t="str">
        <x:v>Control differences should equal 0.00. Rate differences are informational because disclosed rates are rounded.</x:v>
      </x:c>
      <x:c r="B2" s="20"/>
      <x:c r="C2" s="20"/>
      <x:c r="D2" s="20"/>
      <x:c r="E2" s="20"/>
      <x:c r="F2" s="20"/>
      <x:c r="G2" s="20"/>
      <x:c r="H2" s="20"/>
      <x:c r="I2" s="20"/>
      <x:c r="J2" s="20"/>
      <x:c r="K2" s="20"/>
      <x:c r="L2" s="20"/>
      <x:c r="M2" s="20"/>
      <x:c r="N2" s="20"/>
      <x:c r="O2" s="20"/>
    </x:row>
    <x:row r="3">
      <x:c r="A3" s="20"/>
      <x:c r="B3" s="20"/>
      <x:c r="C3" s="20"/>
      <x:c r="D3" s="20"/>
      <x:c r="E3" s="20"/>
      <x:c r="F3" s="20"/>
      <x:c r="G3" s="20"/>
      <x:c r="H3" s="20"/>
      <x:c r="I3" s="20"/>
      <x:c r="J3" s="20"/>
      <x:c r="K3" s="20"/>
      <x:c r="L3" s="20"/>
      <x:c r="M3" s="20"/>
      <x:c r="N3" s="20"/>
      <x:c r="O3" s="20"/>
    </x:row>
    <x:row r="4">
      <x:c r="A4" s="23" t="str">
        <x:v>Line item</x:v>
      </x:c>
      <x:c r="B4" s="23" t="str">
        <x:v>Q1:23</x:v>
      </x:c>
      <x:c r="C4" s="23" t="str">
        <x:v>Q2:23</x:v>
      </x:c>
      <x:c r="D4" s="23" t="str">
        <x:v>Q3:23</x:v>
      </x:c>
      <x:c r="E4" s="23" t="str">
        <x:v>Q4:23</x:v>
      </x:c>
      <x:c r="F4" s="23" t="str">
        <x:v>Q1:24</x:v>
      </x:c>
      <x:c r="G4" s="23" t="str">
        <x:v>Q2:24</x:v>
      </x:c>
      <x:c r="H4" s="23" t="str">
        <x:v>Q3:24</x:v>
      </x:c>
      <x:c r="I4" s="23" t="str">
        <x:v>Q4:24</x:v>
      </x:c>
      <x:c r="J4" s="23" t="str">
        <x:v>Q1:25</x:v>
      </x:c>
      <x:c r="K4" s="23" t="str">
        <x:v>Q2:25</x:v>
      </x:c>
      <x:c r="L4" s="23" t="str">
        <x:v>Q3:25</x:v>
      </x:c>
      <x:c r="M4" s="23" t="str">
        <x:v>Q4:25</x:v>
      </x:c>
      <x:c r="N4" s="23" t="str">
        <x:v>Q1:26</x:v>
      </x:c>
      <x:c r="O4" s="23" t="str">
        <x:v>Q2:26</x:v>
      </x:c>
    </x:row>
    <x:row r="5">
      <x:c r="A5" s="25" t="str">
        <x:v>QUARTER-END ANCHOR DIFFERENCE</x:v>
      </x:c>
      <x:c r="B5" s="25"/>
      <x:c r="C5" s="25"/>
      <x:c r="D5" s="25"/>
      <x:c r="E5" s="25"/>
      <x:c r="F5" s="25"/>
      <x:c r="G5" s="25"/>
      <x:c r="H5" s="25"/>
      <x:c r="I5" s="25"/>
      <x:c r="J5" s="25"/>
      <x:c r="K5" s="25"/>
      <x:c r="L5" s="25"/>
      <x:c r="M5" s="25"/>
      <x:c r="N5" s="25"/>
      <x:c r="O5" s="25"/>
    </x:row>
    <x:row r="6">
      <x:c r="A6" s="20" t="str">
        <x:v>  Credit card</x:v>
      </x:c>
      <x:c r="B6" s="54" t="str">
        <x:f>IF(ISNUMBER('Quarter-End Anchors'!C6),ROUND('Monthly EOP Balance'!E6-'Quarter-End Anchors'!C6,2),"")</x:f>
      </x:c>
      <x:c r="C6" s="54" t="str">
        <x:f>IF(ISNUMBER('Quarter-End Anchors'!D6),ROUND('Monthly EOP Balance'!H6-'Quarter-End Anchors'!D6,2),"")</x:f>
      </x:c>
      <x:c r="D6" s="54" t="str">
        <x:f>IF(ISNUMBER('Quarter-End Anchors'!E6),ROUND('Monthly EOP Balance'!K6-'Quarter-End Anchors'!E6,2),"")</x:f>
      </x:c>
      <x:c r="E6" s="54" t="n">
        <x:f>IF(ISNUMBER('Quarter-End Anchors'!F6),ROUND('Monthly EOP Balance'!N6-'Quarter-End Anchors'!F6,2),"")</x:f>
        <x:v>0</x:v>
      </x:c>
      <x:c r="F6" s="54" t="n">
        <x:f>IF(ISNUMBER('Quarter-End Anchors'!G6),ROUND('Monthly EOP Balance'!Q6-'Quarter-End Anchors'!G6,2),"")</x:f>
        <x:v>0</x:v>
      </x:c>
      <x:c r="G6" s="54" t="n">
        <x:f>IF(ISNUMBER('Quarter-End Anchors'!H6),ROUND('Monthly EOP Balance'!T6-'Quarter-End Anchors'!H6,2),"")</x:f>
        <x:v>0</x:v>
      </x:c>
      <x:c r="H6" s="54" t="n">
        <x:f>IF(ISNUMBER('Quarter-End Anchors'!I6),ROUND('Monthly EOP Balance'!W6-'Quarter-End Anchors'!I6,2),"")</x:f>
        <x:v>0</x:v>
      </x:c>
      <x:c r="I6" s="54" t="n">
        <x:f>IF(ISNUMBER('Quarter-End Anchors'!J6),ROUND('Monthly EOP Balance'!Z6-'Quarter-End Anchors'!J6,2),"")</x:f>
        <x:v>0</x:v>
      </x:c>
      <x:c r="J6" s="54" t="n">
        <x:f>IF(ISNUMBER('Quarter-End Anchors'!K6),ROUND('Monthly EOP Balance'!AC6-'Quarter-End Anchors'!K6,2),"")</x:f>
        <x:v>0</x:v>
      </x:c>
      <x:c r="K6" s="54" t="n">
        <x:f>IF(ISNUMBER('Quarter-End Anchors'!L6),ROUND('Monthly EOP Balance'!AF6-'Quarter-End Anchors'!L6,2),"")</x:f>
        <x:v>0</x:v>
      </x:c>
      <x:c r="L6" s="54" t="n">
        <x:f>IF(ISNUMBER('Quarter-End Anchors'!M6),ROUND('Monthly EOP Balance'!AI6-'Quarter-End Anchors'!M6,2),"")</x:f>
        <x:v>0</x:v>
      </x:c>
      <x:c r="M6" s="54" t="n">
        <x:f>IF(ISNUMBER('Quarter-End Anchors'!N6),ROUND('Monthly EOP Balance'!AL6-'Quarter-End Anchors'!N6,2),"")</x:f>
        <x:v>0</x:v>
      </x:c>
      <x:c r="N6" s="54" t="n">
        <x:f>IF(ISNUMBER('Quarter-End Anchors'!O6),ROUND('Monthly EOP Balance'!AO6-'Quarter-End Anchors'!O6,2),"")</x:f>
        <x:v>0</x:v>
      </x:c>
      <x:c r="O6" s="54" t="n">
        <x:f>IF(ISNUMBER('Quarter-End Anchors'!P6),ROUND('Monthly EOP Balance'!AR6-'Quarter-End Anchors'!P6,2),"")</x:f>
        <x:v>0</x:v>
      </x:c>
    </x:row>
    <x:row r="7">
      <x:c r="A7" s="20" t="str">
        <x:v>  Consumer banking</x:v>
      </x:c>
      <x:c r="B7" s="54" t="str">
        <x:f>IF(ISNUMBER('Quarter-End Anchors'!C7),ROUND('Monthly EOP Balance'!E7-'Quarter-End Anchors'!C7,2),"")</x:f>
      </x:c>
      <x:c r="C7" s="54" t="str">
        <x:f>IF(ISNUMBER('Quarter-End Anchors'!D7),ROUND('Monthly EOP Balance'!H7-'Quarter-End Anchors'!D7,2),"")</x:f>
      </x:c>
      <x:c r="D7" s="54" t="str">
        <x:f>IF(ISNUMBER('Quarter-End Anchors'!E7),ROUND('Monthly EOP Balance'!K7-'Quarter-End Anchors'!E7,2),"")</x:f>
      </x:c>
      <x:c r="E7" s="54" t="n">
        <x:f>IF(ISNUMBER('Quarter-End Anchors'!F7),ROUND('Monthly EOP Balance'!N7-'Quarter-End Anchors'!F7,2),"")</x:f>
        <x:v>0</x:v>
      </x:c>
      <x:c r="F7" s="54" t="n">
        <x:f>IF(ISNUMBER('Quarter-End Anchors'!G7),ROUND('Monthly EOP Balance'!Q7-'Quarter-End Anchors'!G7,2),"")</x:f>
        <x:v>0</x:v>
      </x:c>
      <x:c r="G7" s="54" t="n">
        <x:f>IF(ISNUMBER('Quarter-End Anchors'!H7),ROUND('Monthly EOP Balance'!T7-'Quarter-End Anchors'!H7,2),"")</x:f>
        <x:v>0</x:v>
      </x:c>
      <x:c r="H7" s="54" t="n">
        <x:f>IF(ISNUMBER('Quarter-End Anchors'!I7),ROUND('Monthly EOP Balance'!W7-'Quarter-End Anchors'!I7,2),"")</x:f>
        <x:v>0</x:v>
      </x:c>
      <x:c r="I7" s="54" t="n">
        <x:f>IF(ISNUMBER('Quarter-End Anchors'!J7),ROUND('Monthly EOP Balance'!Z7-'Quarter-End Anchors'!J7,2),"")</x:f>
        <x:v>0</x:v>
      </x:c>
      <x:c r="J7" s="54" t="n">
        <x:f>IF(ISNUMBER('Quarter-End Anchors'!K7),ROUND('Monthly EOP Balance'!AC7-'Quarter-End Anchors'!K7,2),"")</x:f>
        <x:v>0</x:v>
      </x:c>
      <x:c r="K7" s="54" t="n">
        <x:f>IF(ISNUMBER('Quarter-End Anchors'!L7),ROUND('Monthly EOP Balance'!AF7-'Quarter-End Anchors'!L7,2),"")</x:f>
        <x:v>0</x:v>
      </x:c>
      <x:c r="L7" s="54" t="n">
        <x:f>IF(ISNUMBER('Quarter-End Anchors'!M7),ROUND('Monthly EOP Balance'!AI7-'Quarter-End Anchors'!M7,2),"")</x:f>
        <x:v>0</x:v>
      </x:c>
      <x:c r="M7" s="54" t="n">
        <x:f>IF(ISNUMBER('Quarter-End Anchors'!N7),ROUND('Monthly EOP Balance'!AL7-'Quarter-End Anchors'!N7,2),"")</x:f>
        <x:v>0</x:v>
      </x:c>
      <x:c r="N7" s="54" t="n">
        <x:f>IF(ISNUMBER('Quarter-End Anchors'!O7),ROUND('Monthly EOP Balance'!AO7-'Quarter-End Anchors'!O7,2),"")</x:f>
        <x:v>0</x:v>
      </x:c>
      <x:c r="O7" s="54" t="n">
        <x:f>IF(ISNUMBER('Quarter-End Anchors'!P7),ROUND('Monthly EOP Balance'!AR7-'Quarter-End Anchors'!P7,2),"")</x:f>
        <x:v>0</x:v>
      </x:c>
    </x:row>
    <x:row r="8">
      <x:c r="A8" s="20" t="str">
        <x:v>  Commercial banking</x:v>
      </x:c>
      <x:c r="B8" s="54" t="str">
        <x:f>IF(ISNUMBER('Quarter-End Anchors'!C8),ROUND('Monthly EOP Balance'!E8-'Quarter-End Anchors'!C8,2),"")</x:f>
      </x:c>
      <x:c r="C8" s="54" t="str">
        <x:f>IF(ISNUMBER('Quarter-End Anchors'!D8),ROUND('Monthly EOP Balance'!H8-'Quarter-End Anchors'!D8,2),"")</x:f>
      </x:c>
      <x:c r="D8" s="54" t="str">
        <x:f>IF(ISNUMBER('Quarter-End Anchors'!E8),ROUND('Monthly EOP Balance'!K8-'Quarter-End Anchors'!E8,2),"")</x:f>
      </x:c>
      <x:c r="E8" s="54" t="n">
        <x:f>IF(ISNUMBER('Quarter-End Anchors'!F8),ROUND('Monthly EOP Balance'!N8-'Quarter-End Anchors'!F8,2),"")</x:f>
        <x:v>0</x:v>
      </x:c>
      <x:c r="F8" s="54" t="n">
        <x:f>IF(ISNUMBER('Quarter-End Anchors'!G8),ROUND('Monthly EOP Balance'!Q8-'Quarter-End Anchors'!G8,2),"")</x:f>
        <x:v>0</x:v>
      </x:c>
      <x:c r="G8" s="54" t="n">
        <x:f>IF(ISNUMBER('Quarter-End Anchors'!H8),ROUND('Monthly EOP Balance'!T8-'Quarter-End Anchors'!H8,2),"")</x:f>
        <x:v>0</x:v>
      </x:c>
      <x:c r="H8" s="54" t="n">
        <x:f>IF(ISNUMBER('Quarter-End Anchors'!I8),ROUND('Monthly EOP Balance'!W8-'Quarter-End Anchors'!I8,2),"")</x:f>
        <x:v>0</x:v>
      </x:c>
      <x:c r="I8" s="54" t="n">
        <x:f>IF(ISNUMBER('Quarter-End Anchors'!J8),ROUND('Monthly EOP Balance'!Z8-'Quarter-End Anchors'!J8,2),"")</x:f>
        <x:v>0</x:v>
      </x:c>
      <x:c r="J8" s="54" t="n">
        <x:f>IF(ISNUMBER('Quarter-End Anchors'!K8),ROUND('Monthly EOP Balance'!AC8-'Quarter-End Anchors'!K8,2),"")</x:f>
        <x:v>0</x:v>
      </x:c>
      <x:c r="K8" s="54" t="n">
        <x:f>IF(ISNUMBER('Quarter-End Anchors'!L8),ROUND('Monthly EOP Balance'!AF8-'Quarter-End Anchors'!L8,2),"")</x:f>
        <x:v>0</x:v>
      </x:c>
      <x:c r="L8" s="54" t="n">
        <x:f>IF(ISNUMBER('Quarter-End Anchors'!M8),ROUND('Monthly EOP Balance'!AI8-'Quarter-End Anchors'!M8,2),"")</x:f>
        <x:v>0</x:v>
      </x:c>
      <x:c r="M8" s="54" t="n">
        <x:f>IF(ISNUMBER('Quarter-End Anchors'!N8),ROUND('Monthly EOP Balance'!AL8-'Quarter-End Anchors'!N8,2),"")</x:f>
        <x:v>0</x:v>
      </x:c>
      <x:c r="N8" s="54" t="n">
        <x:f>IF(ISNUMBER('Quarter-End Anchors'!O8),ROUND('Monthly EOP Balance'!AO8-'Quarter-End Anchors'!O8,2),"")</x:f>
        <x:v>0</x:v>
      </x:c>
      <x:c r="O8" s="54" t="n">
        <x:f>IF(ISNUMBER('Quarter-End Anchors'!P8),ROUND('Monthly EOP Balance'!AR8-'Quarter-End Anchors'!P8,2),"")</x:f>
        <x:v>0</x:v>
      </x:c>
    </x:row>
    <x:row r="9">
      <x:c r="A9" s="20" t="str">
        <x:v>  Total loans (incl. HFS)</x:v>
      </x:c>
      <x:c r="B9" s="54" t="str">
        <x:f>IF(ISNUMBER('Quarter-End Anchors'!C9),ROUND('Monthly EOP Balance'!E9-'Quarter-End Anchors'!C9,2),"")</x:f>
      </x:c>
      <x:c r="C9" s="54" t="str">
        <x:f>IF(ISNUMBER('Quarter-End Anchors'!D9),ROUND('Monthly EOP Balance'!H9-'Quarter-End Anchors'!D9,2),"")</x:f>
      </x:c>
      <x:c r="D9" s="54" t="str">
        <x:f>IF(ISNUMBER('Quarter-End Anchors'!E9),ROUND('Monthly EOP Balance'!K9-'Quarter-End Anchors'!E9,2),"")</x:f>
      </x:c>
      <x:c r="E9" s="54" t="n">
        <x:f>IF(ISNUMBER('Quarter-End Anchors'!F9),ROUND('Monthly EOP Balance'!N9-'Quarter-End Anchors'!F9,2),"")</x:f>
        <x:v>0</x:v>
      </x:c>
      <x:c r="F9" s="54" t="n">
        <x:f>IF(ISNUMBER('Quarter-End Anchors'!G9),ROUND('Monthly EOP Balance'!Q9-'Quarter-End Anchors'!G9,2),"")</x:f>
        <x:v>0</x:v>
      </x:c>
      <x:c r="G9" s="54" t="n">
        <x:f>IF(ISNUMBER('Quarter-End Anchors'!H9),ROUND('Monthly EOP Balance'!T9-'Quarter-End Anchors'!H9,2),"")</x:f>
        <x:v>0</x:v>
      </x:c>
      <x:c r="H9" s="54" t="n">
        <x:f>IF(ISNUMBER('Quarter-End Anchors'!I9),ROUND('Monthly EOP Balance'!W9-'Quarter-End Anchors'!I9,2),"")</x:f>
        <x:v>0</x:v>
      </x:c>
      <x:c r="I9" s="54" t="n">
        <x:f>IF(ISNUMBER('Quarter-End Anchors'!J9),ROUND('Monthly EOP Balance'!Z9-'Quarter-End Anchors'!J9,2),"")</x:f>
        <x:v>0</x:v>
      </x:c>
      <x:c r="J9" s="54" t="n">
        <x:f>IF(ISNUMBER('Quarter-End Anchors'!K9),ROUND('Monthly EOP Balance'!AC9-'Quarter-End Anchors'!K9,2),"")</x:f>
        <x:v>0</x:v>
      </x:c>
      <x:c r="K9" s="54" t="n">
        <x:f>IF(ISNUMBER('Quarter-End Anchors'!L9),ROUND('Monthly EOP Balance'!AF9-'Quarter-End Anchors'!L9,2),"")</x:f>
        <x:v>0</x:v>
      </x:c>
      <x:c r="L9" s="54" t="n">
        <x:f>IF(ISNUMBER('Quarter-End Anchors'!M9),ROUND('Monthly EOP Balance'!AI9-'Quarter-End Anchors'!M9,2),"")</x:f>
        <x:v>0</x:v>
      </x:c>
      <x:c r="M9" s="54" t="n">
        <x:f>IF(ISNUMBER('Quarter-End Anchors'!N9),ROUND('Monthly EOP Balance'!AL9-'Quarter-End Anchors'!N9,2),"")</x:f>
        <x:v>0</x:v>
      </x:c>
      <x:c r="N9" s="54" t="n">
        <x:f>IF(ISNUMBER('Quarter-End Anchors'!O9),ROUND('Monthly EOP Balance'!AO9-'Quarter-End Anchors'!O9,2),"")</x:f>
        <x:v>0</x:v>
      </x:c>
      <x:c r="O9" s="54" t="n">
        <x:f>IF(ISNUMBER('Quarter-End Anchors'!P9),ROUND('Monthly EOP Balance'!AR9-'Quarter-End Anchors'!P9,2),"")</x:f>
        <x:v>0</x:v>
      </x:c>
    </x:row>
    <x:row r="10">
      <x:c r="A10" s="20" t="str">
        <x:v>  Investment securities</x:v>
      </x:c>
      <x:c r="B10" s="54" t="str">
        <x:f>IF(ISNUMBER('Quarter-End Anchors'!C10),ROUND('Monthly EOP Balance'!E10-'Quarter-End Anchors'!C10,2),"")</x:f>
      </x:c>
      <x:c r="C10" s="54" t="str">
        <x:f>IF(ISNUMBER('Quarter-End Anchors'!D10),ROUND('Monthly EOP Balance'!H10-'Quarter-End Anchors'!D10,2),"")</x:f>
      </x:c>
      <x:c r="D10" s="54" t="str">
        <x:f>IF(ISNUMBER('Quarter-End Anchors'!E10),ROUND('Monthly EOP Balance'!K10-'Quarter-End Anchors'!E10,2),"")</x:f>
      </x:c>
      <x:c r="E10" s="54" t="n">
        <x:f>IF(ISNUMBER('Quarter-End Anchors'!F10),ROUND('Monthly EOP Balance'!N10-'Quarter-End Anchors'!F10,2),"")</x:f>
        <x:v>0</x:v>
      </x:c>
      <x:c r="F10" s="54" t="n">
        <x:f>IF(ISNUMBER('Quarter-End Anchors'!G10),ROUND('Monthly EOP Balance'!Q10-'Quarter-End Anchors'!G10,2),"")</x:f>
        <x:v>0</x:v>
      </x:c>
      <x:c r="G10" s="54" t="n">
        <x:f>IF(ISNUMBER('Quarter-End Anchors'!H10),ROUND('Monthly EOP Balance'!T10-'Quarter-End Anchors'!H10,2),"")</x:f>
        <x:v>0</x:v>
      </x:c>
      <x:c r="H10" s="54" t="n">
        <x:f>IF(ISNUMBER('Quarter-End Anchors'!I10),ROUND('Monthly EOP Balance'!W10-'Quarter-End Anchors'!I10,2),"")</x:f>
        <x:v>0</x:v>
      </x:c>
      <x:c r="I10" s="54" t="n">
        <x:f>IF(ISNUMBER('Quarter-End Anchors'!J10),ROUND('Monthly EOP Balance'!Z10-'Quarter-End Anchors'!J10,2),"")</x:f>
        <x:v>0</x:v>
      </x:c>
      <x:c r="J10" s="54" t="n">
        <x:f>IF(ISNUMBER('Quarter-End Anchors'!K10),ROUND('Monthly EOP Balance'!AC10-'Quarter-End Anchors'!K10,2),"")</x:f>
        <x:v>0</x:v>
      </x:c>
      <x:c r="K10" s="54" t="n">
        <x:f>IF(ISNUMBER('Quarter-End Anchors'!L10),ROUND('Monthly EOP Balance'!AF10-'Quarter-End Anchors'!L10,2),"")</x:f>
        <x:v>0</x:v>
      </x:c>
      <x:c r="L10" s="54" t="n">
        <x:f>IF(ISNUMBER('Quarter-End Anchors'!M10),ROUND('Monthly EOP Balance'!AI10-'Quarter-End Anchors'!M10,2),"")</x:f>
        <x:v>0</x:v>
      </x:c>
      <x:c r="M10" s="54" t="n">
        <x:f>IF(ISNUMBER('Quarter-End Anchors'!N10),ROUND('Monthly EOP Balance'!AL10-'Quarter-End Anchors'!N10,2),"")</x:f>
        <x:v>0</x:v>
      </x:c>
      <x:c r="N10" s="54" t="n">
        <x:f>IF(ISNUMBER('Quarter-End Anchors'!O10),ROUND('Monthly EOP Balance'!AO10-'Quarter-End Anchors'!O10,2),"")</x:f>
        <x:v>0</x:v>
      </x:c>
      <x:c r="O10" s="54" t="n">
        <x:f>IF(ISNUMBER('Quarter-End Anchors'!P10),ROUND('Monthly EOP Balance'!AR10-'Quarter-End Anchors'!P10,2),"")</x:f>
        <x:v>0</x:v>
      </x:c>
    </x:row>
    <x:row r="11">
      <x:c r="A11" s="20" t="str">
        <x:v>  Cash equivalents and other</x:v>
      </x:c>
      <x:c r="B11" s="54" t="n">
        <x:f>IF(ISNUMBER('Quarter-End Anchors'!C11),ROUND('Monthly EOP Balance'!E11-'Quarter-End Anchors'!C11,2),"")</x:f>
        <x:v>0</x:v>
      </x:c>
      <x:c r="C11" s="54" t="n">
        <x:f>IF(ISNUMBER('Quarter-End Anchors'!D11),ROUND('Monthly EOP Balance'!H11-'Quarter-End Anchors'!D11,2),"")</x:f>
        <x:v>0</x:v>
      </x:c>
      <x:c r="D11" s="54" t="n">
        <x:f>IF(ISNUMBER('Quarter-End Anchors'!E11),ROUND('Monthly EOP Balance'!K11-'Quarter-End Anchors'!E11,2),"")</x:f>
        <x:v>0</x:v>
      </x:c>
      <x:c r="E11" s="54" t="n">
        <x:f>IF(ISNUMBER('Quarter-End Anchors'!F11),ROUND('Monthly EOP Balance'!N11-'Quarter-End Anchors'!F11,2),"")</x:f>
        <x:v>0</x:v>
      </x:c>
      <x:c r="F11" s="54" t="n">
        <x:f>IF(ISNUMBER('Quarter-End Anchors'!G11),ROUND('Monthly EOP Balance'!Q11-'Quarter-End Anchors'!G11,2),"")</x:f>
        <x:v>0</x:v>
      </x:c>
      <x:c r="G11" s="54" t="n">
        <x:f>IF(ISNUMBER('Quarter-End Anchors'!H11),ROUND('Monthly EOP Balance'!T11-'Quarter-End Anchors'!H11,2),"")</x:f>
        <x:v>0</x:v>
      </x:c>
      <x:c r="H11" s="54" t="n">
        <x:f>IF(ISNUMBER('Quarter-End Anchors'!I11),ROUND('Monthly EOP Balance'!W11-'Quarter-End Anchors'!I11,2),"")</x:f>
        <x:v>0</x:v>
      </x:c>
      <x:c r="I11" s="54" t="n">
        <x:f>IF(ISNUMBER('Quarter-End Anchors'!J11),ROUND('Monthly EOP Balance'!Z11-'Quarter-End Anchors'!J11,2),"")</x:f>
        <x:v>0</x:v>
      </x:c>
      <x:c r="J11" s="54" t="n">
        <x:f>IF(ISNUMBER('Quarter-End Anchors'!K11),ROUND('Monthly EOP Balance'!AC11-'Quarter-End Anchors'!K11,2),"")</x:f>
        <x:v>0</x:v>
      </x:c>
      <x:c r="K11" s="54" t="n">
        <x:f>IF(ISNUMBER('Quarter-End Anchors'!L11),ROUND('Monthly EOP Balance'!AF11-'Quarter-End Anchors'!L11,2),"")</x:f>
        <x:v>0</x:v>
      </x:c>
      <x:c r="L11" s="54" t="n">
        <x:f>IF(ISNUMBER('Quarter-End Anchors'!M11),ROUND('Monthly EOP Balance'!AI11-'Quarter-End Anchors'!M11,2),"")</x:f>
        <x:v>0</x:v>
      </x:c>
      <x:c r="M11" s="54" t="n">
        <x:f>IF(ISNUMBER('Quarter-End Anchors'!N11),ROUND('Monthly EOP Balance'!AL11-'Quarter-End Anchors'!N11,2),"")</x:f>
        <x:v>0</x:v>
      </x:c>
      <x:c r="N11" s="54" t="n">
        <x:f>IF(ISNUMBER('Quarter-End Anchors'!O11),ROUND('Monthly EOP Balance'!AO11-'Quarter-End Anchors'!O11,2),"")</x:f>
        <x:v>0</x:v>
      </x:c>
      <x:c r="O11" s="54" t="n">
        <x:f>IF(ISNUMBER('Quarter-End Anchors'!P11),ROUND('Monthly EOP Balance'!AR11-'Quarter-End Anchors'!P11,2),"")</x:f>
        <x:v>0</x:v>
      </x:c>
    </x:row>
    <x:row r="12">
      <x:c r="A12" s="20" t="str">
        <x:v>  Total interest-earning assets</x:v>
      </x:c>
      <x:c r="B12" s="54" t="str">
        <x:f>IF(ISNUMBER('Quarter-End Anchors'!C12),ROUND('Monthly EOP Balance'!E12-'Quarter-End Anchors'!C12,2),"")</x:f>
      </x:c>
      <x:c r="C12" s="54" t="str">
        <x:f>IF(ISNUMBER('Quarter-End Anchors'!D12),ROUND('Monthly EOP Balance'!H12-'Quarter-End Anchors'!D12,2),"")</x:f>
      </x:c>
      <x:c r="D12" s="54" t="str">
        <x:f>IF(ISNUMBER('Quarter-End Anchors'!E12),ROUND('Monthly EOP Balance'!K12-'Quarter-End Anchors'!E12,2),"")</x:f>
      </x:c>
      <x:c r="E12" s="54" t="n">
        <x:f>IF(ISNUMBER('Quarter-End Anchors'!F12),ROUND('Monthly EOP Balance'!N12-'Quarter-End Anchors'!F12,2),"")</x:f>
        <x:v>0</x:v>
      </x:c>
      <x:c r="F12" s="54" t="n">
        <x:f>IF(ISNUMBER('Quarter-End Anchors'!G12),ROUND('Monthly EOP Balance'!Q12-'Quarter-End Anchors'!G12,2),"")</x:f>
        <x:v>0</x:v>
      </x:c>
      <x:c r="G12" s="54" t="n">
        <x:f>IF(ISNUMBER('Quarter-End Anchors'!H12),ROUND('Monthly EOP Balance'!T12-'Quarter-End Anchors'!H12,2),"")</x:f>
        <x:v>0</x:v>
      </x:c>
      <x:c r="H12" s="54" t="n">
        <x:f>IF(ISNUMBER('Quarter-End Anchors'!I12),ROUND('Monthly EOP Balance'!W12-'Quarter-End Anchors'!I12,2),"")</x:f>
        <x:v>0</x:v>
      </x:c>
      <x:c r="I12" s="54" t="n">
        <x:f>IF(ISNUMBER('Quarter-End Anchors'!J12),ROUND('Monthly EOP Balance'!Z12-'Quarter-End Anchors'!J12,2),"")</x:f>
        <x:v>0</x:v>
      </x:c>
      <x:c r="J12" s="54" t="n">
        <x:f>IF(ISNUMBER('Quarter-End Anchors'!K12),ROUND('Monthly EOP Balance'!AC12-'Quarter-End Anchors'!K12,2),"")</x:f>
        <x:v>0</x:v>
      </x:c>
      <x:c r="K12" s="54" t="n">
        <x:f>IF(ISNUMBER('Quarter-End Anchors'!L12),ROUND('Monthly EOP Balance'!AF12-'Quarter-End Anchors'!L12,2),"")</x:f>
        <x:v>0</x:v>
      </x:c>
      <x:c r="L12" s="54" t="n">
        <x:f>IF(ISNUMBER('Quarter-End Anchors'!M12),ROUND('Monthly EOP Balance'!AI12-'Quarter-End Anchors'!M12,2),"")</x:f>
        <x:v>0</x:v>
      </x:c>
      <x:c r="M12" s="54" t="n">
        <x:f>IF(ISNUMBER('Quarter-End Anchors'!N12),ROUND('Monthly EOP Balance'!AL12-'Quarter-End Anchors'!N12,2),"")</x:f>
        <x:v>0</x:v>
      </x:c>
      <x:c r="N12" s="54" t="n">
        <x:f>IF(ISNUMBER('Quarter-End Anchors'!O12),ROUND('Monthly EOP Balance'!AO12-'Quarter-End Anchors'!O12,2),"")</x:f>
        <x:v>0</x:v>
      </x:c>
      <x:c r="O12" s="54" t="n">
        <x:f>IF(ISNUMBER('Quarter-End Anchors'!P12),ROUND('Monthly EOP Balance'!AR12-'Quarter-End Anchors'!P12,2),"")</x:f>
        <x:v>0</x:v>
      </x:c>
    </x:row>
    <x:row r="13">
      <x:c r="A13" s="20" t="str">
        <x:v>  Interest-bearing deposits</x:v>
      </x:c>
      <x:c r="B13" s="54" t="str">
        <x:f>IF(ISNUMBER('Quarter-End Anchors'!C15),ROUND('Monthly EOP Balance'!E15-'Quarter-End Anchors'!C15,2),"")</x:f>
      </x:c>
      <x:c r="C13" s="54" t="str">
        <x:f>IF(ISNUMBER('Quarter-End Anchors'!D15),ROUND('Monthly EOP Balance'!H15-'Quarter-End Anchors'!D15,2),"")</x:f>
      </x:c>
      <x:c r="D13" s="54" t="str">
        <x:f>IF(ISNUMBER('Quarter-End Anchors'!E15),ROUND('Monthly EOP Balance'!K15-'Quarter-End Anchors'!E15,2),"")</x:f>
      </x:c>
      <x:c r="E13" s="54" t="n">
        <x:f>IF(ISNUMBER('Quarter-End Anchors'!F15),ROUND('Monthly EOP Balance'!N15-'Quarter-End Anchors'!F15,2),"")</x:f>
        <x:v>0</x:v>
      </x:c>
      <x:c r="F13" s="54" t="n">
        <x:f>IF(ISNUMBER('Quarter-End Anchors'!G15),ROUND('Monthly EOP Balance'!Q15-'Quarter-End Anchors'!G15,2),"")</x:f>
        <x:v>0</x:v>
      </x:c>
      <x:c r="G13" s="54" t="n">
        <x:f>IF(ISNUMBER('Quarter-End Anchors'!H15),ROUND('Monthly EOP Balance'!T15-'Quarter-End Anchors'!H15,2),"")</x:f>
        <x:v>0</x:v>
      </x:c>
      <x:c r="H13" s="54" t="n">
        <x:f>IF(ISNUMBER('Quarter-End Anchors'!I15),ROUND('Monthly EOP Balance'!W15-'Quarter-End Anchors'!I15,2),"")</x:f>
        <x:v>0</x:v>
      </x:c>
      <x:c r="I13" s="54" t="n">
        <x:f>IF(ISNUMBER('Quarter-End Anchors'!J15),ROUND('Monthly EOP Balance'!Z15-'Quarter-End Anchors'!J15,2),"")</x:f>
        <x:v>0</x:v>
      </x:c>
      <x:c r="J13" s="54" t="n">
        <x:f>IF(ISNUMBER('Quarter-End Anchors'!K15),ROUND('Monthly EOP Balance'!AC15-'Quarter-End Anchors'!K15,2),"")</x:f>
        <x:v>0</x:v>
      </x:c>
      <x:c r="K13" s="54" t="n">
        <x:f>IF(ISNUMBER('Quarter-End Anchors'!L15),ROUND('Monthly EOP Balance'!AF15-'Quarter-End Anchors'!L15,2),"")</x:f>
        <x:v>0</x:v>
      </x:c>
      <x:c r="L13" s="54" t="n">
        <x:f>IF(ISNUMBER('Quarter-End Anchors'!M15),ROUND('Monthly EOP Balance'!AI15-'Quarter-End Anchors'!M15,2),"")</x:f>
        <x:v>0</x:v>
      </x:c>
      <x:c r="M13" s="54" t="n">
        <x:f>IF(ISNUMBER('Quarter-End Anchors'!N15),ROUND('Monthly EOP Balance'!AL15-'Quarter-End Anchors'!N15,2),"")</x:f>
        <x:v>0</x:v>
      </x:c>
      <x:c r="N13" s="54" t="n">
        <x:f>IF(ISNUMBER('Quarter-End Anchors'!O15),ROUND('Monthly EOP Balance'!AO15-'Quarter-End Anchors'!O15,2),"")</x:f>
        <x:v>0</x:v>
      </x:c>
      <x:c r="O13" s="54" t="n">
        <x:f>IF(ISNUMBER('Quarter-End Anchors'!P15),ROUND('Monthly EOP Balance'!AR15-'Quarter-End Anchors'!P15,2),"")</x:f>
        <x:v>0</x:v>
      </x:c>
    </x:row>
    <x:row r="14">
      <x:c r="A14" s="20" t="str">
        <x:v>  Securitized debt obligations</x:v>
      </x:c>
      <x:c r="B14" s="54" t="str">
        <x:f>IF(ISNUMBER('Quarter-End Anchors'!C16),ROUND('Monthly EOP Balance'!E16-'Quarter-End Anchors'!C16,2),"")</x:f>
      </x:c>
      <x:c r="C14" s="54" t="str">
        <x:f>IF(ISNUMBER('Quarter-End Anchors'!D16),ROUND('Monthly EOP Balance'!H16-'Quarter-End Anchors'!D16,2),"")</x:f>
      </x:c>
      <x:c r="D14" s="54" t="str">
        <x:f>IF(ISNUMBER('Quarter-End Anchors'!E16),ROUND('Monthly EOP Balance'!K16-'Quarter-End Anchors'!E16,2),"")</x:f>
      </x:c>
      <x:c r="E14" s="54" t="n">
        <x:f>IF(ISNUMBER('Quarter-End Anchors'!F16),ROUND('Monthly EOP Balance'!N16-'Quarter-End Anchors'!F16,2),"")</x:f>
        <x:v>0</x:v>
      </x:c>
      <x:c r="F14" s="54" t="n">
        <x:f>IF(ISNUMBER('Quarter-End Anchors'!G16),ROUND('Monthly EOP Balance'!Q16-'Quarter-End Anchors'!G16,2),"")</x:f>
        <x:v>0</x:v>
      </x:c>
      <x:c r="G14" s="54" t="n">
        <x:f>IF(ISNUMBER('Quarter-End Anchors'!H16),ROUND('Monthly EOP Balance'!T16-'Quarter-End Anchors'!H16,2),"")</x:f>
        <x:v>0</x:v>
      </x:c>
      <x:c r="H14" s="54" t="n">
        <x:f>IF(ISNUMBER('Quarter-End Anchors'!I16),ROUND('Monthly EOP Balance'!W16-'Quarter-End Anchors'!I16,2),"")</x:f>
        <x:v>0</x:v>
      </x:c>
      <x:c r="I14" s="54" t="n">
        <x:f>IF(ISNUMBER('Quarter-End Anchors'!J16),ROUND('Monthly EOP Balance'!Z16-'Quarter-End Anchors'!J16,2),"")</x:f>
        <x:v>0</x:v>
      </x:c>
      <x:c r="J14" s="54" t="n">
        <x:f>IF(ISNUMBER('Quarter-End Anchors'!K16),ROUND('Monthly EOP Balance'!AC16-'Quarter-End Anchors'!K16,2),"")</x:f>
        <x:v>0</x:v>
      </x:c>
      <x:c r="K14" s="54" t="n">
        <x:f>IF(ISNUMBER('Quarter-End Anchors'!L16),ROUND('Monthly EOP Balance'!AF16-'Quarter-End Anchors'!L16,2),"")</x:f>
        <x:v>0</x:v>
      </x:c>
      <x:c r="L14" s="54" t="n">
        <x:f>IF(ISNUMBER('Quarter-End Anchors'!M16),ROUND('Monthly EOP Balance'!AI16-'Quarter-End Anchors'!M16,2),"")</x:f>
        <x:v>0</x:v>
      </x:c>
      <x:c r="M14" s="54" t="n">
        <x:f>IF(ISNUMBER('Quarter-End Anchors'!N16),ROUND('Monthly EOP Balance'!AL16-'Quarter-End Anchors'!N16,2),"")</x:f>
        <x:v>0</x:v>
      </x:c>
      <x:c r="N14" s="54" t="n">
        <x:f>IF(ISNUMBER('Quarter-End Anchors'!O16),ROUND('Monthly EOP Balance'!AO16-'Quarter-End Anchors'!O16,2),"")</x:f>
        <x:v>0</x:v>
      </x:c>
      <x:c r="O14" s="54" t="n">
        <x:f>IF(ISNUMBER('Quarter-End Anchors'!P16),ROUND('Monthly EOP Balance'!AR16-'Quarter-End Anchors'!P16,2),"")</x:f>
        <x:v>0</x:v>
      </x:c>
    </x:row>
    <x:row r="15">
      <x:c r="A15" s="20" t="str">
        <x:v>  Senior and subordinated notes</x:v>
      </x:c>
      <x:c r="B15" s="54" t="str">
        <x:f>IF(ISNUMBER('Quarter-End Anchors'!C17),ROUND('Monthly EOP Balance'!E17-'Quarter-End Anchors'!C17,2),"")</x:f>
      </x:c>
      <x:c r="C15" s="54" t="str">
        <x:f>IF(ISNUMBER('Quarter-End Anchors'!D17),ROUND('Monthly EOP Balance'!H17-'Quarter-End Anchors'!D17,2),"")</x:f>
      </x:c>
      <x:c r="D15" s="54" t="str">
        <x:f>IF(ISNUMBER('Quarter-End Anchors'!E17),ROUND('Monthly EOP Balance'!K17-'Quarter-End Anchors'!E17,2),"")</x:f>
      </x:c>
      <x:c r="E15" s="54" t="n">
        <x:f>IF(ISNUMBER('Quarter-End Anchors'!F17),ROUND('Monthly EOP Balance'!N17-'Quarter-End Anchors'!F17,2),"")</x:f>
        <x:v>0</x:v>
      </x:c>
      <x:c r="F15" s="54" t="n">
        <x:f>IF(ISNUMBER('Quarter-End Anchors'!G17),ROUND('Monthly EOP Balance'!Q17-'Quarter-End Anchors'!G17,2),"")</x:f>
        <x:v>0</x:v>
      </x:c>
      <x:c r="G15" s="54" t="n">
        <x:f>IF(ISNUMBER('Quarter-End Anchors'!H17),ROUND('Monthly EOP Balance'!T17-'Quarter-End Anchors'!H17,2),"")</x:f>
        <x:v>0</x:v>
      </x:c>
      <x:c r="H15" s="54" t="n">
        <x:f>IF(ISNUMBER('Quarter-End Anchors'!I17),ROUND('Monthly EOP Balance'!W17-'Quarter-End Anchors'!I17,2),"")</x:f>
        <x:v>0</x:v>
      </x:c>
      <x:c r="I15" s="54" t="n">
        <x:f>IF(ISNUMBER('Quarter-End Anchors'!J17),ROUND('Monthly EOP Balance'!Z17-'Quarter-End Anchors'!J17,2),"")</x:f>
        <x:v>0</x:v>
      </x:c>
      <x:c r="J15" s="54" t="n">
        <x:f>IF(ISNUMBER('Quarter-End Anchors'!K17),ROUND('Monthly EOP Balance'!AC17-'Quarter-End Anchors'!K17,2),"")</x:f>
        <x:v>0</x:v>
      </x:c>
      <x:c r="K15" s="54" t="n">
        <x:f>IF(ISNUMBER('Quarter-End Anchors'!L17),ROUND('Monthly EOP Balance'!AF17-'Quarter-End Anchors'!L17,2),"")</x:f>
        <x:v>0</x:v>
      </x:c>
      <x:c r="L15" s="54" t="n">
        <x:f>IF(ISNUMBER('Quarter-End Anchors'!M17),ROUND('Monthly EOP Balance'!AI17-'Quarter-End Anchors'!M17,2),"")</x:f>
        <x:v>0</x:v>
      </x:c>
      <x:c r="M15" s="54" t="n">
        <x:f>IF(ISNUMBER('Quarter-End Anchors'!N17),ROUND('Monthly EOP Balance'!AL17-'Quarter-End Anchors'!N17,2),"")</x:f>
        <x:v>0</x:v>
      </x:c>
      <x:c r="N15" s="54" t="n">
        <x:f>IF(ISNUMBER('Quarter-End Anchors'!O17),ROUND('Monthly EOP Balance'!AO17-'Quarter-End Anchors'!O17,2),"")</x:f>
        <x:v>0</x:v>
      </x:c>
      <x:c r="O15" s="54" t="n">
        <x:f>IF(ISNUMBER('Quarter-End Anchors'!P17),ROUND('Monthly EOP Balance'!AR17-'Quarter-End Anchors'!P17,2),"")</x:f>
        <x:v>0</x:v>
      </x:c>
    </x:row>
    <x:row r="16">
      <x:c r="A16" s="20" t="str">
        <x:v>  Other borrowings</x:v>
      </x:c>
      <x:c r="B16" s="54" t="str">
        <x:f>IF(ISNUMBER('Quarter-End Anchors'!C18),ROUND('Monthly EOP Balance'!E18-'Quarter-End Anchors'!C18,2),"")</x:f>
      </x:c>
      <x:c r="C16" s="54" t="str">
        <x:f>IF(ISNUMBER('Quarter-End Anchors'!D18),ROUND('Monthly EOP Balance'!H18-'Quarter-End Anchors'!D18,2),"")</x:f>
      </x:c>
      <x:c r="D16" s="54" t="str">
        <x:f>IF(ISNUMBER('Quarter-End Anchors'!E18),ROUND('Monthly EOP Balance'!K18-'Quarter-End Anchors'!E18,2),"")</x:f>
      </x:c>
      <x:c r="E16" s="54" t="n">
        <x:f>IF(ISNUMBER('Quarter-End Anchors'!F18),ROUND('Monthly EOP Balance'!N18-'Quarter-End Anchors'!F18,2),"")</x:f>
        <x:v>0</x:v>
      </x:c>
      <x:c r="F16" s="54" t="n">
        <x:f>IF(ISNUMBER('Quarter-End Anchors'!G18),ROUND('Monthly EOP Balance'!Q18-'Quarter-End Anchors'!G18,2),"")</x:f>
        <x:v>0</x:v>
      </x:c>
      <x:c r="G16" s="54" t="n">
        <x:f>IF(ISNUMBER('Quarter-End Anchors'!H18),ROUND('Monthly EOP Balance'!T18-'Quarter-End Anchors'!H18,2),"")</x:f>
        <x:v>0</x:v>
      </x:c>
      <x:c r="H16" s="54" t="n">
        <x:f>IF(ISNUMBER('Quarter-End Anchors'!I18),ROUND('Monthly EOP Balance'!W18-'Quarter-End Anchors'!I18,2),"")</x:f>
        <x:v>0</x:v>
      </x:c>
      <x:c r="I16" s="54" t="n">
        <x:f>IF(ISNUMBER('Quarter-End Anchors'!J18),ROUND('Monthly EOP Balance'!Z18-'Quarter-End Anchors'!J18,2),"")</x:f>
        <x:v>0</x:v>
      </x:c>
      <x:c r="J16" s="54" t="n">
        <x:f>IF(ISNUMBER('Quarter-End Anchors'!K18),ROUND('Monthly EOP Balance'!AC18-'Quarter-End Anchors'!K18,2),"")</x:f>
        <x:v>0</x:v>
      </x:c>
      <x:c r="K16" s="54" t="n">
        <x:f>IF(ISNUMBER('Quarter-End Anchors'!L18),ROUND('Monthly EOP Balance'!AF18-'Quarter-End Anchors'!L18,2),"")</x:f>
        <x:v>0</x:v>
      </x:c>
      <x:c r="L16" s="54" t="n">
        <x:f>IF(ISNUMBER('Quarter-End Anchors'!M18),ROUND('Monthly EOP Balance'!AI18-'Quarter-End Anchors'!M18,2),"")</x:f>
        <x:v>0</x:v>
      </x:c>
      <x:c r="M16" s="54" t="n">
        <x:f>IF(ISNUMBER('Quarter-End Anchors'!N18),ROUND('Monthly EOP Balance'!AL18-'Quarter-End Anchors'!N18,2),"")</x:f>
        <x:v>0</x:v>
      </x:c>
      <x:c r="N16" s="54" t="n">
        <x:f>IF(ISNUMBER('Quarter-End Anchors'!O18),ROUND('Monthly EOP Balance'!AO18-'Quarter-End Anchors'!O18,2),"")</x:f>
        <x:v>0</x:v>
      </x:c>
      <x:c r="O16" s="54" t="n">
        <x:f>IF(ISNUMBER('Quarter-End Anchors'!P18),ROUND('Monthly EOP Balance'!AR18-'Quarter-End Anchors'!P18,2),"")</x:f>
        <x:v>0</x:v>
      </x:c>
    </x:row>
    <x:row r="17">
      <x:c r="A17" s="20" t="str">
        <x:v>  Total interest-bearing liabilities</x:v>
      </x:c>
      <x:c r="B17" s="54" t="str">
        <x:f>IF(ISNUMBER('Quarter-End Anchors'!C19),ROUND('Monthly EOP Balance'!E19-'Quarter-End Anchors'!C19,2),"")</x:f>
      </x:c>
      <x:c r="C17" s="54" t="str">
        <x:f>IF(ISNUMBER('Quarter-End Anchors'!D19),ROUND('Monthly EOP Balance'!H19-'Quarter-End Anchors'!D19,2),"")</x:f>
      </x:c>
      <x:c r="D17" s="54" t="str">
        <x:f>IF(ISNUMBER('Quarter-End Anchors'!E19),ROUND('Monthly EOP Balance'!K19-'Quarter-End Anchors'!E19,2),"")</x:f>
      </x:c>
      <x:c r="E17" s="54" t="n">
        <x:f>IF(ISNUMBER('Quarter-End Anchors'!F19),ROUND('Monthly EOP Balance'!N19-'Quarter-End Anchors'!F19,2),"")</x:f>
        <x:v>0</x:v>
      </x:c>
      <x:c r="F17" s="54" t="n">
        <x:f>IF(ISNUMBER('Quarter-End Anchors'!G19),ROUND('Monthly EOP Balance'!Q19-'Quarter-End Anchors'!G19,2),"")</x:f>
        <x:v>0</x:v>
      </x:c>
      <x:c r="G17" s="54" t="n">
        <x:f>IF(ISNUMBER('Quarter-End Anchors'!H19),ROUND('Monthly EOP Balance'!T19-'Quarter-End Anchors'!H19,2),"")</x:f>
        <x:v>0</x:v>
      </x:c>
      <x:c r="H17" s="54" t="n">
        <x:f>IF(ISNUMBER('Quarter-End Anchors'!I19),ROUND('Monthly EOP Balance'!W19-'Quarter-End Anchors'!I19,2),"")</x:f>
        <x:v>0</x:v>
      </x:c>
      <x:c r="I17" s="54" t="n">
        <x:f>IF(ISNUMBER('Quarter-End Anchors'!J19),ROUND('Monthly EOP Balance'!Z19-'Quarter-End Anchors'!J19,2),"")</x:f>
        <x:v>0</x:v>
      </x:c>
      <x:c r="J17" s="54" t="n">
        <x:f>IF(ISNUMBER('Quarter-End Anchors'!K19),ROUND('Monthly EOP Balance'!AC19-'Quarter-End Anchors'!K19,2),"")</x:f>
        <x:v>0</x:v>
      </x:c>
      <x:c r="K17" s="54" t="n">
        <x:f>IF(ISNUMBER('Quarter-End Anchors'!L19),ROUND('Monthly EOP Balance'!AF19-'Quarter-End Anchors'!L19,2),"")</x:f>
        <x:v>0</x:v>
      </x:c>
      <x:c r="L17" s="54" t="n">
        <x:f>IF(ISNUMBER('Quarter-End Anchors'!M19),ROUND('Monthly EOP Balance'!AI19-'Quarter-End Anchors'!M19,2),"")</x:f>
        <x:v>0</x:v>
      </x:c>
      <x:c r="M17" s="54" t="n">
        <x:f>IF(ISNUMBER('Quarter-End Anchors'!N19),ROUND('Monthly EOP Balance'!AL19-'Quarter-End Anchors'!N19,2),"")</x:f>
        <x:v>0</x:v>
      </x:c>
      <x:c r="N17" s="54" t="n">
        <x:f>IF(ISNUMBER('Quarter-End Anchors'!O19),ROUND('Monthly EOP Balance'!AO19-'Quarter-End Anchors'!O19,2),"")</x:f>
        <x:v>0</x:v>
      </x:c>
      <x:c r="O17" s="54" t="n">
        <x:f>IF(ISNUMBER('Quarter-End Anchors'!P19),ROUND('Monthly EOP Balance'!AR19-'Quarter-End Anchors'!P19,2),"")</x:f>
        <x:v>0</x:v>
      </x:c>
    </x:row>
    <x:row r="18">
      <x:c r="A18" s="20"/>
      <x:c r="B18" s="54"/>
      <x:c r="C18" s="54"/>
      <x:c r="D18" s="54"/>
      <x:c r="E18" s="54"/>
      <x:c r="F18" s="54"/>
      <x:c r="G18" s="54"/>
      <x:c r="H18" s="54"/>
      <x:c r="I18" s="54"/>
      <x:c r="J18" s="54"/>
      <x:c r="K18" s="54"/>
      <x:c r="L18" s="54"/>
      <x:c r="M18" s="54"/>
      <x:c r="N18" s="54"/>
      <x:c r="O18" s="54"/>
    </x:row>
    <x:row r="19">
      <x:c r="A19" s="25" t="str">
        <x:v>FOUR-POINT AVERAGE BALANCE DIFFERENCE</x:v>
      </x:c>
      <x:c r="B19" s="55"/>
      <x:c r="C19" s="55"/>
      <x:c r="D19" s="55"/>
      <x:c r="E19" s="55"/>
      <x:c r="F19" s="55"/>
      <x:c r="G19" s="55"/>
      <x:c r="H19" s="55"/>
      <x:c r="I19" s="55"/>
      <x:c r="J19" s="55"/>
      <x:c r="K19" s="55"/>
      <x:c r="L19" s="55"/>
      <x:c r="M19" s="55"/>
      <x:c r="N19" s="55"/>
      <x:c r="O19" s="55"/>
    </x:row>
    <x:row r="20">
      <x:c r="A20" s="20" t="str">
        <x:v>  Credit card</x:v>
      </x:c>
      <x:c r="B20" s="54" t="n">
        <x:f>ROUND(SUM('Monthly EOP Balance'!B6:'Monthly EOP Balance'!E6)/4-Balance!B6,2)</x:f>
        <x:v>0</x:v>
      </x:c>
      <x:c r="C20" s="54" t="n">
        <x:f>ROUND(SUM('Monthly EOP Balance'!E6:'Monthly EOP Balance'!H6)/4-Balance!C6,2)</x:f>
        <x:v>0</x:v>
      </x:c>
      <x:c r="D20" s="54" t="n">
        <x:f>ROUND(SUM('Monthly EOP Balance'!H6:'Monthly EOP Balance'!K6)/4-Balance!D6,2)</x:f>
        <x:v>0</x:v>
      </x:c>
      <x:c r="E20" s="54" t="n">
        <x:f>ROUND(SUM('Monthly EOP Balance'!K6:'Monthly EOP Balance'!N6)/4-Balance!E6,2)</x:f>
        <x:v>0</x:v>
      </x:c>
      <x:c r="F20" s="54" t="n">
        <x:f>ROUND(SUM('Monthly EOP Balance'!N6:'Monthly EOP Balance'!Q6)/4-Balance!F6,2)</x:f>
        <x:v>0</x:v>
      </x:c>
      <x:c r="G20" s="54" t="n">
        <x:f>ROUND(SUM('Monthly EOP Balance'!Q6:'Monthly EOP Balance'!T6)/4-Balance!G6,2)</x:f>
        <x:v>0</x:v>
      </x:c>
      <x:c r="H20" s="54" t="n">
        <x:f>ROUND(SUM('Monthly EOP Balance'!T6:'Monthly EOP Balance'!W6)/4-Balance!H6,2)</x:f>
        <x:v>0</x:v>
      </x:c>
      <x:c r="I20" s="54" t="n">
        <x:f>ROUND(SUM('Monthly EOP Balance'!W6:'Monthly EOP Balance'!Z6)/4-Balance!I6,2)</x:f>
        <x:v>0</x:v>
      </x:c>
      <x:c r="J20" s="54" t="n">
        <x:f>ROUND(SUM('Monthly EOP Balance'!Z6:'Monthly EOP Balance'!AC6)/4-Balance!J6,2)</x:f>
        <x:v>0</x:v>
      </x:c>
      <x:c r="K20" s="54" t="n">
        <x:f>ROUND(SUM('Monthly EOP Balance'!AC6:'Monthly EOP Balance'!AF6)/4-Balance!K6,2)</x:f>
        <x:v>0</x:v>
      </x:c>
      <x:c r="L20" s="54" t="n">
        <x:f>ROUND(SUM('Monthly EOP Balance'!AF6:'Monthly EOP Balance'!AI6)/4-Balance!L6,2)</x:f>
        <x:v>0</x:v>
      </x:c>
      <x:c r="M20" s="54" t="n">
        <x:f>ROUND(SUM('Monthly EOP Balance'!AI6:'Monthly EOP Balance'!AL6)/4-Balance!M6,2)</x:f>
        <x:v>0</x:v>
      </x:c>
      <x:c r="N20" s="54" t="n">
        <x:f>ROUND(SUM('Monthly EOP Balance'!AL6:'Monthly EOP Balance'!AO6)/4-Balance!N6,2)</x:f>
        <x:v>0</x:v>
      </x:c>
      <x:c r="O20" s="54" t="n">
        <x:f>ROUND(SUM('Monthly EOP Balance'!AO6:'Monthly EOP Balance'!AR6)/4-Balance!O6,2)</x:f>
        <x:v>0</x:v>
      </x:c>
    </x:row>
    <x:row r="21">
      <x:c r="A21" s="20" t="str">
        <x:v>  Consumer banking</x:v>
      </x:c>
      <x:c r="B21" s="54" t="n">
        <x:f>ROUND(SUM('Monthly EOP Balance'!B7:'Monthly EOP Balance'!E7)/4-Balance!B7,2)</x:f>
        <x:v>0</x:v>
      </x:c>
      <x:c r="C21" s="54" t="n">
        <x:f>ROUND(SUM('Monthly EOP Balance'!E7:'Monthly EOP Balance'!H7)/4-Balance!C7,2)</x:f>
        <x:v>0</x:v>
      </x:c>
      <x:c r="D21" s="54" t="n">
        <x:f>ROUND(SUM('Monthly EOP Balance'!H7:'Monthly EOP Balance'!K7)/4-Balance!D7,2)</x:f>
        <x:v>0</x:v>
      </x:c>
      <x:c r="E21" s="54" t="n">
        <x:f>ROUND(SUM('Monthly EOP Balance'!K7:'Monthly EOP Balance'!N7)/4-Balance!E7,2)</x:f>
        <x:v>0</x:v>
      </x:c>
      <x:c r="F21" s="54" t="n">
        <x:f>ROUND(SUM('Monthly EOP Balance'!N7:'Monthly EOP Balance'!Q7)/4-Balance!F7,2)</x:f>
        <x:v>0</x:v>
      </x:c>
      <x:c r="G21" s="54" t="n">
        <x:f>ROUND(SUM('Monthly EOP Balance'!Q7:'Monthly EOP Balance'!T7)/4-Balance!G7,2)</x:f>
        <x:v>0</x:v>
      </x:c>
      <x:c r="H21" s="54" t="n">
        <x:f>ROUND(SUM('Monthly EOP Balance'!T7:'Monthly EOP Balance'!W7)/4-Balance!H7,2)</x:f>
        <x:v>0</x:v>
      </x:c>
      <x:c r="I21" s="54" t="n">
        <x:f>ROUND(SUM('Monthly EOP Balance'!W7:'Monthly EOP Balance'!Z7)/4-Balance!I7,2)</x:f>
        <x:v>0</x:v>
      </x:c>
      <x:c r="J21" s="54" t="n">
        <x:f>ROUND(SUM('Monthly EOP Balance'!Z7:'Monthly EOP Balance'!AC7)/4-Balance!J7,2)</x:f>
        <x:v>0</x:v>
      </x:c>
      <x:c r="K21" s="54" t="n">
        <x:f>ROUND(SUM('Monthly EOP Balance'!AC7:'Monthly EOP Balance'!AF7)/4-Balance!K7,2)</x:f>
        <x:v>0</x:v>
      </x:c>
      <x:c r="L21" s="54" t="n">
        <x:f>ROUND(SUM('Monthly EOP Balance'!AF7:'Monthly EOP Balance'!AI7)/4-Balance!L7,2)</x:f>
        <x:v>0</x:v>
      </x:c>
      <x:c r="M21" s="54" t="n">
        <x:f>ROUND(SUM('Monthly EOP Balance'!AI7:'Monthly EOP Balance'!AL7)/4-Balance!M7,2)</x:f>
        <x:v>0</x:v>
      </x:c>
      <x:c r="N21" s="54" t="n">
        <x:f>ROUND(SUM('Monthly EOP Balance'!AL7:'Monthly EOP Balance'!AO7)/4-Balance!N7,2)</x:f>
        <x:v>0</x:v>
      </x:c>
      <x:c r="O21" s="54" t="n">
        <x:f>ROUND(SUM('Monthly EOP Balance'!AO7:'Monthly EOP Balance'!AR7)/4-Balance!O7,2)</x:f>
        <x:v>0</x:v>
      </x:c>
    </x:row>
    <x:row r="22">
      <x:c r="A22" s="20" t="str">
        <x:v>  Commercial banking</x:v>
      </x:c>
      <x:c r="B22" s="54" t="n">
        <x:f>ROUND(SUM('Monthly EOP Balance'!B8:'Monthly EOP Balance'!E8)/4-Balance!B8,2)</x:f>
        <x:v>0</x:v>
      </x:c>
      <x:c r="C22" s="54" t="n">
        <x:f>ROUND(SUM('Monthly EOP Balance'!E8:'Monthly EOP Balance'!H8)/4-Balance!C8,2)</x:f>
        <x:v>0</x:v>
      </x:c>
      <x:c r="D22" s="54" t="n">
        <x:f>ROUND(SUM('Monthly EOP Balance'!H8:'Monthly EOP Balance'!K8)/4-Balance!D8,2)</x:f>
        <x:v>0</x:v>
      </x:c>
      <x:c r="E22" s="54" t="n">
        <x:f>ROUND(SUM('Monthly EOP Balance'!K8:'Monthly EOP Balance'!N8)/4-Balance!E8,2)</x:f>
        <x:v>0</x:v>
      </x:c>
      <x:c r="F22" s="54" t="n">
        <x:f>ROUND(SUM('Monthly EOP Balance'!N8:'Monthly EOP Balance'!Q8)/4-Balance!F8,2)</x:f>
        <x:v>0</x:v>
      </x:c>
      <x:c r="G22" s="54" t="n">
        <x:f>ROUND(SUM('Monthly EOP Balance'!Q8:'Monthly EOP Balance'!T8)/4-Balance!G8,2)</x:f>
        <x:v>0</x:v>
      </x:c>
      <x:c r="H22" s="54" t="n">
        <x:f>ROUND(SUM('Monthly EOP Balance'!T8:'Monthly EOP Balance'!W8)/4-Balance!H8,2)</x:f>
        <x:v>0</x:v>
      </x:c>
      <x:c r="I22" s="54" t="n">
        <x:f>ROUND(SUM('Monthly EOP Balance'!W8:'Monthly EOP Balance'!Z8)/4-Balance!I8,2)</x:f>
        <x:v>0</x:v>
      </x:c>
      <x:c r="J22" s="54" t="n">
        <x:f>ROUND(SUM('Monthly EOP Balance'!Z8:'Monthly EOP Balance'!AC8)/4-Balance!J8,2)</x:f>
        <x:v>0</x:v>
      </x:c>
      <x:c r="K22" s="54" t="n">
        <x:f>ROUND(SUM('Monthly EOP Balance'!AC8:'Monthly EOP Balance'!AF8)/4-Balance!K8,2)</x:f>
        <x:v>0</x:v>
      </x:c>
      <x:c r="L22" s="54" t="n">
        <x:f>ROUND(SUM('Monthly EOP Balance'!AF8:'Monthly EOP Balance'!AI8)/4-Balance!L8,2)</x:f>
        <x:v>0</x:v>
      </x:c>
      <x:c r="M22" s="54" t="n">
        <x:f>ROUND(SUM('Monthly EOP Balance'!AI8:'Monthly EOP Balance'!AL8)/4-Balance!M8,2)</x:f>
        <x:v>0</x:v>
      </x:c>
      <x:c r="N22" s="54" t="n">
        <x:f>ROUND(SUM('Monthly EOP Balance'!AL8:'Monthly EOP Balance'!AO8)/4-Balance!N8,2)</x:f>
        <x:v>0</x:v>
      </x:c>
      <x:c r="O22" s="54" t="n">
        <x:f>ROUND(SUM('Monthly EOP Balance'!AO8:'Monthly EOP Balance'!AR8)/4-Balance!O8,2)</x:f>
        <x:v>0</x:v>
      </x:c>
    </x:row>
    <x:row r="23">
      <x:c r="A23" s="20" t="str">
        <x:v>  Total loans (incl. HFS)</x:v>
      </x:c>
      <x:c r="B23" s="54" t="n">
        <x:f>ROUND(SUM('Monthly EOP Balance'!B9:'Monthly EOP Balance'!E9)/4-Balance!B9,2)</x:f>
        <x:v>0</x:v>
      </x:c>
      <x:c r="C23" s="54" t="n">
        <x:f>ROUND(SUM('Monthly EOP Balance'!E9:'Monthly EOP Balance'!H9)/4-Balance!C9,2)</x:f>
        <x:v>0</x:v>
      </x:c>
      <x:c r="D23" s="54" t="n">
        <x:f>ROUND(SUM('Monthly EOP Balance'!H9:'Monthly EOP Balance'!K9)/4-Balance!D9,2)</x:f>
        <x:v>0</x:v>
      </x:c>
      <x:c r="E23" s="54" t="n">
        <x:f>ROUND(SUM('Monthly EOP Balance'!K9:'Monthly EOP Balance'!N9)/4-Balance!E9,2)</x:f>
        <x:v>0</x:v>
      </x:c>
      <x:c r="F23" s="54" t="n">
        <x:f>ROUND(SUM('Monthly EOP Balance'!N9:'Monthly EOP Balance'!Q9)/4-Balance!F9,2)</x:f>
        <x:v>0</x:v>
      </x:c>
      <x:c r="G23" s="54" t="n">
        <x:f>ROUND(SUM('Monthly EOP Balance'!Q9:'Monthly EOP Balance'!T9)/4-Balance!G9,2)</x:f>
        <x:v>0</x:v>
      </x:c>
      <x:c r="H23" s="54" t="n">
        <x:f>ROUND(SUM('Monthly EOP Balance'!T9:'Monthly EOP Balance'!W9)/4-Balance!H9,2)</x:f>
        <x:v>0</x:v>
      </x:c>
      <x:c r="I23" s="54" t="n">
        <x:f>ROUND(SUM('Monthly EOP Balance'!W9:'Monthly EOP Balance'!Z9)/4-Balance!I9,2)</x:f>
        <x:v>0</x:v>
      </x:c>
      <x:c r="J23" s="54" t="n">
        <x:f>ROUND(SUM('Monthly EOP Balance'!Z9:'Monthly EOP Balance'!AC9)/4-Balance!J9,2)</x:f>
        <x:v>0</x:v>
      </x:c>
      <x:c r="K23" s="54" t="n">
        <x:f>ROUND(SUM('Monthly EOP Balance'!AC9:'Monthly EOP Balance'!AF9)/4-Balance!K9,2)</x:f>
        <x:v>0</x:v>
      </x:c>
      <x:c r="L23" s="54" t="n">
        <x:f>ROUND(SUM('Monthly EOP Balance'!AF9:'Monthly EOP Balance'!AI9)/4-Balance!L9,2)</x:f>
        <x:v>0</x:v>
      </x:c>
      <x:c r="M23" s="54" t="n">
        <x:f>ROUND(SUM('Monthly EOP Balance'!AI9:'Monthly EOP Balance'!AL9)/4-Balance!M9,2)</x:f>
        <x:v>0</x:v>
      </x:c>
      <x:c r="N23" s="54" t="n">
        <x:f>ROUND(SUM('Monthly EOP Balance'!AL9:'Monthly EOP Balance'!AO9)/4-Balance!N9,2)</x:f>
        <x:v>0</x:v>
      </x:c>
      <x:c r="O23" s="54" t="n">
        <x:f>ROUND(SUM('Monthly EOP Balance'!AO9:'Monthly EOP Balance'!AR9)/4-Balance!O9,2)</x:f>
        <x:v>0</x:v>
      </x:c>
    </x:row>
    <x:row r="24">
      <x:c r="A24" s="20" t="str">
        <x:v>  Investment securities</x:v>
      </x:c>
      <x:c r="B24" s="54" t="n">
        <x:f>ROUND(SUM('Monthly EOP Balance'!B10:'Monthly EOP Balance'!E10)/4-Balance!B10,2)</x:f>
        <x:v>0</x:v>
      </x:c>
      <x:c r="C24" s="54" t="n">
        <x:f>ROUND(SUM('Monthly EOP Balance'!E10:'Monthly EOP Balance'!H10)/4-Balance!C10,2)</x:f>
        <x:v>0</x:v>
      </x:c>
      <x:c r="D24" s="54" t="n">
        <x:f>ROUND(SUM('Monthly EOP Balance'!H10:'Monthly EOP Balance'!K10)/4-Balance!D10,2)</x:f>
        <x:v>0</x:v>
      </x:c>
      <x:c r="E24" s="54" t="n">
        <x:f>ROUND(SUM('Monthly EOP Balance'!K10:'Monthly EOP Balance'!N10)/4-Balance!E10,2)</x:f>
        <x:v>0</x:v>
      </x:c>
      <x:c r="F24" s="54" t="n">
        <x:f>ROUND(SUM('Monthly EOP Balance'!N10:'Monthly EOP Balance'!Q10)/4-Balance!F10,2)</x:f>
        <x:v>0</x:v>
      </x:c>
      <x:c r="G24" s="54" t="n">
        <x:f>ROUND(SUM('Monthly EOP Balance'!Q10:'Monthly EOP Balance'!T10)/4-Balance!G10,2)</x:f>
        <x:v>0</x:v>
      </x:c>
      <x:c r="H24" s="54" t="n">
        <x:f>ROUND(SUM('Monthly EOP Balance'!T10:'Monthly EOP Balance'!W10)/4-Balance!H10,2)</x:f>
        <x:v>0</x:v>
      </x:c>
      <x:c r="I24" s="54" t="n">
        <x:f>ROUND(SUM('Monthly EOP Balance'!W10:'Monthly EOP Balance'!Z10)/4-Balance!I10,2)</x:f>
        <x:v>0</x:v>
      </x:c>
      <x:c r="J24" s="54" t="n">
        <x:f>ROUND(SUM('Monthly EOP Balance'!Z10:'Monthly EOP Balance'!AC10)/4-Balance!J10,2)</x:f>
        <x:v>0</x:v>
      </x:c>
      <x:c r="K24" s="54" t="n">
        <x:f>ROUND(SUM('Monthly EOP Balance'!AC10:'Monthly EOP Balance'!AF10)/4-Balance!K10,2)</x:f>
        <x:v>0</x:v>
      </x:c>
      <x:c r="L24" s="54" t="n">
        <x:f>ROUND(SUM('Monthly EOP Balance'!AF10:'Monthly EOP Balance'!AI10)/4-Balance!L10,2)</x:f>
        <x:v>0</x:v>
      </x:c>
      <x:c r="M24" s="54" t="n">
        <x:f>ROUND(SUM('Monthly EOP Balance'!AI10:'Monthly EOP Balance'!AL10)/4-Balance!M10,2)</x:f>
        <x:v>0</x:v>
      </x:c>
      <x:c r="N24" s="54" t="n">
        <x:f>ROUND(SUM('Monthly EOP Balance'!AL10:'Monthly EOP Balance'!AO10)/4-Balance!N10,2)</x:f>
        <x:v>0</x:v>
      </x:c>
      <x:c r="O24" s="54" t="n">
        <x:f>ROUND(SUM('Monthly EOP Balance'!AO10:'Monthly EOP Balance'!AR10)/4-Balance!O10,2)</x:f>
        <x:v>0</x:v>
      </x:c>
    </x:row>
    <x:row r="25">
      <x:c r="A25" s="20" t="str">
        <x:v>  Cash equivalents and other</x:v>
      </x:c>
      <x:c r="B25" s="54" t="n">
        <x:f>ROUND(SUM('Monthly EOP Balance'!B11:'Monthly EOP Balance'!E11)/4-Balance!B11,2)</x:f>
        <x:v>0</x:v>
      </x:c>
      <x:c r="C25" s="54" t="n">
        <x:f>ROUND(SUM('Monthly EOP Balance'!E11:'Monthly EOP Balance'!H11)/4-Balance!C11,2)</x:f>
        <x:v>0</x:v>
      </x:c>
      <x:c r="D25" s="54" t="n">
        <x:f>ROUND(SUM('Monthly EOP Balance'!H11:'Monthly EOP Balance'!K11)/4-Balance!D11,2)</x:f>
        <x:v>0</x:v>
      </x:c>
      <x:c r="E25" s="54" t="n">
        <x:f>ROUND(SUM('Monthly EOP Balance'!K11:'Monthly EOP Balance'!N11)/4-Balance!E11,2)</x:f>
        <x:v>0</x:v>
      </x:c>
      <x:c r="F25" s="54" t="n">
        <x:f>ROUND(SUM('Monthly EOP Balance'!N11:'Monthly EOP Balance'!Q11)/4-Balance!F11,2)</x:f>
        <x:v>0</x:v>
      </x:c>
      <x:c r="G25" s="54" t="n">
        <x:f>ROUND(SUM('Monthly EOP Balance'!Q11:'Monthly EOP Balance'!T11)/4-Balance!G11,2)</x:f>
        <x:v>0</x:v>
      </x:c>
      <x:c r="H25" s="54" t="n">
        <x:f>ROUND(SUM('Monthly EOP Balance'!T11:'Monthly EOP Balance'!W11)/4-Balance!H11,2)</x:f>
        <x:v>0</x:v>
      </x:c>
      <x:c r="I25" s="54" t="n">
        <x:f>ROUND(SUM('Monthly EOP Balance'!W11:'Monthly EOP Balance'!Z11)/4-Balance!I11,2)</x:f>
        <x:v>0</x:v>
      </x:c>
      <x:c r="J25" s="54" t="n">
        <x:f>ROUND(SUM('Monthly EOP Balance'!Z11:'Monthly EOP Balance'!AC11)/4-Balance!J11,2)</x:f>
        <x:v>0</x:v>
      </x:c>
      <x:c r="K25" s="54" t="n">
        <x:f>ROUND(SUM('Monthly EOP Balance'!AC11:'Monthly EOP Balance'!AF11)/4-Balance!K11,2)</x:f>
        <x:v>0</x:v>
      </x:c>
      <x:c r="L25" s="54" t="n">
        <x:f>ROUND(SUM('Monthly EOP Balance'!AF11:'Monthly EOP Balance'!AI11)/4-Balance!L11,2)</x:f>
        <x:v>0</x:v>
      </x:c>
      <x:c r="M25" s="54" t="n">
        <x:f>ROUND(SUM('Monthly EOP Balance'!AI11:'Monthly EOP Balance'!AL11)/4-Balance!M11,2)</x:f>
        <x:v>0</x:v>
      </x:c>
      <x:c r="N25" s="54" t="n">
        <x:f>ROUND(SUM('Monthly EOP Balance'!AL11:'Monthly EOP Balance'!AO11)/4-Balance!N11,2)</x:f>
        <x:v>0</x:v>
      </x:c>
      <x:c r="O25" s="54" t="n">
        <x:f>ROUND(SUM('Monthly EOP Balance'!AO11:'Monthly EOP Balance'!AR11)/4-Balance!O11,2)</x:f>
        <x:v>0</x:v>
      </x:c>
    </x:row>
    <x:row r="26">
      <x:c r="A26" s="20" t="str">
        <x:v>  Total interest-earning assets</x:v>
      </x:c>
      <x:c r="B26" s="54" t="n">
        <x:f>ROUND(SUM('Monthly EOP Balance'!B12:'Monthly EOP Balance'!E12)/4-Balance!B12,2)</x:f>
        <x:v>0</x:v>
      </x:c>
      <x:c r="C26" s="54" t="n">
        <x:f>ROUND(SUM('Monthly EOP Balance'!E12:'Monthly EOP Balance'!H12)/4-Balance!C12,2)</x:f>
        <x:v>0</x:v>
      </x:c>
      <x:c r="D26" s="54" t="n">
        <x:f>ROUND(SUM('Monthly EOP Balance'!H12:'Monthly EOP Balance'!K12)/4-Balance!D12,2)</x:f>
        <x:v>0</x:v>
      </x:c>
      <x:c r="E26" s="54" t="n">
        <x:f>ROUND(SUM('Monthly EOP Balance'!K12:'Monthly EOP Balance'!N12)/4-Balance!E12,2)</x:f>
        <x:v>0</x:v>
      </x:c>
      <x:c r="F26" s="54" t="n">
        <x:f>ROUND(SUM('Monthly EOP Balance'!N12:'Monthly EOP Balance'!Q12)/4-Balance!F12,2)</x:f>
        <x:v>0</x:v>
      </x:c>
      <x:c r="G26" s="54" t="n">
        <x:f>ROUND(SUM('Monthly EOP Balance'!Q12:'Monthly EOP Balance'!T12)/4-Balance!G12,2)</x:f>
        <x:v>0</x:v>
      </x:c>
      <x:c r="H26" s="54" t="n">
        <x:f>ROUND(SUM('Monthly EOP Balance'!T12:'Monthly EOP Balance'!W12)/4-Balance!H12,2)</x:f>
        <x:v>0</x:v>
      </x:c>
      <x:c r="I26" s="54" t="n">
        <x:f>ROUND(SUM('Monthly EOP Balance'!W12:'Monthly EOP Balance'!Z12)/4-Balance!I12,2)</x:f>
        <x:v>0</x:v>
      </x:c>
      <x:c r="J26" s="54" t="n">
        <x:f>ROUND(SUM('Monthly EOP Balance'!Z12:'Monthly EOP Balance'!AC12)/4-Balance!J12,2)</x:f>
        <x:v>0</x:v>
      </x:c>
      <x:c r="K26" s="54" t="n">
        <x:f>ROUND(SUM('Monthly EOP Balance'!AC12:'Monthly EOP Balance'!AF12)/4-Balance!K12,2)</x:f>
        <x:v>0</x:v>
      </x:c>
      <x:c r="L26" s="54" t="n">
        <x:f>ROUND(SUM('Monthly EOP Balance'!AF12:'Monthly EOP Balance'!AI12)/4-Balance!L12,2)</x:f>
        <x:v>0</x:v>
      </x:c>
      <x:c r="M26" s="54" t="n">
        <x:f>ROUND(SUM('Monthly EOP Balance'!AI12:'Monthly EOP Balance'!AL12)/4-Balance!M12,2)</x:f>
        <x:v>0</x:v>
      </x:c>
      <x:c r="N26" s="54" t="n">
        <x:f>ROUND(SUM('Monthly EOP Balance'!AL12:'Monthly EOP Balance'!AO12)/4-Balance!N12,2)</x:f>
        <x:v>0</x:v>
      </x:c>
      <x:c r="O26" s="54" t="n">
        <x:f>ROUND(SUM('Monthly EOP Balance'!AO12:'Monthly EOP Balance'!AR12)/4-Balance!O12,2)</x:f>
        <x:v>0</x:v>
      </x:c>
    </x:row>
    <x:row r="27">
      <x:c r="A27" s="20" t="str">
        <x:v>  Interest-bearing deposits</x:v>
      </x:c>
      <x:c r="B27" s="54" t="n">
        <x:f>ROUND(SUM('Monthly EOP Balance'!B15:'Monthly EOP Balance'!E15)/4-Balance!B15,2)</x:f>
        <x:v>0</x:v>
      </x:c>
      <x:c r="C27" s="54" t="n">
        <x:f>ROUND(SUM('Monthly EOP Balance'!E15:'Monthly EOP Balance'!H15)/4-Balance!C15,2)</x:f>
        <x:v>0</x:v>
      </x:c>
      <x:c r="D27" s="54" t="n">
        <x:f>ROUND(SUM('Monthly EOP Balance'!H15:'Monthly EOP Balance'!K15)/4-Balance!D15,2)</x:f>
        <x:v>0</x:v>
      </x:c>
      <x:c r="E27" s="54" t="n">
        <x:f>ROUND(SUM('Monthly EOP Balance'!K15:'Monthly EOP Balance'!N15)/4-Balance!E15,2)</x:f>
        <x:v>0</x:v>
      </x:c>
      <x:c r="F27" s="54" t="n">
        <x:f>ROUND(SUM('Monthly EOP Balance'!N15:'Monthly EOP Balance'!Q15)/4-Balance!F15,2)</x:f>
        <x:v>0</x:v>
      </x:c>
      <x:c r="G27" s="54" t="n">
        <x:f>ROUND(SUM('Monthly EOP Balance'!Q15:'Monthly EOP Balance'!T15)/4-Balance!G15,2)</x:f>
        <x:v>0</x:v>
      </x:c>
      <x:c r="H27" s="54" t="n">
        <x:f>ROUND(SUM('Monthly EOP Balance'!T15:'Monthly EOP Balance'!W15)/4-Balance!H15,2)</x:f>
        <x:v>0</x:v>
      </x:c>
      <x:c r="I27" s="54" t="n">
        <x:f>ROUND(SUM('Monthly EOP Balance'!W15:'Monthly EOP Balance'!Z15)/4-Balance!I15,2)</x:f>
        <x:v>0</x:v>
      </x:c>
      <x:c r="J27" s="54" t="n">
        <x:f>ROUND(SUM('Monthly EOP Balance'!Z15:'Monthly EOP Balance'!AC15)/4-Balance!J15,2)</x:f>
        <x:v>0</x:v>
      </x:c>
      <x:c r="K27" s="54" t="n">
        <x:f>ROUND(SUM('Monthly EOP Balance'!AC15:'Monthly EOP Balance'!AF15)/4-Balance!K15,2)</x:f>
        <x:v>0</x:v>
      </x:c>
      <x:c r="L27" s="54" t="n">
        <x:f>ROUND(SUM('Monthly EOP Balance'!AF15:'Monthly EOP Balance'!AI15)/4-Balance!L15,2)</x:f>
        <x:v>0</x:v>
      </x:c>
      <x:c r="M27" s="54" t="n">
        <x:f>ROUND(SUM('Monthly EOP Balance'!AI15:'Monthly EOP Balance'!AL15)/4-Balance!M15,2)</x:f>
        <x:v>0</x:v>
      </x:c>
      <x:c r="N27" s="54" t="n">
        <x:f>ROUND(SUM('Monthly EOP Balance'!AL15:'Monthly EOP Balance'!AO15)/4-Balance!N15,2)</x:f>
        <x:v>0</x:v>
      </x:c>
      <x:c r="O27" s="54" t="n">
        <x:f>ROUND(SUM('Monthly EOP Balance'!AO15:'Monthly EOP Balance'!AR15)/4-Balance!O15,2)</x:f>
        <x:v>0</x:v>
      </x:c>
    </x:row>
    <x:row r="28">
      <x:c r="A28" s="20" t="str">
        <x:v>  Securitized debt obligations</x:v>
      </x:c>
      <x:c r="B28" s="54" t="n">
        <x:f>ROUND(SUM('Monthly EOP Balance'!B16:'Monthly EOP Balance'!E16)/4-Balance!B16,2)</x:f>
        <x:v>0</x:v>
      </x:c>
      <x:c r="C28" s="54" t="n">
        <x:f>ROUND(SUM('Monthly EOP Balance'!E16:'Monthly EOP Balance'!H16)/4-Balance!C16,2)</x:f>
        <x:v>0</x:v>
      </x:c>
      <x:c r="D28" s="54" t="n">
        <x:f>ROUND(SUM('Monthly EOP Balance'!H16:'Monthly EOP Balance'!K16)/4-Balance!D16,2)</x:f>
        <x:v>0</x:v>
      </x:c>
      <x:c r="E28" s="54" t="n">
        <x:f>ROUND(SUM('Monthly EOP Balance'!K16:'Monthly EOP Balance'!N16)/4-Balance!E16,2)</x:f>
        <x:v>0</x:v>
      </x:c>
      <x:c r="F28" s="54" t="n">
        <x:f>ROUND(SUM('Monthly EOP Balance'!N16:'Monthly EOP Balance'!Q16)/4-Balance!F16,2)</x:f>
        <x:v>0</x:v>
      </x:c>
      <x:c r="G28" s="54" t="n">
        <x:f>ROUND(SUM('Monthly EOP Balance'!Q16:'Monthly EOP Balance'!T16)/4-Balance!G16,2)</x:f>
        <x:v>0</x:v>
      </x:c>
      <x:c r="H28" s="54" t="n">
        <x:f>ROUND(SUM('Monthly EOP Balance'!T16:'Monthly EOP Balance'!W16)/4-Balance!H16,2)</x:f>
        <x:v>0</x:v>
      </x:c>
      <x:c r="I28" s="54" t="n">
        <x:f>ROUND(SUM('Monthly EOP Balance'!W16:'Monthly EOP Balance'!Z16)/4-Balance!I16,2)</x:f>
        <x:v>0</x:v>
      </x:c>
      <x:c r="J28" s="54" t="n">
        <x:f>ROUND(SUM('Monthly EOP Balance'!Z16:'Monthly EOP Balance'!AC16)/4-Balance!J16,2)</x:f>
        <x:v>0</x:v>
      </x:c>
      <x:c r="K28" s="54" t="n">
        <x:f>ROUND(SUM('Monthly EOP Balance'!AC16:'Monthly EOP Balance'!AF16)/4-Balance!K16,2)</x:f>
        <x:v>0</x:v>
      </x:c>
      <x:c r="L28" s="54" t="n">
        <x:f>ROUND(SUM('Monthly EOP Balance'!AF16:'Monthly EOP Balance'!AI16)/4-Balance!L16,2)</x:f>
        <x:v>0</x:v>
      </x:c>
      <x:c r="M28" s="54" t="n">
        <x:f>ROUND(SUM('Monthly EOP Balance'!AI16:'Monthly EOP Balance'!AL16)/4-Balance!M16,2)</x:f>
        <x:v>0</x:v>
      </x:c>
      <x:c r="N28" s="54" t="n">
        <x:f>ROUND(SUM('Monthly EOP Balance'!AL16:'Monthly EOP Balance'!AO16)/4-Balance!N16,2)</x:f>
        <x:v>0</x:v>
      </x:c>
      <x:c r="O28" s="54" t="n">
        <x:f>ROUND(SUM('Monthly EOP Balance'!AO16:'Monthly EOP Balance'!AR16)/4-Balance!O16,2)</x:f>
        <x:v>0</x:v>
      </x:c>
    </x:row>
    <x:row r="29">
      <x:c r="A29" s="20" t="str">
        <x:v>  Senior and subordinated notes</x:v>
      </x:c>
      <x:c r="B29" s="54" t="n">
        <x:f>ROUND(SUM('Monthly EOP Balance'!B17:'Monthly EOP Balance'!E17)/4-Balance!B17,2)</x:f>
        <x:v>0</x:v>
      </x:c>
      <x:c r="C29" s="54" t="n">
        <x:f>ROUND(SUM('Monthly EOP Balance'!E17:'Monthly EOP Balance'!H17)/4-Balance!C17,2)</x:f>
        <x:v>0</x:v>
      </x:c>
      <x:c r="D29" s="54" t="n">
        <x:f>ROUND(SUM('Monthly EOP Balance'!H17:'Monthly EOP Balance'!K17)/4-Balance!D17,2)</x:f>
        <x:v>0</x:v>
      </x:c>
      <x:c r="E29" s="54" t="n">
        <x:f>ROUND(SUM('Monthly EOP Balance'!K17:'Monthly EOP Balance'!N17)/4-Balance!E17,2)</x:f>
        <x:v>0</x:v>
      </x:c>
      <x:c r="F29" s="54" t="n">
        <x:f>ROUND(SUM('Monthly EOP Balance'!N17:'Monthly EOP Balance'!Q17)/4-Balance!F17,2)</x:f>
        <x:v>0</x:v>
      </x:c>
      <x:c r="G29" s="54" t="n">
        <x:f>ROUND(SUM('Monthly EOP Balance'!Q17:'Monthly EOP Balance'!T17)/4-Balance!G17,2)</x:f>
        <x:v>0</x:v>
      </x:c>
      <x:c r="H29" s="54" t="n">
        <x:f>ROUND(SUM('Monthly EOP Balance'!T17:'Monthly EOP Balance'!W17)/4-Balance!H17,2)</x:f>
        <x:v>0</x:v>
      </x:c>
      <x:c r="I29" s="54" t="n">
        <x:f>ROUND(SUM('Monthly EOP Balance'!W17:'Monthly EOP Balance'!Z17)/4-Balance!I17,2)</x:f>
        <x:v>0</x:v>
      </x:c>
      <x:c r="J29" s="54" t="n">
        <x:f>ROUND(SUM('Monthly EOP Balance'!Z17:'Monthly EOP Balance'!AC17)/4-Balance!J17,2)</x:f>
        <x:v>0</x:v>
      </x:c>
      <x:c r="K29" s="54" t="n">
        <x:f>ROUND(SUM('Monthly EOP Balance'!AC17:'Monthly EOP Balance'!AF17)/4-Balance!K17,2)</x:f>
        <x:v>0</x:v>
      </x:c>
      <x:c r="L29" s="54" t="n">
        <x:f>ROUND(SUM('Monthly EOP Balance'!AF17:'Monthly EOP Balance'!AI17)/4-Balance!L17,2)</x:f>
        <x:v>0</x:v>
      </x:c>
      <x:c r="M29" s="54" t="n">
        <x:f>ROUND(SUM('Monthly EOP Balance'!AI17:'Monthly EOP Balance'!AL17)/4-Balance!M17,2)</x:f>
        <x:v>0</x:v>
      </x:c>
      <x:c r="N29" s="54" t="n">
        <x:f>ROUND(SUM('Monthly EOP Balance'!AL17:'Monthly EOP Balance'!AO17)/4-Balance!N17,2)</x:f>
        <x:v>0</x:v>
      </x:c>
      <x:c r="O29" s="54" t="n">
        <x:f>ROUND(SUM('Monthly EOP Balance'!AO17:'Monthly EOP Balance'!AR17)/4-Balance!O17,2)</x:f>
        <x:v>0</x:v>
      </x:c>
    </x:row>
    <x:row r="30">
      <x:c r="A30" s="20" t="str">
        <x:v>  Other borrowings</x:v>
      </x:c>
      <x:c r="B30" s="54" t="n">
        <x:f>ROUND(SUM('Monthly EOP Balance'!B18:'Monthly EOP Balance'!E18)/4-Balance!B18,2)</x:f>
        <x:v>0</x:v>
      </x:c>
      <x:c r="C30" s="54" t="n">
        <x:f>ROUND(SUM('Monthly EOP Balance'!E18:'Monthly EOP Balance'!H18)/4-Balance!C18,2)</x:f>
        <x:v>0</x:v>
      </x:c>
      <x:c r="D30" s="54" t="n">
        <x:f>ROUND(SUM('Monthly EOP Balance'!H18:'Monthly EOP Balance'!K18)/4-Balance!D18,2)</x:f>
        <x:v>0</x:v>
      </x:c>
      <x:c r="E30" s="54" t="n">
        <x:f>ROUND(SUM('Monthly EOP Balance'!K18:'Monthly EOP Balance'!N18)/4-Balance!E18,2)</x:f>
        <x:v>0</x:v>
      </x:c>
      <x:c r="F30" s="54" t="n">
        <x:f>ROUND(SUM('Monthly EOP Balance'!N18:'Monthly EOP Balance'!Q18)/4-Balance!F18,2)</x:f>
        <x:v>0</x:v>
      </x:c>
      <x:c r="G30" s="54" t="n">
        <x:f>ROUND(SUM('Monthly EOP Balance'!Q18:'Monthly EOP Balance'!T18)/4-Balance!G18,2)</x:f>
        <x:v>0</x:v>
      </x:c>
      <x:c r="H30" s="54" t="n">
        <x:f>ROUND(SUM('Monthly EOP Balance'!T18:'Monthly EOP Balance'!W18)/4-Balance!H18,2)</x:f>
        <x:v>0</x:v>
      </x:c>
      <x:c r="I30" s="54" t="n">
        <x:f>ROUND(SUM('Monthly EOP Balance'!W18:'Monthly EOP Balance'!Z18)/4-Balance!I18,2)</x:f>
        <x:v>0</x:v>
      </x:c>
      <x:c r="J30" s="54" t="n">
        <x:f>ROUND(SUM('Monthly EOP Balance'!Z18:'Monthly EOP Balance'!AC18)/4-Balance!J18,2)</x:f>
        <x:v>0</x:v>
      </x:c>
      <x:c r="K30" s="54" t="n">
        <x:f>ROUND(SUM('Monthly EOP Balance'!AC18:'Monthly EOP Balance'!AF18)/4-Balance!K18,2)</x:f>
        <x:v>0</x:v>
      </x:c>
      <x:c r="L30" s="54" t="n">
        <x:f>ROUND(SUM('Monthly EOP Balance'!AF18:'Monthly EOP Balance'!AI18)/4-Balance!L18,2)</x:f>
        <x:v>0</x:v>
      </x:c>
      <x:c r="M30" s="54" t="n">
        <x:f>ROUND(SUM('Monthly EOP Balance'!AI18:'Monthly EOP Balance'!AL18)/4-Balance!M18,2)</x:f>
        <x:v>0</x:v>
      </x:c>
      <x:c r="N30" s="54" t="n">
        <x:f>ROUND(SUM('Monthly EOP Balance'!AL18:'Monthly EOP Balance'!AO18)/4-Balance!N18,2)</x:f>
        <x:v>0</x:v>
      </x:c>
      <x:c r="O30" s="54" t="n">
        <x:f>ROUND(SUM('Monthly EOP Balance'!AO18:'Monthly EOP Balance'!AR18)/4-Balance!O18,2)</x:f>
        <x:v>0</x:v>
      </x:c>
    </x:row>
    <x:row r="31">
      <x:c r="A31" s="20" t="str">
        <x:v>  Total interest-bearing liabilities</x:v>
      </x:c>
      <x:c r="B31" s="54" t="n">
        <x:f>ROUND(SUM('Monthly EOP Balance'!B19:'Monthly EOP Balance'!E19)/4-Balance!B19,2)</x:f>
        <x:v>0</x:v>
      </x:c>
      <x:c r="C31" s="54" t="n">
        <x:f>ROUND(SUM('Monthly EOP Balance'!E19:'Monthly EOP Balance'!H19)/4-Balance!C19,2)</x:f>
        <x:v>0</x:v>
      </x:c>
      <x:c r="D31" s="54" t="n">
        <x:f>ROUND(SUM('Monthly EOP Balance'!H19:'Monthly EOP Balance'!K19)/4-Balance!D19,2)</x:f>
        <x:v>0</x:v>
      </x:c>
      <x:c r="E31" s="54" t="n">
        <x:f>ROUND(SUM('Monthly EOP Balance'!K19:'Monthly EOP Balance'!N19)/4-Balance!E19,2)</x:f>
        <x:v>0</x:v>
      </x:c>
      <x:c r="F31" s="54" t="n">
        <x:f>ROUND(SUM('Monthly EOP Balance'!N19:'Monthly EOP Balance'!Q19)/4-Balance!F19,2)</x:f>
        <x:v>0</x:v>
      </x:c>
      <x:c r="G31" s="54" t="n">
        <x:f>ROUND(SUM('Monthly EOP Balance'!Q19:'Monthly EOP Balance'!T19)/4-Balance!G19,2)</x:f>
        <x:v>0</x:v>
      </x:c>
      <x:c r="H31" s="54" t="n">
        <x:f>ROUND(SUM('Monthly EOP Balance'!T19:'Monthly EOP Balance'!W19)/4-Balance!H19,2)</x:f>
        <x:v>0</x:v>
      </x:c>
      <x:c r="I31" s="54" t="n">
        <x:f>ROUND(SUM('Monthly EOP Balance'!W19:'Monthly EOP Balance'!Z19)/4-Balance!I19,2)</x:f>
        <x:v>0</x:v>
      </x:c>
      <x:c r="J31" s="54" t="n">
        <x:f>ROUND(SUM('Monthly EOP Balance'!Z19:'Monthly EOP Balance'!AC19)/4-Balance!J19,2)</x:f>
        <x:v>0</x:v>
      </x:c>
      <x:c r="K31" s="54" t="n">
        <x:f>ROUND(SUM('Monthly EOP Balance'!AC19:'Monthly EOP Balance'!AF19)/4-Balance!K19,2)</x:f>
        <x:v>0</x:v>
      </x:c>
      <x:c r="L31" s="54" t="n">
        <x:f>ROUND(SUM('Monthly EOP Balance'!AF19:'Monthly EOP Balance'!AI19)/4-Balance!L19,2)</x:f>
        <x:v>0</x:v>
      </x:c>
      <x:c r="M31" s="54" t="n">
        <x:f>ROUND(SUM('Monthly EOP Balance'!AI19:'Monthly EOP Balance'!AL19)/4-Balance!M19,2)</x:f>
        <x:v>0</x:v>
      </x:c>
      <x:c r="N31" s="54" t="n">
        <x:f>ROUND(SUM('Monthly EOP Balance'!AL19:'Monthly EOP Balance'!AO19)/4-Balance!N19,2)</x:f>
        <x:v>0</x:v>
      </x:c>
      <x:c r="O31" s="54" t="n">
        <x:f>ROUND(SUM('Monthly EOP Balance'!AO19:'Monthly EOP Balance'!AR19)/4-Balance!O19,2)</x:f>
        <x:v>0</x:v>
      </x:c>
    </x:row>
    <x:row r="32">
      <x:c r="A32" s="20"/>
      <x:c r="B32" s="54"/>
      <x:c r="C32" s="54"/>
      <x:c r="D32" s="54"/>
      <x:c r="E32" s="54"/>
      <x:c r="F32" s="54"/>
      <x:c r="G32" s="54"/>
      <x:c r="H32" s="54"/>
      <x:c r="I32" s="54"/>
      <x:c r="J32" s="54"/>
      <x:c r="K32" s="54"/>
      <x:c r="L32" s="54"/>
      <x:c r="M32" s="54"/>
      <x:c r="N32" s="54"/>
      <x:c r="O32" s="54"/>
    </x:row>
    <x:row r="33">
      <x:c r="A33" s="25" t="str">
        <x:v>MONTHLY INCOME SUM DIFFERENCE</x:v>
      </x:c>
      <x:c r="B33" s="55"/>
      <x:c r="C33" s="55"/>
      <x:c r="D33" s="55"/>
      <x:c r="E33" s="55"/>
      <x:c r="F33" s="55"/>
      <x:c r="G33" s="55"/>
      <x:c r="H33" s="55"/>
      <x:c r="I33" s="55"/>
      <x:c r="J33" s="55"/>
      <x:c r="K33" s="55"/>
      <x:c r="L33" s="55"/>
      <x:c r="M33" s="55"/>
      <x:c r="N33" s="55"/>
      <x:c r="O33" s="55"/>
    </x:row>
    <x:row r="34">
      <x:c r="A34" s="20" t="str">
        <x:v>  Credit card</x:v>
      </x:c>
      <x:c r="B34" s="54" t="n">
        <x:f>ROUND(SUM('Monthly NII'!B6:'Monthly NII'!D6)-'Net Interest Income'!B6,2)</x:f>
        <x:v>0</x:v>
      </x:c>
      <x:c r="C34" s="54" t="n">
        <x:f>ROUND(SUM('Monthly NII'!E6:'Monthly NII'!G6)-'Net Interest Income'!C6,2)</x:f>
        <x:v>0</x:v>
      </x:c>
      <x:c r="D34" s="54" t="n">
        <x:f>ROUND(SUM('Monthly NII'!H6:'Monthly NII'!J6)-'Net Interest Income'!D6,2)</x:f>
        <x:v>0</x:v>
      </x:c>
      <x:c r="E34" s="54" t="n">
        <x:f>ROUND(SUM('Monthly NII'!K6:'Monthly NII'!M6)-'Net Interest Income'!E6,2)</x:f>
        <x:v>0</x:v>
      </x:c>
      <x:c r="F34" s="54" t="n">
        <x:f>ROUND(SUM('Monthly NII'!N6:'Monthly NII'!P6)-'Net Interest Income'!F6,2)</x:f>
        <x:v>0</x:v>
      </x:c>
      <x:c r="G34" s="54" t="n">
        <x:f>ROUND(SUM('Monthly NII'!Q6:'Monthly NII'!S6)-'Net Interest Income'!G6,2)</x:f>
        <x:v>0</x:v>
      </x:c>
      <x:c r="H34" s="54" t="n">
        <x:f>ROUND(SUM('Monthly NII'!T6:'Monthly NII'!V6)-'Net Interest Income'!H6,2)</x:f>
        <x:v>0</x:v>
      </x:c>
      <x:c r="I34" s="54" t="n">
        <x:f>ROUND(SUM('Monthly NII'!W6:'Monthly NII'!Y6)-'Net Interest Income'!I6,2)</x:f>
        <x:v>0</x:v>
      </x:c>
      <x:c r="J34" s="54" t="n">
        <x:f>ROUND(SUM('Monthly NII'!Z6:'Monthly NII'!AB6)-'Net Interest Income'!J6,2)</x:f>
        <x:v>0</x:v>
      </x:c>
      <x:c r="K34" s="54" t="n">
        <x:f>ROUND(SUM('Monthly NII'!AC6:'Monthly NII'!AE6)-'Net Interest Income'!K6,2)</x:f>
        <x:v>0</x:v>
      </x:c>
      <x:c r="L34" s="54" t="n">
        <x:f>ROUND(SUM('Monthly NII'!AF6:'Monthly NII'!AH6)-'Net Interest Income'!L6,2)</x:f>
        <x:v>0</x:v>
      </x:c>
      <x:c r="M34" s="54" t="n">
        <x:f>ROUND(SUM('Monthly NII'!AI6:'Monthly NII'!AK6)-'Net Interest Income'!M6,2)</x:f>
        <x:v>0</x:v>
      </x:c>
      <x:c r="N34" s="54" t="n">
        <x:f>ROUND(SUM('Monthly NII'!AL6:'Monthly NII'!AN6)-'Net Interest Income'!N6,2)</x:f>
        <x:v>0</x:v>
      </x:c>
      <x:c r="O34" s="54" t="n">
        <x:f>ROUND(SUM('Monthly NII'!AO6:'Monthly NII'!AQ6)-'Net Interest Income'!O6,2)</x:f>
        <x:v>0</x:v>
      </x:c>
    </x:row>
    <x:row r="35">
      <x:c r="A35" s="20" t="str">
        <x:v>  Consumer banking</x:v>
      </x:c>
      <x:c r="B35" s="54" t="n">
        <x:f>ROUND(SUM('Monthly NII'!B7:'Monthly NII'!D7)-'Net Interest Income'!B7,2)</x:f>
        <x:v>0</x:v>
      </x:c>
      <x:c r="C35" s="54" t="n">
        <x:f>ROUND(SUM('Monthly NII'!E7:'Monthly NII'!G7)-'Net Interest Income'!C7,2)</x:f>
        <x:v>0</x:v>
      </x:c>
      <x:c r="D35" s="54" t="n">
        <x:f>ROUND(SUM('Monthly NII'!H7:'Monthly NII'!J7)-'Net Interest Income'!D7,2)</x:f>
        <x:v>0</x:v>
      </x:c>
      <x:c r="E35" s="54" t="n">
        <x:f>ROUND(SUM('Monthly NII'!K7:'Monthly NII'!M7)-'Net Interest Income'!E7,2)</x:f>
        <x:v>0</x:v>
      </x:c>
      <x:c r="F35" s="54" t="n">
        <x:f>ROUND(SUM('Monthly NII'!N7:'Monthly NII'!P7)-'Net Interest Income'!F7,2)</x:f>
        <x:v>0</x:v>
      </x:c>
      <x:c r="G35" s="54" t="n">
        <x:f>ROUND(SUM('Monthly NII'!Q7:'Monthly NII'!S7)-'Net Interest Income'!G7,2)</x:f>
        <x:v>0</x:v>
      </x:c>
      <x:c r="H35" s="54" t="n">
        <x:f>ROUND(SUM('Monthly NII'!T7:'Monthly NII'!V7)-'Net Interest Income'!H7,2)</x:f>
        <x:v>0</x:v>
      </x:c>
      <x:c r="I35" s="54" t="n">
        <x:f>ROUND(SUM('Monthly NII'!W7:'Monthly NII'!Y7)-'Net Interest Income'!I7,2)</x:f>
        <x:v>0</x:v>
      </x:c>
      <x:c r="J35" s="54" t="n">
        <x:f>ROUND(SUM('Monthly NII'!Z7:'Monthly NII'!AB7)-'Net Interest Income'!J7,2)</x:f>
        <x:v>0</x:v>
      </x:c>
      <x:c r="K35" s="54" t="n">
        <x:f>ROUND(SUM('Monthly NII'!AC7:'Monthly NII'!AE7)-'Net Interest Income'!K7,2)</x:f>
        <x:v>0</x:v>
      </x:c>
      <x:c r="L35" s="54" t="n">
        <x:f>ROUND(SUM('Monthly NII'!AF7:'Monthly NII'!AH7)-'Net Interest Income'!L7,2)</x:f>
        <x:v>0</x:v>
      </x:c>
      <x:c r="M35" s="54" t="n">
        <x:f>ROUND(SUM('Monthly NII'!AI7:'Monthly NII'!AK7)-'Net Interest Income'!M7,2)</x:f>
        <x:v>0</x:v>
      </x:c>
      <x:c r="N35" s="54" t="n">
        <x:f>ROUND(SUM('Monthly NII'!AL7:'Monthly NII'!AN7)-'Net Interest Income'!N7,2)</x:f>
        <x:v>0</x:v>
      </x:c>
      <x:c r="O35" s="54" t="n">
        <x:f>ROUND(SUM('Monthly NII'!AO7:'Monthly NII'!AQ7)-'Net Interest Income'!O7,2)</x:f>
        <x:v>0</x:v>
      </x:c>
    </x:row>
    <x:row r="36">
      <x:c r="A36" s="20" t="str">
        <x:v>  Commercial banking</x:v>
      </x:c>
      <x:c r="B36" s="54" t="n">
        <x:f>ROUND(SUM('Monthly NII'!B8:'Monthly NII'!D8)-'Net Interest Income'!B8,2)</x:f>
        <x:v>0</x:v>
      </x:c>
      <x:c r="C36" s="54" t="n">
        <x:f>ROUND(SUM('Monthly NII'!E8:'Monthly NII'!G8)-'Net Interest Income'!C8,2)</x:f>
        <x:v>0</x:v>
      </x:c>
      <x:c r="D36" s="54" t="n">
        <x:f>ROUND(SUM('Monthly NII'!H8:'Monthly NII'!J8)-'Net Interest Income'!D8,2)</x:f>
        <x:v>0</x:v>
      </x:c>
      <x:c r="E36" s="54" t="n">
        <x:f>ROUND(SUM('Monthly NII'!K8:'Monthly NII'!M8)-'Net Interest Income'!E8,2)</x:f>
        <x:v>0</x:v>
      </x:c>
      <x:c r="F36" s="54" t="n">
        <x:f>ROUND(SUM('Monthly NII'!N8:'Monthly NII'!P8)-'Net Interest Income'!F8,2)</x:f>
        <x:v>0</x:v>
      </x:c>
      <x:c r="G36" s="54" t="n">
        <x:f>ROUND(SUM('Monthly NII'!Q8:'Monthly NII'!S8)-'Net Interest Income'!G8,2)</x:f>
        <x:v>0</x:v>
      </x:c>
      <x:c r="H36" s="54" t="n">
        <x:f>ROUND(SUM('Monthly NII'!T8:'Monthly NII'!V8)-'Net Interest Income'!H8,2)</x:f>
        <x:v>0</x:v>
      </x:c>
      <x:c r="I36" s="54" t="n">
        <x:f>ROUND(SUM('Monthly NII'!W8:'Monthly NII'!Y8)-'Net Interest Income'!I8,2)</x:f>
        <x:v>0</x:v>
      </x:c>
      <x:c r="J36" s="54" t="n">
        <x:f>ROUND(SUM('Monthly NII'!Z8:'Monthly NII'!AB8)-'Net Interest Income'!J8,2)</x:f>
        <x:v>0</x:v>
      </x:c>
      <x:c r="K36" s="54" t="n">
        <x:f>ROUND(SUM('Monthly NII'!AC8:'Monthly NII'!AE8)-'Net Interest Income'!K8,2)</x:f>
        <x:v>0</x:v>
      </x:c>
      <x:c r="L36" s="54" t="n">
        <x:f>ROUND(SUM('Monthly NII'!AF8:'Monthly NII'!AH8)-'Net Interest Income'!L8,2)</x:f>
        <x:v>0</x:v>
      </x:c>
      <x:c r="M36" s="54" t="n">
        <x:f>ROUND(SUM('Monthly NII'!AI8:'Monthly NII'!AK8)-'Net Interest Income'!M8,2)</x:f>
        <x:v>0</x:v>
      </x:c>
      <x:c r="N36" s="54" t="n">
        <x:f>ROUND(SUM('Monthly NII'!AL8:'Monthly NII'!AN8)-'Net Interest Income'!N8,2)</x:f>
        <x:v>0</x:v>
      </x:c>
      <x:c r="O36" s="54" t="n">
        <x:f>ROUND(SUM('Monthly NII'!AO8:'Monthly NII'!AQ8)-'Net Interest Income'!O8,2)</x:f>
        <x:v>0</x:v>
      </x:c>
    </x:row>
    <x:row r="37">
      <x:c r="A37" s="20" t="str">
        <x:v>  Total loans (incl. HFS)</x:v>
      </x:c>
      <x:c r="B37" s="54" t="n">
        <x:f>ROUND(SUM('Monthly NII'!B9:'Monthly NII'!D9)-'Net Interest Income'!B9,2)</x:f>
        <x:v>0</x:v>
      </x:c>
      <x:c r="C37" s="54" t="n">
        <x:f>ROUND(SUM('Monthly NII'!E9:'Monthly NII'!G9)-'Net Interest Income'!C9,2)</x:f>
        <x:v>0</x:v>
      </x:c>
      <x:c r="D37" s="54" t="n">
        <x:f>ROUND(SUM('Monthly NII'!H9:'Monthly NII'!J9)-'Net Interest Income'!D9,2)</x:f>
        <x:v>0</x:v>
      </x:c>
      <x:c r="E37" s="54" t="n">
        <x:f>ROUND(SUM('Monthly NII'!K9:'Monthly NII'!M9)-'Net Interest Income'!E9,2)</x:f>
        <x:v>0</x:v>
      </x:c>
      <x:c r="F37" s="54" t="n">
        <x:f>ROUND(SUM('Monthly NII'!N9:'Monthly NII'!P9)-'Net Interest Income'!F9,2)</x:f>
        <x:v>0</x:v>
      </x:c>
      <x:c r="G37" s="54" t="n">
        <x:f>ROUND(SUM('Monthly NII'!Q9:'Monthly NII'!S9)-'Net Interest Income'!G9,2)</x:f>
        <x:v>0</x:v>
      </x:c>
      <x:c r="H37" s="54" t="n">
        <x:f>ROUND(SUM('Monthly NII'!T9:'Monthly NII'!V9)-'Net Interest Income'!H9,2)</x:f>
        <x:v>0</x:v>
      </x:c>
      <x:c r="I37" s="54" t="n">
        <x:f>ROUND(SUM('Monthly NII'!W9:'Monthly NII'!Y9)-'Net Interest Income'!I9,2)</x:f>
        <x:v>0</x:v>
      </x:c>
      <x:c r="J37" s="54" t="n">
        <x:f>ROUND(SUM('Monthly NII'!Z9:'Monthly NII'!AB9)-'Net Interest Income'!J9,2)</x:f>
        <x:v>0</x:v>
      </x:c>
      <x:c r="K37" s="54" t="n">
        <x:f>ROUND(SUM('Monthly NII'!AC9:'Monthly NII'!AE9)-'Net Interest Income'!K9,2)</x:f>
        <x:v>0</x:v>
      </x:c>
      <x:c r="L37" s="54" t="n">
        <x:f>ROUND(SUM('Monthly NII'!AF9:'Monthly NII'!AH9)-'Net Interest Income'!L9,2)</x:f>
        <x:v>0</x:v>
      </x:c>
      <x:c r="M37" s="54" t="n">
        <x:f>ROUND(SUM('Monthly NII'!AI9:'Monthly NII'!AK9)-'Net Interest Income'!M9,2)</x:f>
        <x:v>0</x:v>
      </x:c>
      <x:c r="N37" s="54" t="n">
        <x:f>ROUND(SUM('Monthly NII'!AL9:'Monthly NII'!AN9)-'Net Interest Income'!N9,2)</x:f>
        <x:v>0</x:v>
      </x:c>
      <x:c r="O37" s="54" t="n">
        <x:f>ROUND(SUM('Monthly NII'!AO9:'Monthly NII'!AQ9)-'Net Interest Income'!O9,2)</x:f>
        <x:v>0</x:v>
      </x:c>
    </x:row>
    <x:row r="38">
      <x:c r="A38" s="20" t="str">
        <x:v>  Investment securities</x:v>
      </x:c>
      <x:c r="B38" s="54" t="n">
        <x:f>ROUND(SUM('Monthly NII'!B10:'Monthly NII'!D10)-'Net Interest Income'!B10,2)</x:f>
        <x:v>0</x:v>
      </x:c>
      <x:c r="C38" s="54" t="n">
        <x:f>ROUND(SUM('Monthly NII'!E10:'Monthly NII'!G10)-'Net Interest Income'!C10,2)</x:f>
        <x:v>0</x:v>
      </x:c>
      <x:c r="D38" s="54" t="n">
        <x:f>ROUND(SUM('Monthly NII'!H10:'Monthly NII'!J10)-'Net Interest Income'!D10,2)</x:f>
        <x:v>0</x:v>
      </x:c>
      <x:c r="E38" s="54" t="n">
        <x:f>ROUND(SUM('Monthly NII'!K10:'Monthly NII'!M10)-'Net Interest Income'!E10,2)</x:f>
        <x:v>0</x:v>
      </x:c>
      <x:c r="F38" s="54" t="n">
        <x:f>ROUND(SUM('Monthly NII'!N10:'Monthly NII'!P10)-'Net Interest Income'!F10,2)</x:f>
        <x:v>0</x:v>
      </x:c>
      <x:c r="G38" s="54" t="n">
        <x:f>ROUND(SUM('Monthly NII'!Q10:'Monthly NII'!S10)-'Net Interest Income'!G10,2)</x:f>
        <x:v>0</x:v>
      </x:c>
      <x:c r="H38" s="54" t="n">
        <x:f>ROUND(SUM('Monthly NII'!T10:'Monthly NII'!V10)-'Net Interest Income'!H10,2)</x:f>
        <x:v>0</x:v>
      </x:c>
      <x:c r="I38" s="54" t="n">
        <x:f>ROUND(SUM('Monthly NII'!W10:'Monthly NII'!Y10)-'Net Interest Income'!I10,2)</x:f>
        <x:v>0</x:v>
      </x:c>
      <x:c r="J38" s="54" t="n">
        <x:f>ROUND(SUM('Monthly NII'!Z10:'Monthly NII'!AB10)-'Net Interest Income'!J10,2)</x:f>
        <x:v>0</x:v>
      </x:c>
      <x:c r="K38" s="54" t="n">
        <x:f>ROUND(SUM('Monthly NII'!AC10:'Monthly NII'!AE10)-'Net Interest Income'!K10,2)</x:f>
        <x:v>0</x:v>
      </x:c>
      <x:c r="L38" s="54" t="n">
        <x:f>ROUND(SUM('Monthly NII'!AF10:'Monthly NII'!AH10)-'Net Interest Income'!L10,2)</x:f>
        <x:v>0</x:v>
      </x:c>
      <x:c r="M38" s="54" t="n">
        <x:f>ROUND(SUM('Monthly NII'!AI10:'Monthly NII'!AK10)-'Net Interest Income'!M10,2)</x:f>
        <x:v>0</x:v>
      </x:c>
      <x:c r="N38" s="54" t="n">
        <x:f>ROUND(SUM('Monthly NII'!AL10:'Monthly NII'!AN10)-'Net Interest Income'!N10,2)</x:f>
        <x:v>0</x:v>
      </x:c>
      <x:c r="O38" s="54" t="n">
        <x:f>ROUND(SUM('Monthly NII'!AO10:'Monthly NII'!AQ10)-'Net Interest Income'!O10,2)</x:f>
        <x:v>0</x:v>
      </x:c>
    </x:row>
    <x:row r="39">
      <x:c r="A39" s="20" t="str">
        <x:v>  Cash equivalents and other</x:v>
      </x:c>
      <x:c r="B39" s="54" t="n">
        <x:f>ROUND(SUM('Monthly NII'!B11:'Monthly NII'!D11)-'Net Interest Income'!B11,2)</x:f>
        <x:v>0</x:v>
      </x:c>
      <x:c r="C39" s="54" t="n">
        <x:f>ROUND(SUM('Monthly NII'!E11:'Monthly NII'!G11)-'Net Interest Income'!C11,2)</x:f>
        <x:v>0</x:v>
      </x:c>
      <x:c r="D39" s="54" t="n">
        <x:f>ROUND(SUM('Monthly NII'!H11:'Monthly NII'!J11)-'Net Interest Income'!D11,2)</x:f>
        <x:v>0</x:v>
      </x:c>
      <x:c r="E39" s="54" t="n">
        <x:f>ROUND(SUM('Monthly NII'!K11:'Monthly NII'!M11)-'Net Interest Income'!E11,2)</x:f>
        <x:v>0</x:v>
      </x:c>
      <x:c r="F39" s="54" t="n">
        <x:f>ROUND(SUM('Monthly NII'!N11:'Monthly NII'!P11)-'Net Interest Income'!F11,2)</x:f>
        <x:v>0</x:v>
      </x:c>
      <x:c r="G39" s="54" t="n">
        <x:f>ROUND(SUM('Monthly NII'!Q11:'Monthly NII'!S11)-'Net Interest Income'!G11,2)</x:f>
        <x:v>0</x:v>
      </x:c>
      <x:c r="H39" s="54" t="n">
        <x:f>ROUND(SUM('Monthly NII'!T11:'Monthly NII'!V11)-'Net Interest Income'!H11,2)</x:f>
        <x:v>0</x:v>
      </x:c>
      <x:c r="I39" s="54" t="n">
        <x:f>ROUND(SUM('Monthly NII'!W11:'Monthly NII'!Y11)-'Net Interest Income'!I11,2)</x:f>
        <x:v>0</x:v>
      </x:c>
      <x:c r="J39" s="54" t="n">
        <x:f>ROUND(SUM('Monthly NII'!Z11:'Monthly NII'!AB11)-'Net Interest Income'!J11,2)</x:f>
        <x:v>0</x:v>
      </x:c>
      <x:c r="K39" s="54" t="n">
        <x:f>ROUND(SUM('Monthly NII'!AC11:'Monthly NII'!AE11)-'Net Interest Income'!K11,2)</x:f>
        <x:v>0</x:v>
      </x:c>
      <x:c r="L39" s="54" t="n">
        <x:f>ROUND(SUM('Monthly NII'!AF11:'Monthly NII'!AH11)-'Net Interest Income'!L11,2)</x:f>
        <x:v>0</x:v>
      </x:c>
      <x:c r="M39" s="54" t="n">
        <x:f>ROUND(SUM('Monthly NII'!AI11:'Monthly NII'!AK11)-'Net Interest Income'!M11,2)</x:f>
        <x:v>0</x:v>
      </x:c>
      <x:c r="N39" s="54" t="n">
        <x:f>ROUND(SUM('Monthly NII'!AL11:'Monthly NII'!AN11)-'Net Interest Income'!N11,2)</x:f>
        <x:v>0</x:v>
      </x:c>
      <x:c r="O39" s="54" t="n">
        <x:f>ROUND(SUM('Monthly NII'!AO11:'Monthly NII'!AQ11)-'Net Interest Income'!O11,2)</x:f>
        <x:v>0</x:v>
      </x:c>
    </x:row>
    <x:row r="40">
      <x:c r="A40" s="20" t="str">
        <x:v>  Total interest-earning assets</x:v>
      </x:c>
      <x:c r="B40" s="54" t="n">
        <x:f>ROUND(SUM('Monthly NII'!B12:'Monthly NII'!D12)-'Net Interest Income'!B12,2)</x:f>
        <x:v>0</x:v>
      </x:c>
      <x:c r="C40" s="54" t="n">
        <x:f>ROUND(SUM('Monthly NII'!E12:'Monthly NII'!G12)-'Net Interest Income'!C12,2)</x:f>
        <x:v>0</x:v>
      </x:c>
      <x:c r="D40" s="54" t="n">
        <x:f>ROUND(SUM('Monthly NII'!H12:'Monthly NII'!J12)-'Net Interest Income'!D12,2)</x:f>
        <x:v>0</x:v>
      </x:c>
      <x:c r="E40" s="54" t="n">
        <x:f>ROUND(SUM('Monthly NII'!K12:'Monthly NII'!M12)-'Net Interest Income'!E12,2)</x:f>
        <x:v>0</x:v>
      </x:c>
      <x:c r="F40" s="54" t="n">
        <x:f>ROUND(SUM('Monthly NII'!N12:'Monthly NII'!P12)-'Net Interest Income'!F12,2)</x:f>
        <x:v>0</x:v>
      </x:c>
      <x:c r="G40" s="54" t="n">
        <x:f>ROUND(SUM('Monthly NII'!Q12:'Monthly NII'!S12)-'Net Interest Income'!G12,2)</x:f>
        <x:v>0</x:v>
      </x:c>
      <x:c r="H40" s="54" t="n">
        <x:f>ROUND(SUM('Monthly NII'!T12:'Monthly NII'!V12)-'Net Interest Income'!H12,2)</x:f>
        <x:v>0</x:v>
      </x:c>
      <x:c r="I40" s="54" t="n">
        <x:f>ROUND(SUM('Monthly NII'!W12:'Monthly NII'!Y12)-'Net Interest Income'!I12,2)</x:f>
        <x:v>0</x:v>
      </x:c>
      <x:c r="J40" s="54" t="n">
        <x:f>ROUND(SUM('Monthly NII'!Z12:'Monthly NII'!AB12)-'Net Interest Income'!J12,2)</x:f>
        <x:v>0</x:v>
      </x:c>
      <x:c r="K40" s="54" t="n">
        <x:f>ROUND(SUM('Monthly NII'!AC12:'Monthly NII'!AE12)-'Net Interest Income'!K12,2)</x:f>
        <x:v>0</x:v>
      </x:c>
      <x:c r="L40" s="54" t="n">
        <x:f>ROUND(SUM('Monthly NII'!AF12:'Monthly NII'!AH12)-'Net Interest Income'!L12,2)</x:f>
        <x:v>0</x:v>
      </x:c>
      <x:c r="M40" s="54" t="n">
        <x:f>ROUND(SUM('Monthly NII'!AI12:'Monthly NII'!AK12)-'Net Interest Income'!M12,2)</x:f>
        <x:v>0</x:v>
      </x:c>
      <x:c r="N40" s="54" t="n">
        <x:f>ROUND(SUM('Monthly NII'!AL12:'Monthly NII'!AN12)-'Net Interest Income'!N12,2)</x:f>
        <x:v>0</x:v>
      </x:c>
      <x:c r="O40" s="54" t="n">
        <x:f>ROUND(SUM('Monthly NII'!AO12:'Monthly NII'!AQ12)-'Net Interest Income'!O12,2)</x:f>
        <x:v>0</x:v>
      </x:c>
    </x:row>
    <x:row r="41">
      <x:c r="A41" s="20" t="str">
        <x:v>  Interest-bearing deposits</x:v>
      </x:c>
      <x:c r="B41" s="54" t="n">
        <x:f>ROUND(SUM('Monthly NII'!B15:'Monthly NII'!D15)-'Net Interest Income'!B15,2)</x:f>
        <x:v>0</x:v>
      </x:c>
      <x:c r="C41" s="54" t="n">
        <x:f>ROUND(SUM('Monthly NII'!E15:'Monthly NII'!G15)-'Net Interest Income'!C15,2)</x:f>
        <x:v>0</x:v>
      </x:c>
      <x:c r="D41" s="54" t="n">
        <x:f>ROUND(SUM('Monthly NII'!H15:'Monthly NII'!J15)-'Net Interest Income'!D15,2)</x:f>
        <x:v>0</x:v>
      </x:c>
      <x:c r="E41" s="54" t="n">
        <x:f>ROUND(SUM('Monthly NII'!K15:'Monthly NII'!M15)-'Net Interest Income'!E15,2)</x:f>
        <x:v>0</x:v>
      </x:c>
      <x:c r="F41" s="54" t="n">
        <x:f>ROUND(SUM('Monthly NII'!N15:'Monthly NII'!P15)-'Net Interest Income'!F15,2)</x:f>
        <x:v>0</x:v>
      </x:c>
      <x:c r="G41" s="54" t="n">
        <x:f>ROUND(SUM('Monthly NII'!Q15:'Monthly NII'!S15)-'Net Interest Income'!G15,2)</x:f>
        <x:v>0</x:v>
      </x:c>
      <x:c r="H41" s="54" t="n">
        <x:f>ROUND(SUM('Monthly NII'!T15:'Monthly NII'!V15)-'Net Interest Income'!H15,2)</x:f>
        <x:v>0</x:v>
      </x:c>
      <x:c r="I41" s="54" t="n">
        <x:f>ROUND(SUM('Monthly NII'!W15:'Monthly NII'!Y15)-'Net Interest Income'!I15,2)</x:f>
        <x:v>0</x:v>
      </x:c>
      <x:c r="J41" s="54" t="n">
        <x:f>ROUND(SUM('Monthly NII'!Z15:'Monthly NII'!AB15)-'Net Interest Income'!J15,2)</x:f>
        <x:v>0</x:v>
      </x:c>
      <x:c r="K41" s="54" t="n">
        <x:f>ROUND(SUM('Monthly NII'!AC15:'Monthly NII'!AE15)-'Net Interest Income'!K15,2)</x:f>
        <x:v>0</x:v>
      </x:c>
      <x:c r="L41" s="54" t="n">
        <x:f>ROUND(SUM('Monthly NII'!AF15:'Monthly NII'!AH15)-'Net Interest Income'!L15,2)</x:f>
        <x:v>0</x:v>
      </x:c>
      <x:c r="M41" s="54" t="n">
        <x:f>ROUND(SUM('Monthly NII'!AI15:'Monthly NII'!AK15)-'Net Interest Income'!M15,2)</x:f>
        <x:v>0</x:v>
      </x:c>
      <x:c r="N41" s="54" t="n">
        <x:f>ROUND(SUM('Monthly NII'!AL15:'Monthly NII'!AN15)-'Net Interest Income'!N15,2)</x:f>
        <x:v>0</x:v>
      </x:c>
      <x:c r="O41" s="54" t="n">
        <x:f>ROUND(SUM('Monthly NII'!AO15:'Monthly NII'!AQ15)-'Net Interest Income'!O15,2)</x:f>
        <x:v>0</x:v>
      </x:c>
    </x:row>
    <x:row r="42">
      <x:c r="A42" s="20" t="str">
        <x:v>  Securitized debt obligations</x:v>
      </x:c>
      <x:c r="B42" s="54" t="n">
        <x:f>ROUND(SUM('Monthly NII'!B16:'Monthly NII'!D16)-'Net Interest Income'!B16,2)</x:f>
        <x:v>0</x:v>
      </x:c>
      <x:c r="C42" s="54" t="n">
        <x:f>ROUND(SUM('Monthly NII'!E16:'Monthly NII'!G16)-'Net Interest Income'!C16,2)</x:f>
        <x:v>0</x:v>
      </x:c>
      <x:c r="D42" s="54" t="n">
        <x:f>ROUND(SUM('Monthly NII'!H16:'Monthly NII'!J16)-'Net Interest Income'!D16,2)</x:f>
        <x:v>0</x:v>
      </x:c>
      <x:c r="E42" s="54" t="n">
        <x:f>ROUND(SUM('Monthly NII'!K16:'Monthly NII'!M16)-'Net Interest Income'!E16,2)</x:f>
        <x:v>0</x:v>
      </x:c>
      <x:c r="F42" s="54" t="n">
        <x:f>ROUND(SUM('Monthly NII'!N16:'Monthly NII'!P16)-'Net Interest Income'!F16,2)</x:f>
        <x:v>0</x:v>
      </x:c>
      <x:c r="G42" s="54" t="n">
        <x:f>ROUND(SUM('Monthly NII'!Q16:'Monthly NII'!S16)-'Net Interest Income'!G16,2)</x:f>
        <x:v>0</x:v>
      </x:c>
      <x:c r="H42" s="54" t="n">
        <x:f>ROUND(SUM('Monthly NII'!T16:'Monthly NII'!V16)-'Net Interest Income'!H16,2)</x:f>
        <x:v>0</x:v>
      </x:c>
      <x:c r="I42" s="54" t="n">
        <x:f>ROUND(SUM('Monthly NII'!W16:'Monthly NII'!Y16)-'Net Interest Income'!I16,2)</x:f>
        <x:v>0</x:v>
      </x:c>
      <x:c r="J42" s="54" t="n">
        <x:f>ROUND(SUM('Monthly NII'!Z16:'Monthly NII'!AB16)-'Net Interest Income'!J16,2)</x:f>
        <x:v>0</x:v>
      </x:c>
      <x:c r="K42" s="54" t="n">
        <x:f>ROUND(SUM('Monthly NII'!AC16:'Monthly NII'!AE16)-'Net Interest Income'!K16,2)</x:f>
        <x:v>0</x:v>
      </x:c>
      <x:c r="L42" s="54" t="n">
        <x:f>ROUND(SUM('Monthly NII'!AF16:'Monthly NII'!AH16)-'Net Interest Income'!L16,2)</x:f>
        <x:v>0</x:v>
      </x:c>
      <x:c r="M42" s="54" t="n">
        <x:f>ROUND(SUM('Monthly NII'!AI16:'Monthly NII'!AK16)-'Net Interest Income'!M16,2)</x:f>
        <x:v>0</x:v>
      </x:c>
      <x:c r="N42" s="54" t="n">
        <x:f>ROUND(SUM('Monthly NII'!AL16:'Monthly NII'!AN16)-'Net Interest Income'!N16,2)</x:f>
        <x:v>0</x:v>
      </x:c>
      <x:c r="O42" s="54" t="n">
        <x:f>ROUND(SUM('Monthly NII'!AO16:'Monthly NII'!AQ16)-'Net Interest Income'!O16,2)</x:f>
        <x:v>0</x:v>
      </x:c>
    </x:row>
    <x:row r="43">
      <x:c r="A43" s="20" t="str">
        <x:v>  Senior and subordinated notes</x:v>
      </x:c>
      <x:c r="B43" s="54" t="n">
        <x:f>ROUND(SUM('Monthly NII'!B17:'Monthly NII'!D17)-'Net Interest Income'!B17,2)</x:f>
        <x:v>0</x:v>
      </x:c>
      <x:c r="C43" s="54" t="n">
        <x:f>ROUND(SUM('Monthly NII'!E17:'Monthly NII'!G17)-'Net Interest Income'!C17,2)</x:f>
        <x:v>0</x:v>
      </x:c>
      <x:c r="D43" s="54" t="n">
        <x:f>ROUND(SUM('Monthly NII'!H17:'Monthly NII'!J17)-'Net Interest Income'!D17,2)</x:f>
        <x:v>0</x:v>
      </x:c>
      <x:c r="E43" s="54" t="n">
        <x:f>ROUND(SUM('Monthly NII'!K17:'Monthly NII'!M17)-'Net Interest Income'!E17,2)</x:f>
        <x:v>0</x:v>
      </x:c>
      <x:c r="F43" s="54" t="n">
        <x:f>ROUND(SUM('Monthly NII'!N17:'Monthly NII'!P17)-'Net Interest Income'!F17,2)</x:f>
        <x:v>0</x:v>
      </x:c>
      <x:c r="G43" s="54" t="n">
        <x:f>ROUND(SUM('Monthly NII'!Q17:'Monthly NII'!S17)-'Net Interest Income'!G17,2)</x:f>
        <x:v>0</x:v>
      </x:c>
      <x:c r="H43" s="54" t="n">
        <x:f>ROUND(SUM('Monthly NII'!T17:'Monthly NII'!V17)-'Net Interest Income'!H17,2)</x:f>
        <x:v>0</x:v>
      </x:c>
      <x:c r="I43" s="54" t="n">
        <x:f>ROUND(SUM('Monthly NII'!W17:'Monthly NII'!Y17)-'Net Interest Income'!I17,2)</x:f>
        <x:v>0</x:v>
      </x:c>
      <x:c r="J43" s="54" t="n">
        <x:f>ROUND(SUM('Monthly NII'!Z17:'Monthly NII'!AB17)-'Net Interest Income'!J17,2)</x:f>
        <x:v>0</x:v>
      </x:c>
      <x:c r="K43" s="54" t="n">
        <x:f>ROUND(SUM('Monthly NII'!AC17:'Monthly NII'!AE17)-'Net Interest Income'!K17,2)</x:f>
        <x:v>0</x:v>
      </x:c>
      <x:c r="L43" s="54" t="n">
        <x:f>ROUND(SUM('Monthly NII'!AF17:'Monthly NII'!AH17)-'Net Interest Income'!L17,2)</x:f>
        <x:v>0</x:v>
      </x:c>
      <x:c r="M43" s="54" t="n">
        <x:f>ROUND(SUM('Monthly NII'!AI17:'Monthly NII'!AK17)-'Net Interest Income'!M17,2)</x:f>
        <x:v>0</x:v>
      </x:c>
      <x:c r="N43" s="54" t="n">
        <x:f>ROUND(SUM('Monthly NII'!AL17:'Monthly NII'!AN17)-'Net Interest Income'!N17,2)</x:f>
        <x:v>0</x:v>
      </x:c>
      <x:c r="O43" s="54" t="n">
        <x:f>ROUND(SUM('Monthly NII'!AO17:'Monthly NII'!AQ17)-'Net Interest Income'!O17,2)</x:f>
        <x:v>0</x:v>
      </x:c>
    </x:row>
    <x:row r="44">
      <x:c r="A44" s="20" t="str">
        <x:v>  Other borrowings</x:v>
      </x:c>
      <x:c r="B44" s="54" t="n">
        <x:f>ROUND(SUM('Monthly NII'!B18:'Monthly NII'!D18)-'Net Interest Income'!B18,2)</x:f>
        <x:v>0</x:v>
      </x:c>
      <x:c r="C44" s="54" t="n">
        <x:f>ROUND(SUM('Monthly NII'!E18:'Monthly NII'!G18)-'Net Interest Income'!C18,2)</x:f>
        <x:v>0</x:v>
      </x:c>
      <x:c r="D44" s="54" t="n">
        <x:f>ROUND(SUM('Monthly NII'!H18:'Monthly NII'!J18)-'Net Interest Income'!D18,2)</x:f>
        <x:v>0</x:v>
      </x:c>
      <x:c r="E44" s="54" t="n">
        <x:f>ROUND(SUM('Monthly NII'!K18:'Monthly NII'!M18)-'Net Interest Income'!E18,2)</x:f>
        <x:v>0</x:v>
      </x:c>
      <x:c r="F44" s="54" t="n">
        <x:f>ROUND(SUM('Monthly NII'!N18:'Monthly NII'!P18)-'Net Interest Income'!F18,2)</x:f>
        <x:v>0</x:v>
      </x:c>
      <x:c r="G44" s="54" t="n">
        <x:f>ROUND(SUM('Monthly NII'!Q18:'Monthly NII'!S18)-'Net Interest Income'!G18,2)</x:f>
        <x:v>0</x:v>
      </x:c>
      <x:c r="H44" s="54" t="n">
        <x:f>ROUND(SUM('Monthly NII'!T18:'Monthly NII'!V18)-'Net Interest Income'!H18,2)</x:f>
        <x:v>0</x:v>
      </x:c>
      <x:c r="I44" s="54" t="n">
        <x:f>ROUND(SUM('Monthly NII'!W18:'Monthly NII'!Y18)-'Net Interest Income'!I18,2)</x:f>
        <x:v>0</x:v>
      </x:c>
      <x:c r="J44" s="54" t="n">
        <x:f>ROUND(SUM('Monthly NII'!Z18:'Monthly NII'!AB18)-'Net Interest Income'!J18,2)</x:f>
        <x:v>0</x:v>
      </x:c>
      <x:c r="K44" s="54" t="n">
        <x:f>ROUND(SUM('Monthly NII'!AC18:'Monthly NII'!AE18)-'Net Interest Income'!K18,2)</x:f>
        <x:v>0</x:v>
      </x:c>
      <x:c r="L44" s="54" t="n">
        <x:f>ROUND(SUM('Monthly NII'!AF18:'Monthly NII'!AH18)-'Net Interest Income'!L18,2)</x:f>
        <x:v>0</x:v>
      </x:c>
      <x:c r="M44" s="54" t="n">
        <x:f>ROUND(SUM('Monthly NII'!AI18:'Monthly NII'!AK18)-'Net Interest Income'!M18,2)</x:f>
        <x:v>0</x:v>
      </x:c>
      <x:c r="N44" s="54" t="n">
        <x:f>ROUND(SUM('Monthly NII'!AL18:'Monthly NII'!AN18)-'Net Interest Income'!N18,2)</x:f>
        <x:v>0</x:v>
      </x:c>
      <x:c r="O44" s="54" t="n">
        <x:f>ROUND(SUM('Monthly NII'!AO18:'Monthly NII'!AQ18)-'Net Interest Income'!O18,2)</x:f>
        <x:v>0</x:v>
      </x:c>
    </x:row>
    <x:row r="45">
      <x:c r="A45" s="20" t="str">
        <x:v>  Total interest-bearing liabilities</x:v>
      </x:c>
      <x:c r="B45" s="54" t="n">
        <x:f>ROUND(SUM('Monthly NII'!B19:'Monthly NII'!D19)-'Net Interest Income'!B19,2)</x:f>
        <x:v>0</x:v>
      </x:c>
      <x:c r="C45" s="54" t="n">
        <x:f>ROUND(SUM('Monthly NII'!E19:'Monthly NII'!G19)-'Net Interest Income'!C19,2)</x:f>
        <x:v>0</x:v>
      </x:c>
      <x:c r="D45" s="54" t="n">
        <x:f>ROUND(SUM('Monthly NII'!H19:'Monthly NII'!J19)-'Net Interest Income'!D19,2)</x:f>
        <x:v>0</x:v>
      </x:c>
      <x:c r="E45" s="54" t="n">
        <x:f>ROUND(SUM('Monthly NII'!K19:'Monthly NII'!M19)-'Net Interest Income'!E19,2)</x:f>
        <x:v>0</x:v>
      </x:c>
      <x:c r="F45" s="54" t="n">
        <x:f>ROUND(SUM('Monthly NII'!N19:'Monthly NII'!P19)-'Net Interest Income'!F19,2)</x:f>
        <x:v>0</x:v>
      </x:c>
      <x:c r="G45" s="54" t="n">
        <x:f>ROUND(SUM('Monthly NII'!Q19:'Monthly NII'!S19)-'Net Interest Income'!G19,2)</x:f>
        <x:v>0</x:v>
      </x:c>
      <x:c r="H45" s="54" t="n">
        <x:f>ROUND(SUM('Monthly NII'!T19:'Monthly NII'!V19)-'Net Interest Income'!H19,2)</x:f>
        <x:v>0</x:v>
      </x:c>
      <x:c r="I45" s="54" t="n">
        <x:f>ROUND(SUM('Monthly NII'!W19:'Monthly NII'!Y19)-'Net Interest Income'!I19,2)</x:f>
        <x:v>0</x:v>
      </x:c>
      <x:c r="J45" s="54" t="n">
        <x:f>ROUND(SUM('Monthly NII'!Z19:'Monthly NII'!AB19)-'Net Interest Income'!J19,2)</x:f>
        <x:v>0</x:v>
      </x:c>
      <x:c r="K45" s="54" t="n">
        <x:f>ROUND(SUM('Monthly NII'!AC19:'Monthly NII'!AE19)-'Net Interest Income'!K19,2)</x:f>
        <x:v>0</x:v>
      </x:c>
      <x:c r="L45" s="54" t="n">
        <x:f>ROUND(SUM('Monthly NII'!AF19:'Monthly NII'!AH19)-'Net Interest Income'!L19,2)</x:f>
        <x:v>0</x:v>
      </x:c>
      <x:c r="M45" s="54" t="n">
        <x:f>ROUND(SUM('Monthly NII'!AI19:'Monthly NII'!AK19)-'Net Interest Income'!M19,2)</x:f>
        <x:v>0</x:v>
      </x:c>
      <x:c r="N45" s="54" t="n">
        <x:f>ROUND(SUM('Monthly NII'!AL19:'Monthly NII'!AN19)-'Net Interest Income'!N19,2)</x:f>
        <x:v>0</x:v>
      </x:c>
      <x:c r="O45" s="54" t="n">
        <x:f>ROUND(SUM('Monthly NII'!AO19:'Monthly NII'!AQ19)-'Net Interest Income'!O19,2)</x:f>
        <x:v>0</x:v>
      </x:c>
    </x:row>
    <x:row r="46">
      <x:c r="A46" s="20" t="str">
        <x:v>NET INTEREST INCOME</x:v>
      </x:c>
      <x:c r="B46" s="54" t="n">
        <x:f>ROUND(SUM('Monthly NII'!B21:'Monthly NII'!D21)-'Net Interest Income'!B21,2)</x:f>
        <x:v>0</x:v>
      </x:c>
      <x:c r="C46" s="54" t="n">
        <x:f>ROUND(SUM('Monthly NII'!E21:'Monthly NII'!G21)-'Net Interest Income'!C21,2)</x:f>
        <x:v>0</x:v>
      </x:c>
      <x:c r="D46" s="54" t="n">
        <x:f>ROUND(SUM('Monthly NII'!H21:'Monthly NII'!J21)-'Net Interest Income'!D21,2)</x:f>
        <x:v>0</x:v>
      </x:c>
      <x:c r="E46" s="54" t="n">
        <x:f>ROUND(SUM('Monthly NII'!K21:'Monthly NII'!M21)-'Net Interest Income'!E21,2)</x:f>
        <x:v>0</x:v>
      </x:c>
      <x:c r="F46" s="54" t="n">
        <x:f>ROUND(SUM('Monthly NII'!N21:'Monthly NII'!P21)-'Net Interest Income'!F21,2)</x:f>
        <x:v>0</x:v>
      </x:c>
      <x:c r="G46" s="54" t="n">
        <x:f>ROUND(SUM('Monthly NII'!Q21:'Monthly NII'!S21)-'Net Interest Income'!G21,2)</x:f>
        <x:v>0</x:v>
      </x:c>
      <x:c r="H46" s="54" t="n">
        <x:f>ROUND(SUM('Monthly NII'!T21:'Monthly NII'!V21)-'Net Interest Income'!H21,2)</x:f>
        <x:v>0</x:v>
      </x:c>
      <x:c r="I46" s="54" t="n">
        <x:f>ROUND(SUM('Monthly NII'!W21:'Monthly NII'!Y21)-'Net Interest Income'!I21,2)</x:f>
        <x:v>0</x:v>
      </x:c>
      <x:c r="J46" s="54" t="n">
        <x:f>ROUND(SUM('Monthly NII'!Z21:'Monthly NII'!AB21)-'Net Interest Income'!J21,2)</x:f>
        <x:v>0</x:v>
      </x:c>
      <x:c r="K46" s="54" t="n">
        <x:f>ROUND(SUM('Monthly NII'!AC21:'Monthly NII'!AE21)-'Net Interest Income'!K21,2)</x:f>
        <x:v>0</x:v>
      </x:c>
      <x:c r="L46" s="54" t="n">
        <x:f>ROUND(SUM('Monthly NII'!AF21:'Monthly NII'!AH21)-'Net Interest Income'!L21,2)</x:f>
        <x:v>0</x:v>
      </x:c>
      <x:c r="M46" s="54" t="n">
        <x:f>ROUND(SUM('Monthly NII'!AI21:'Monthly NII'!AK21)-'Net Interest Income'!M21,2)</x:f>
        <x:v>0</x:v>
      </x:c>
      <x:c r="N46" s="54" t="n">
        <x:f>ROUND(SUM('Monthly NII'!AL21:'Monthly NII'!AN21)-'Net Interest Income'!N21,2)</x:f>
        <x:v>0</x:v>
      </x:c>
      <x:c r="O46" s="54" t="n">
        <x:f>ROUND(SUM('Monthly NII'!AO21:'Monthly NII'!AQ21)-'Net Interest Income'!O21,2)</x:f>
        <x:v>0</x:v>
      </x:c>
    </x:row>
    <x:row r="47">
      <x:c r="A47" s="20"/>
      <x:c r="B47" s="54"/>
      <x:c r="C47" s="54"/>
      <x:c r="D47" s="54"/>
      <x:c r="E47" s="54"/>
      <x:c r="F47" s="54"/>
      <x:c r="G47" s="54"/>
      <x:c r="H47" s="54"/>
      <x:c r="I47" s="54"/>
      <x:c r="J47" s="54"/>
      <x:c r="K47" s="54"/>
      <x:c r="L47" s="54"/>
      <x:c r="M47" s="54"/>
      <x:c r="N47" s="54"/>
      <x:c r="O47" s="54"/>
    </x:row>
    <x:row r="48">
      <x:c r="A48" s="25" t="str">
        <x:v>EFFECTIVE RATE LESS DISCLOSED RATE (BPS, INFORMATIONAL)</x:v>
      </x:c>
      <x:c r="B48" s="25"/>
      <x:c r="C48" s="25"/>
      <x:c r="D48" s="25"/>
      <x:c r="E48" s="25"/>
      <x:c r="F48" s="25"/>
      <x:c r="G48" s="25"/>
      <x:c r="H48" s="25"/>
      <x:c r="I48" s="25"/>
      <x:c r="J48" s="25"/>
      <x:c r="K48" s="25"/>
      <x:c r="L48" s="25"/>
      <x:c r="M48" s="25"/>
      <x:c r="N48" s="25"/>
      <x:c r="O48" s="25"/>
    </x:row>
    <x:row r="49">
      <x:c r="A49" s="20" t="str">
        <x:v>  Credit card</x:v>
      </x:c>
      <x:c r="B49" s="56" t="n">
        <x:f>ROUND((('Net Interest Income'!B6*4/Balance!B6)-Rate!B6)*10000,2)</x:f>
        <x:v>-0.11</x:v>
      </x:c>
      <x:c r="C49" s="56" t="n">
        <x:f>ROUND((('Net Interest Income'!C6*4/Balance!C6)-Rate!C6)*10000,2)</x:f>
        <x:v>-0.36</x:v>
      </x:c>
      <x:c r="D49" s="56" t="n">
        <x:f>ROUND((('Net Interest Income'!D6*4/Balance!D6)-Rate!D6)*10000,2)</x:f>
        <x:v>0.08</x:v>
      </x:c>
      <x:c r="E49" s="56" t="n">
        <x:f>ROUND((('Net Interest Income'!E6*4/Balance!E6)-Rate!E6)*10000,2)</x:f>
        <x:v>0.41</x:v>
      </x:c>
      <x:c r="F49" s="56" t="n">
        <x:f>ROUND((('Net Interest Income'!F6*4/Balance!F6)-Rate!F6)*10000,2)</x:f>
        <x:v>-0.08</x:v>
      </x:c>
      <x:c r="G49" s="56" t="n">
        <x:f>ROUND((('Net Interest Income'!G6*4/Balance!G6)-Rate!G6)*10000,2)</x:f>
        <x:v>0.28</x:v>
      </x:c>
      <x:c r="H49" s="56" t="n">
        <x:f>ROUND((('Net Interest Income'!H6*4/Balance!H6)-Rate!H6)*10000,2)</x:f>
        <x:v>0.27</x:v>
      </x:c>
      <x:c r="I49" s="56" t="n">
        <x:f>ROUND((('Net Interest Income'!I6*4/Balance!I6)-Rate!I6)*10000,2)</x:f>
        <x:v>-0.32</x:v>
      </x:c>
      <x:c r="J49" s="56" t="n">
        <x:f>ROUND((('Net Interest Income'!J6*4/Balance!J6)-Rate!J6)*10000,2)</x:f>
        <x:v>-0.39</x:v>
      </x:c>
      <x:c r="K49" s="56" t="n">
        <x:f>ROUND((('Net Interest Income'!K6*4/Balance!K6)-Rate!K6)*10000,2)</x:f>
        <x:v>0.43</x:v>
      </x:c>
      <x:c r="L49" s="56" t="n">
        <x:f>ROUND((('Net Interest Income'!L6*4/Balance!L6)-Rate!L6)*10000,2)</x:f>
        <x:v>0.42</x:v>
      </x:c>
      <x:c r="M49" s="56" t="n">
        <x:f>ROUND((('Net Interest Income'!M6*4/Balance!M6)-Rate!M6)*10000,2)</x:f>
        <x:v>0.23</x:v>
      </x:c>
      <x:c r="N49" s="56" t="n">
        <x:f>ROUND((('Net Interest Income'!N6*4/Balance!N6)-Rate!N6)*10000,2)</x:f>
        <x:v>0.21</x:v>
      </x:c>
      <x:c r="O49" s="56" t="n">
        <x:f>ROUND((('Net Interest Income'!O6*4/Balance!O6)-Rate!O6)*10000,2)</x:f>
        <x:v>0.26</x:v>
      </x:c>
    </x:row>
    <x:row r="50">
      <x:c r="A50" s="20" t="str">
        <x:v>  Consumer banking</x:v>
      </x:c>
      <x:c r="B50" s="56" t="n">
        <x:f>ROUND((('Net Interest Income'!B7*4/Balance!B7)-Rate!B7)*10000,2)</x:f>
        <x:v>-0.25</x:v>
      </x:c>
      <x:c r="C50" s="56" t="n">
        <x:f>ROUND((('Net Interest Income'!C7*4/Balance!C7)-Rate!C7)*10000,2)</x:f>
        <x:v>0</x:v>
      </x:c>
      <x:c r="D50" s="56" t="n">
        <x:f>ROUND((('Net Interest Income'!D7*4/Balance!D7)-Rate!D7)*10000,2)</x:f>
        <x:v>-0.15</x:v>
      </x:c>
      <x:c r="E50" s="56" t="n">
        <x:f>ROUND((('Net Interest Income'!E7*4/Balance!E7)-Rate!E7)*10000,2)</x:f>
        <x:v>0.07</x:v>
      </x:c>
      <x:c r="F50" s="56" t="n">
        <x:f>ROUND((('Net Interest Income'!F7*4/Balance!F7)-Rate!F7)*10000,2)</x:f>
        <x:v>0.12</x:v>
      </x:c>
      <x:c r="G50" s="56" t="n">
        <x:f>ROUND((('Net Interest Income'!G7*4/Balance!G7)-Rate!G7)*10000,2)</x:f>
        <x:v>0.8</x:v>
      </x:c>
      <x:c r="H50" s="56" t="n">
        <x:f>ROUND((('Net Interest Income'!H7*4/Balance!H7)-Rate!H7)*10000,2)</x:f>
        <x:v>0.4</x:v>
      </x:c>
      <x:c r="I50" s="56" t="n">
        <x:f>ROUND((('Net Interest Income'!I7*4/Balance!I7)-Rate!I7)*10000,2)</x:f>
        <x:v>-0.22</x:v>
      </x:c>
      <x:c r="J50" s="56" t="n">
        <x:f>ROUND((('Net Interest Income'!J7*4/Balance!J7)-Rate!J7)*10000,2)</x:f>
        <x:v>0.67</x:v>
      </x:c>
      <x:c r="K50" s="56" t="n">
        <x:f>ROUND((('Net Interest Income'!K7*4/Balance!K7)-Rate!K7)*10000,2)</x:f>
        <x:v>-0.6</x:v>
      </x:c>
      <x:c r="L50" s="56" t="n">
        <x:f>ROUND((('Net Interest Income'!L7*4/Balance!L7)-Rate!L7)*10000,2)</x:f>
        <x:v>-0.3</x:v>
      </x:c>
      <x:c r="M50" s="56" t="n">
        <x:f>ROUND((('Net Interest Income'!M7*4/Balance!M7)-Rate!M7)*10000,2)</x:f>
        <x:v>0.23</x:v>
      </x:c>
      <x:c r="N50" s="56" t="n">
        <x:f>ROUND((('Net Interest Income'!N7*4/Balance!N7)-Rate!N7)*10000,2)</x:f>
        <x:v>-0.19</x:v>
      </x:c>
      <x:c r="O50" s="56" t="n">
        <x:f>ROUND((('Net Interest Income'!O7*4/Balance!O7)-Rate!O7)*10000,2)</x:f>
        <x:v>0.75</x:v>
      </x:c>
    </x:row>
    <x:row r="51">
      <x:c r="A51" s="20" t="str">
        <x:v>  Commercial banking</x:v>
      </x:c>
      <x:c r="B51" s="56" t="n">
        <x:f>ROUND((('Net Interest Income'!B8*4/Balance!B8)-Rate!B8)*10000,2)</x:f>
        <x:v>0.2</x:v>
      </x:c>
      <x:c r="C51" s="56" t="n">
        <x:f>ROUND((('Net Interest Income'!C8*4/Balance!C8)-Rate!C8)*10000,2)</x:f>
        <x:v>-0.76</x:v>
      </x:c>
      <x:c r="D51" s="56" t="n">
        <x:f>ROUND((('Net Interest Income'!D8*4/Balance!D8)-Rate!D8)*10000,2)</x:f>
        <x:v>-0.05</x:v>
      </x:c>
      <x:c r="E51" s="56" t="n">
        <x:f>ROUND((('Net Interest Income'!E8*4/Balance!E8)-Rate!E8)*10000,2)</x:f>
        <x:v>-0.47</x:v>
      </x:c>
      <x:c r="F51" s="56" t="n">
        <x:f>ROUND((('Net Interest Income'!F8*4/Balance!F8)-Rate!F8)*10000,2)</x:f>
        <x:v>0.09</x:v>
      </x:c>
      <x:c r="G51" s="56" t="n">
        <x:f>ROUND((('Net Interest Income'!G8*4/Balance!G8)-Rate!G8)*10000,2)</x:f>
        <x:v>-0.34</x:v>
      </x:c>
      <x:c r="H51" s="56" t="n">
        <x:f>ROUND((('Net Interest Income'!H8*4/Balance!H8)-Rate!H8)*10000,2)</x:f>
        <x:v>0.66</x:v>
      </x:c>
      <x:c r="I51" s="56" t="n">
        <x:f>ROUND((('Net Interest Income'!I8*4/Balance!I8)-Rate!I8)*10000,2)</x:f>
        <x:v>-0.41</x:v>
      </x:c>
      <x:c r="J51" s="56" t="n">
        <x:f>ROUND((('Net Interest Income'!J8*4/Balance!J8)-Rate!J8)*10000,2)</x:f>
        <x:v>0.01</x:v>
      </x:c>
      <x:c r="K51" s="56" t="n">
        <x:f>ROUND((('Net Interest Income'!K8*4/Balance!K8)-Rate!K8)*10000,2)</x:f>
        <x:v>0.46</x:v>
      </x:c>
      <x:c r="L51" s="56" t="n">
        <x:f>ROUND((('Net Interest Income'!L8*4/Balance!L8)-Rate!L8)*10000,2)</x:f>
        <x:v>-0.41</x:v>
      </x:c>
      <x:c r="M51" s="56" t="n">
        <x:f>ROUND((('Net Interest Income'!M8*4/Balance!M8)-Rate!M8)*10000,2)</x:f>
        <x:v>0.13</x:v>
      </x:c>
      <x:c r="N51" s="56" t="n">
        <x:f>ROUND((('Net Interest Income'!N8*4/Balance!N8)-Rate!N8)*10000,2)</x:f>
        <x:v>-0.4</x:v>
      </x:c>
      <x:c r="O51" s="56" t="n">
        <x:f>ROUND((('Net Interest Income'!O8*4/Balance!O8)-Rate!O8)*10000,2)</x:f>
        <x:v>-0.57</x:v>
      </x:c>
    </x:row>
    <x:row r="52">
      <x:c r="A52" s="20" t="str">
        <x:v>  Total loans (incl. HFS)</x:v>
      </x:c>
      <x:c r="B52" s="56" t="n">
        <x:f>ROUND((('Net Interest Income'!B9*4/Balance!B9)-Rate!B9)*10000,2)</x:f>
        <x:v>0.43</x:v>
      </x:c>
      <x:c r="C52" s="56" t="n">
        <x:f>ROUND((('Net Interest Income'!C9*4/Balance!C9)-Rate!C9)*10000,2)</x:f>
        <x:v>0.38</x:v>
      </x:c>
      <x:c r="D52" s="56" t="n">
        <x:f>ROUND((('Net Interest Income'!D9*4/Balance!D9)-Rate!D9)*10000,2)</x:f>
        <x:v>0.28</x:v>
      </x:c>
      <x:c r="E52" s="56" t="n">
        <x:f>ROUND((('Net Interest Income'!E9*4/Balance!E9)-Rate!E9)*10000,2)</x:f>
        <x:v>-0.39</x:v>
      </x:c>
      <x:c r="F52" s="56" t="n">
        <x:f>ROUND((('Net Interest Income'!F9*4/Balance!F9)-Rate!F9)*10000,2)</x:f>
        <x:v>0.44</x:v>
      </x:c>
      <x:c r="G52" s="56" t="n">
        <x:f>ROUND((('Net Interest Income'!G9*4/Balance!G9)-Rate!G9)*10000,2)</x:f>
        <x:v>-0.35</x:v>
      </x:c>
      <x:c r="H52" s="56" t="n">
        <x:f>ROUND((('Net Interest Income'!H9*4/Balance!H9)-Rate!H9)*10000,2)</x:f>
        <x:v>-0.31</x:v>
      </x:c>
      <x:c r="I52" s="56" t="n">
        <x:f>ROUND((('Net Interest Income'!I9*4/Balance!I9)-Rate!I9)*10000,2)</x:f>
        <x:v>0.09</x:v>
      </x:c>
      <x:c r="J52" s="56" t="n">
        <x:f>ROUND((('Net Interest Income'!J9*4/Balance!J9)-Rate!J9)*10000,2)</x:f>
        <x:v>-0.28</x:v>
      </x:c>
      <x:c r="K52" s="56" t="n">
        <x:f>ROUND((('Net Interest Income'!K9*4/Balance!K9)-Rate!K9)*10000,2)</x:f>
        <x:v>0.49</x:v>
      </x:c>
      <x:c r="L52" s="56" t="n">
        <x:f>ROUND((('Net Interest Income'!L9*4/Balance!L9)-Rate!L9)*10000,2)</x:f>
        <x:v>0.28</x:v>
      </x:c>
      <x:c r="M52" s="56" t="n">
        <x:f>ROUND((('Net Interest Income'!M9*4/Balance!M9)-Rate!M9)*10000,2)</x:f>
        <x:v>0.28</x:v>
      </x:c>
      <x:c r="N52" s="56" t="n">
        <x:f>ROUND((('Net Interest Income'!N9*4/Balance!N9)-Rate!N9)*10000,2)</x:f>
        <x:v>0.34</x:v>
      </x:c>
      <x:c r="O52" s="56" t="n">
        <x:f>ROUND((('Net Interest Income'!O9*4/Balance!O9)-Rate!O9)*10000,2)</x:f>
        <x:v>-0.11</x:v>
      </x:c>
    </x:row>
    <x:row r="53">
      <x:c r="A53" s="20" t="str">
        <x:v>  Investment securities</x:v>
      </x:c>
      <x:c r="B53" s="56" t="n">
        <x:f>ROUND((('Net Interest Income'!B10*4/Balance!B10)-Rate!B10)*10000,2)</x:f>
        <x:v>0.45</x:v>
      </x:c>
      <x:c r="C53" s="56" t="n">
        <x:f>ROUND((('Net Interest Income'!C10*4/Balance!C10)-Rate!C10)*10000,2)</x:f>
        <x:v>0.02</x:v>
      </x:c>
      <x:c r="D53" s="56" t="n">
        <x:f>ROUND((('Net Interest Income'!D10*4/Balance!D10)-Rate!D10)*10000,2)</x:f>
        <x:v>-0.5</x:v>
      </x:c>
      <x:c r="E53" s="56" t="n">
        <x:f>ROUND((('Net Interest Income'!E10*4/Balance!E10)-Rate!E10)*10000,2)</x:f>
        <x:v>-0.11</x:v>
      </x:c>
      <x:c r="F53" s="56" t="n">
        <x:f>ROUND((('Net Interest Income'!F10*4/Balance!F10)-Rate!F10)*10000,2)</x:f>
        <x:v>0.22</x:v>
      </x:c>
      <x:c r="G53" s="56" t="n">
        <x:f>ROUND((('Net Interest Income'!G10*4/Balance!G10)-Rate!G10)*10000,2)</x:f>
        <x:v>-0.15</x:v>
      </x:c>
      <x:c r="H53" s="56" t="n">
        <x:f>ROUND((('Net Interest Income'!H10*4/Balance!H10)-Rate!H10)*10000,2)</x:f>
        <x:v>-0.54</x:v>
      </x:c>
      <x:c r="I53" s="56" t="n">
        <x:f>ROUND((('Net Interest Income'!I10*4/Balance!I10)-Rate!I10)*10000,2)</x:f>
        <x:v>0.47</x:v>
      </x:c>
      <x:c r="J53" s="56" t="n">
        <x:f>ROUND((('Net Interest Income'!J10*4/Balance!J10)-Rate!J10)*10000,2)</x:f>
        <x:v>0.4</x:v>
      </x:c>
      <x:c r="K53" s="56" t="n">
        <x:f>ROUND((('Net Interest Income'!K10*4/Balance!K10)-Rate!K10)*10000,2)</x:f>
        <x:v>0.12</x:v>
      </x:c>
      <x:c r="L53" s="56" t="n">
        <x:f>ROUND((('Net Interest Income'!L10*4/Balance!L10)-Rate!L10)*10000,2)</x:f>
        <x:v>0.25</x:v>
      </x:c>
      <x:c r="M53" s="56" t="n">
        <x:f>ROUND((('Net Interest Income'!M10*4/Balance!M10)-Rate!M10)*10000,2)</x:f>
        <x:v>-0.37</x:v>
      </x:c>
      <x:c r="N53" s="56" t="n">
        <x:f>ROUND((('Net Interest Income'!N10*4/Balance!N10)-Rate!N10)*10000,2)</x:f>
        <x:v>0.28</x:v>
      </x:c>
      <x:c r="O53" s="56" t="n">
        <x:f>ROUND((('Net Interest Income'!O10*4/Balance!O10)-Rate!O10)*10000,2)</x:f>
        <x:v>0.26</x:v>
      </x:c>
    </x:row>
    <x:row r="54">
      <x:c r="A54" s="20" t="str">
        <x:v>  Cash equivalents and other</x:v>
      </x:c>
      <x:c r="B54" s="56" t="n">
        <x:f>ROUND((('Net Interest Income'!B11*4/Balance!B11)-Rate!B11)*10000,2)</x:f>
        <x:v>-0.77</x:v>
      </x:c>
      <x:c r="C54" s="56" t="n">
        <x:f>ROUND((('Net Interest Income'!C11*4/Balance!C11)-Rate!C11)*10000,2)</x:f>
        <x:v>0.41</x:v>
      </x:c>
      <x:c r="D54" s="56" t="n">
        <x:f>ROUND((('Net Interest Income'!D11*4/Balance!D11)-Rate!D11)*10000,2)</x:f>
        <x:v>0.01</x:v>
      </x:c>
      <x:c r="E54" s="56" t="n">
        <x:f>ROUND((('Net Interest Income'!E11*4/Balance!E11)-Rate!E11)*10000,2)</x:f>
        <x:v>-0.16</x:v>
      </x:c>
      <x:c r="F54" s="56" t="n">
        <x:f>ROUND((('Net Interest Income'!F11*4/Balance!F11)-Rate!F11)*10000,2)</x:f>
        <x:v>1.23</x:v>
      </x:c>
      <x:c r="G54" s="56" t="n">
        <x:f>ROUND((('Net Interest Income'!G11*4/Balance!G11)-Rate!G11)*10000,2)</x:f>
        <x:v>-0.91</x:v>
      </x:c>
      <x:c r="H54" s="56" t="n">
        <x:f>ROUND((('Net Interest Income'!H11*4/Balance!H11)-Rate!H11)*10000,2)</x:f>
        <x:v>0.13</x:v>
      </x:c>
      <x:c r="I54" s="56" t="n">
        <x:f>ROUND((('Net Interest Income'!I11*4/Balance!I11)-Rate!I11)*10000,2)</x:f>
        <x:v>0.2</x:v>
      </x:c>
      <x:c r="J54" s="56" t="n">
        <x:f>ROUND((('Net Interest Income'!J11*4/Balance!J11)-Rate!J11)*10000,2)</x:f>
        <x:v>0.87</x:v>
      </x:c>
      <x:c r="K54" s="56" t="n">
        <x:f>ROUND((('Net Interest Income'!K11*4/Balance!K11)-Rate!K11)*10000,2)</x:f>
        <x:v>-0.04</x:v>
      </x:c>
      <x:c r="L54" s="56" t="n">
        <x:f>ROUND((('Net Interest Income'!L11*4/Balance!L11)-Rate!L11)*10000,2)</x:f>
        <x:v>-0.3</x:v>
      </x:c>
      <x:c r="M54" s="56" t="n">
        <x:f>ROUND((('Net Interest Income'!M11*4/Balance!M11)-Rate!M11)*10000,2)</x:f>
        <x:v>-0.11</x:v>
      </x:c>
      <x:c r="N54" s="56" t="n">
        <x:f>ROUND((('Net Interest Income'!N11*4/Balance!N11)-Rate!N11)*10000,2)</x:f>
        <x:v>-0.31</x:v>
      </x:c>
      <x:c r="O54" s="56" t="n">
        <x:f>ROUND((('Net Interest Income'!O11*4/Balance!O11)-Rate!O11)*10000,2)</x:f>
        <x:v>0.43</x:v>
      </x:c>
    </x:row>
    <x:row r="55">
      <x:c r="A55" s="20" t="str">
        <x:v>  Total interest-earning assets</x:v>
      </x:c>
      <x:c r="B55" s="56" t="n">
        <x:f>ROUND((('Net Interest Income'!B12*4/Balance!B12)-Rate!B12)*10000,2)</x:f>
        <x:v>0.51</x:v>
      </x:c>
      <x:c r="C55" s="56" t="n">
        <x:f>ROUND((('Net Interest Income'!C12*4/Balance!C12)-Rate!C12)*10000,2)</x:f>
        <x:v>-0.01</x:v>
      </x:c>
      <x:c r="D55" s="56" t="n">
        <x:f>ROUND((('Net Interest Income'!D12*4/Balance!D12)-Rate!D12)*10000,2)</x:f>
        <x:v>-0.42</x:v>
      </x:c>
      <x:c r="E55" s="56" t="n">
        <x:f>ROUND((('Net Interest Income'!E12*4/Balance!E12)-Rate!E12)*10000,2)</x:f>
        <x:v>0.34</x:v>
      </x:c>
      <x:c r="F55" s="56" t="n">
        <x:f>ROUND((('Net Interest Income'!F12*4/Balance!F12)-Rate!F12)*10000,2)</x:f>
        <x:v>0.39</x:v>
      </x:c>
      <x:c r="G55" s="56" t="n">
        <x:f>ROUND((('Net Interest Income'!G12*4/Balance!G12)-Rate!G12)*10000,2)</x:f>
        <x:v>-0.35</x:v>
      </x:c>
      <x:c r="H55" s="56" t="n">
        <x:f>ROUND((('Net Interest Income'!H12*4/Balance!H12)-Rate!H12)*10000,2)</x:f>
        <x:v>-0.18</x:v>
      </x:c>
      <x:c r="I55" s="56" t="n">
        <x:f>ROUND((('Net Interest Income'!I12*4/Balance!I12)-Rate!I12)*10000,2)</x:f>
        <x:v>0.34</x:v>
      </x:c>
      <x:c r="J55" s="56" t="n">
        <x:f>ROUND((('Net Interest Income'!J12*4/Balance!J12)-Rate!J12)*10000,2)</x:f>
        <x:v>-0.08</x:v>
      </x:c>
      <x:c r="K55" s="56" t="n">
        <x:f>ROUND((('Net Interest Income'!K12*4/Balance!K12)-Rate!K12)*10000,2)</x:f>
        <x:v>-0.3</x:v>
      </x:c>
      <x:c r="L55" s="56" t="n">
        <x:f>ROUND((('Net Interest Income'!L12*4/Balance!L12)-Rate!L12)*10000,2)</x:f>
        <x:v>0.25</x:v>
      </x:c>
      <x:c r="M55" s="56" t="n">
        <x:f>ROUND((('Net Interest Income'!M12*4/Balance!M12)-Rate!M12)*10000,2)</x:f>
        <x:v>0.45</x:v>
      </x:c>
      <x:c r="N55" s="56" t="n">
        <x:f>ROUND((('Net Interest Income'!N12*4/Balance!N12)-Rate!N12)*10000,2)</x:f>
        <x:v>-0.04</x:v>
      </x:c>
      <x:c r="O55" s="56" t="n">
        <x:f>ROUND((('Net Interest Income'!O12*4/Balance!O12)-Rate!O12)*10000,2)</x:f>
        <x:v>0.23</x:v>
      </x:c>
    </x:row>
    <x:row r="56">
      <x:c r="A56" s="20" t="str">
        <x:v>  Interest-bearing deposits</x:v>
      </x:c>
      <x:c r="B56" s="56" t="n">
        <x:f>ROUND((('Net Interest Income'!B15*4/Balance!B15)-Rate!B15)*10000,2)</x:f>
        <x:v>0.42</x:v>
      </x:c>
      <x:c r="C56" s="56" t="n">
        <x:f>ROUND((('Net Interest Income'!C15*4/Balance!C15)-Rate!C15)*10000,2)</x:f>
        <x:v>-0.2</x:v>
      </x:c>
      <x:c r="D56" s="56" t="n">
        <x:f>ROUND((('Net Interest Income'!D15*4/Balance!D15)-Rate!D15)*10000,2)</x:f>
        <x:v>0.47</x:v>
      </x:c>
      <x:c r="E56" s="56" t="n">
        <x:f>ROUND((('Net Interest Income'!E15*4/Balance!E15)-Rate!E15)*10000,2)</x:f>
        <x:v>-0.46</x:v>
      </x:c>
      <x:c r="F56" s="56" t="n">
        <x:f>ROUND((('Net Interest Income'!F15*4/Balance!F15)-Rate!F15)*10000,2)</x:f>
        <x:v>0.21</x:v>
      </x:c>
      <x:c r="G56" s="56" t="n">
        <x:f>ROUND((('Net Interest Income'!G15*4/Balance!G15)-Rate!G15)*10000,2)</x:f>
        <x:v>0.38</x:v>
      </x:c>
      <x:c r="H56" s="56" t="n">
        <x:f>ROUND((('Net Interest Income'!H15*4/Balance!H15)-Rate!H15)*10000,2)</x:f>
        <x:v>0.01</x:v>
      </x:c>
      <x:c r="I56" s="56" t="n">
        <x:f>ROUND((('Net Interest Income'!I15*4/Balance!I15)-Rate!I15)*10000,2)</x:f>
        <x:v>0.21</x:v>
      </x:c>
      <x:c r="J56" s="56" t="n">
        <x:f>ROUND((('Net Interest Income'!J15*4/Balance!J15)-Rate!J15)*10000,2)</x:f>
        <x:v>-0.55</x:v>
      </x:c>
      <x:c r="K56" s="56" t="n">
        <x:f>ROUND((('Net Interest Income'!K15*4/Balance!K15)-Rate!K15)*10000,2)</x:f>
        <x:v>0.36</x:v>
      </x:c>
      <x:c r="L56" s="56" t="n">
        <x:f>ROUND((('Net Interest Income'!L15*4/Balance!L15)-Rate!L15)*10000,2)</x:f>
        <x:v>0.35</x:v>
      </x:c>
      <x:c r="M56" s="56" t="n">
        <x:f>ROUND((('Net Interest Income'!M15*4/Balance!M15)-Rate!M15)*10000,2)</x:f>
        <x:v>0.24</x:v>
      </x:c>
      <x:c r="N56" s="56" t="n">
        <x:f>ROUND((('Net Interest Income'!N15*4/Balance!N15)-Rate!N15)*10000,2)</x:f>
        <x:v>-0.24</x:v>
      </x:c>
      <x:c r="O56" s="56" t="n">
        <x:f>ROUND((('Net Interest Income'!O15*4/Balance!O15)-Rate!O15)*10000,2)</x:f>
        <x:v>0.45</x:v>
      </x:c>
    </x:row>
    <x:row r="57">
      <x:c r="A57" s="20" t="str">
        <x:v>  Securitized debt obligations</x:v>
      </x:c>
      <x:c r="B57" s="56" t="n">
        <x:f>ROUND((('Net Interest Income'!B16*4/Balance!B16)-Rate!B16)*10000,2)</x:f>
        <x:v>-0.75</x:v>
      </x:c>
      <x:c r="C57" s="56" t="n">
        <x:f>ROUND((('Net Interest Income'!C16*4/Balance!C16)-Rate!C16)*10000,2)</x:f>
        <x:v>0.2</x:v>
      </x:c>
      <x:c r="D57" s="56" t="n">
        <x:f>ROUND((('Net Interest Income'!D16*4/Balance!D16)-Rate!D16)*10000,2)</x:f>
        <x:v>1.34</x:v>
      </x:c>
      <x:c r="E57" s="56" t="n">
        <x:f>ROUND((('Net Interest Income'!E16*4/Balance!E16)-Rate!E16)*10000,2)</x:f>
        <x:v>-0.4</x:v>
      </x:c>
      <x:c r="F57" s="56" t="n">
        <x:f>ROUND((('Net Interest Income'!F16*4/Balance!F16)-Rate!F16)*10000,2)</x:f>
        <x:v>0.33</x:v>
      </x:c>
      <x:c r="G57" s="56" t="n">
        <x:f>ROUND((('Net Interest Income'!G16*4/Balance!G16)-Rate!G16)*10000,2)</x:f>
        <x:v>0.34</x:v>
      </x:c>
      <x:c r="H57" s="56" t="n">
        <x:f>ROUND((('Net Interest Income'!H16*4/Balance!H16)-Rate!H16)*10000,2)</x:f>
        <x:v>-1.83</x:v>
      </x:c>
      <x:c r="I57" s="56" t="n">
        <x:f>ROUND((('Net Interest Income'!I16*4/Balance!I16)-Rate!I16)*10000,2)</x:f>
        <x:v>-0.4</x:v>
      </x:c>
      <x:c r="J57" s="56" t="n">
        <x:f>ROUND((('Net Interest Income'!J16*4/Balance!J16)-Rate!J16)*10000,2)</x:f>
        <x:v>1.71</x:v>
      </x:c>
      <x:c r="K57" s="56" t="n">
        <x:f>ROUND((('Net Interest Income'!K16*4/Balance!K16)-Rate!K16)*10000,2)</x:f>
        <x:v>-3.05</x:v>
      </x:c>
      <x:c r="L57" s="56" t="n">
        <x:f>ROUND((('Net Interest Income'!L16*4/Balance!L16)-Rate!L16)*10000,2)</x:f>
        <x:v>-0.12</x:v>
      </x:c>
      <x:c r="M57" s="56" t="n">
        <x:f>ROUND((('Net Interest Income'!M16*4/Balance!M16)-Rate!M16)*10000,2)</x:f>
        <x:v>0.42</x:v>
      </x:c>
      <x:c r="N57" s="56" t="n">
        <x:f>ROUND((('Net Interest Income'!N16*4/Balance!N16)-Rate!N16)*10000,2)</x:f>
        <x:v>0.07</x:v>
      </x:c>
      <x:c r="O57" s="56" t="n">
        <x:f>ROUND((('Net Interest Income'!O16*4/Balance!O16)-Rate!O16)*10000,2)</x:f>
        <x:v>0.27</x:v>
      </x:c>
    </x:row>
    <x:row r="58">
      <x:c r="A58" s="20" t="str">
        <x:v>  Senior and subordinated notes</x:v>
      </x:c>
      <x:c r="B58" s="56" t="n">
        <x:f>ROUND((('Net Interest Income'!B17*4/Balance!B17)-Rate!B17)*10000,2)</x:f>
        <x:v>0.06</x:v>
      </x:c>
      <x:c r="C58" s="56" t="n">
        <x:f>ROUND((('Net Interest Income'!C17*4/Balance!C17)-Rate!C17)*10000,2)</x:f>
        <x:v>0.24</x:v>
      </x:c>
      <x:c r="D58" s="56" t="n">
        <x:f>ROUND((('Net Interest Income'!D17*4/Balance!D17)-Rate!D17)*10000,2)</x:f>
        <x:v>-1.28</x:v>
      </x:c>
      <x:c r="E58" s="56" t="n">
        <x:f>ROUND((('Net Interest Income'!E17*4/Balance!E17)-Rate!E17)*10000,2)</x:f>
        <x:v>-0.06</x:v>
      </x:c>
      <x:c r="F58" s="56" t="n">
        <x:f>ROUND((('Net Interest Income'!F17*4/Balance!F17)-Rate!F17)*10000,2)</x:f>
        <x:v>0.54</x:v>
      </x:c>
      <x:c r="G58" s="56" t="n">
        <x:f>ROUND((('Net Interest Income'!G17*4/Balance!G17)-Rate!G17)*10000,2)</x:f>
        <x:v>-0.88</x:v>
      </x:c>
      <x:c r="H58" s="56" t="n">
        <x:f>ROUND((('Net Interest Income'!H17*4/Balance!H17)-Rate!H17)*10000,2)</x:f>
        <x:v>1.05</x:v>
      </x:c>
      <x:c r="I58" s="56" t="n">
        <x:f>ROUND((('Net Interest Income'!I17*4/Balance!I17)-Rate!I17)*10000,2)</x:f>
        <x:v>0.39</x:v>
      </x:c>
      <x:c r="J58" s="56" t="n">
        <x:f>ROUND((('Net Interest Income'!J17*4/Balance!J17)-Rate!J17)*10000,2)</x:f>
        <x:v>-0.01</x:v>
      </x:c>
      <x:c r="K58" s="56" t="n">
        <x:f>ROUND((('Net Interest Income'!K17*4/Balance!K17)-Rate!K17)*10000,2)</x:f>
        <x:v>0.01</x:v>
      </x:c>
      <x:c r="L58" s="56" t="n">
        <x:f>ROUND((('Net Interest Income'!L17*4/Balance!L17)-Rate!L17)*10000,2)</x:f>
        <x:v>0.82</x:v>
      </x:c>
      <x:c r="M58" s="56" t="n">
        <x:f>ROUND((('Net Interest Income'!M17*4/Balance!M17)-Rate!M17)*10000,2)</x:f>
        <x:v>0.28</x:v>
      </x:c>
      <x:c r="N58" s="56" t="n">
        <x:f>ROUND((('Net Interest Income'!N17*4/Balance!N17)-Rate!N17)*10000,2)</x:f>
        <x:v>-0.72</x:v>
      </x:c>
      <x:c r="O58" s="56" t="n">
        <x:f>ROUND((('Net Interest Income'!O17*4/Balance!O17)-Rate!O17)*10000,2)</x:f>
        <x:v>0.7</x:v>
      </x:c>
    </x:row>
    <x:row r="59">
      <x:c r="A59" s="20" t="str">
        <x:v>  Other borrowings</x:v>
      </x:c>
      <x:c r="B59" s="56" t="n">
        <x:f>ROUND((('Net Interest Income'!B18*4/Balance!B18)-Rate!B18)*10000,2)</x:f>
        <x:v>-2.43</x:v>
      </x:c>
      <x:c r="C59" s="56" t="n">
        <x:f>ROUND((('Net Interest Income'!C18*4/Balance!C18)-Rate!C18)*10000,2)</x:f>
        <x:v>3.43</x:v>
      </x:c>
      <x:c r="D59" s="56" t="n">
        <x:f>ROUND((('Net Interest Income'!D18*4/Balance!D18)-Rate!D18)*10000,2)</x:f>
        <x:v>-1.08</x:v>
      </x:c>
      <x:c r="E59" s="56" t="n">
        <x:f>ROUND((('Net Interest Income'!E18*4/Balance!E18)-Rate!E18)*10000,2)</x:f>
        <x:v>-0.5</x:v>
      </x:c>
      <x:c r="F59" s="56" t="n">
        <x:f>ROUND((('Net Interest Income'!F18*4/Balance!F18)-Rate!F18)*10000,2)</x:f>
        <x:v>-9.44</x:v>
      </x:c>
      <x:c r="G59" s="56" t="n">
        <x:f>ROUND((('Net Interest Income'!G18*4/Balance!G18)-Rate!G18)*10000,2)</x:f>
        <x:v>2.86</x:v>
      </x:c>
      <x:c r="H59" s="56" t="n">
        <x:f>ROUND((('Net Interest Income'!H18*4/Balance!H18)-Rate!H18)*10000,2)</x:f>
        <x:v>0.69</x:v>
      </x:c>
      <x:c r="I59" s="56" t="n">
        <x:f>ROUND((('Net Interest Income'!I18*4/Balance!I18)-Rate!I18)*10000,2)</x:f>
        <x:v>-0.47</x:v>
      </x:c>
      <x:c r="J59" s="56" t="n">
        <x:f>ROUND((('Net Interest Income'!J18*4/Balance!J18)-Rate!J18)*10000,2)</x:f>
        <x:v>-1.29</x:v>
      </x:c>
      <x:c r="K59" s="56" t="n">
        <x:f>ROUND((('Net Interest Income'!K18*4/Balance!K18)-Rate!K18)*10000,2)</x:f>
        <x:v>9.99</x:v>
      </x:c>
      <x:c r="L59" s="56" t="n">
        <x:f>ROUND((('Net Interest Income'!L18*4/Balance!L18)-Rate!L18)*10000,2)</x:f>
        <x:v>-11.69</x:v>
      </x:c>
      <x:c r="M59" s="56" t="n">
        <x:f>ROUND((('Net Interest Income'!M18*4/Balance!M18)-Rate!M18)*10000,2)</x:f>
        <x:v>0.27</x:v>
      </x:c>
      <x:c r="N59" s="56" t="n">
        <x:f>ROUND((('Net Interest Income'!N18*4/Balance!N18)-Rate!N18)*10000,2)</x:f>
        <x:v>1.4</x:v>
      </x:c>
      <x:c r="O59" s="56" t="n">
        <x:f>ROUND((('Net Interest Income'!O18*4/Balance!O18)-Rate!O18)*10000,2)</x:f>
        <x:v>-11.14</x:v>
      </x:c>
    </x:row>
    <x:row r="60">
      <x:c r="A60" s="20" t="str">
        <x:v>  Total interest-bearing liabilities</x:v>
      </x:c>
      <x:c r="B60" s="56" t="n">
        <x:f>ROUND((('Net Interest Income'!B19*4/Balance!B19)-Rate!B19)*10000,2)</x:f>
        <x:v>-0.48</x:v>
      </x:c>
      <x:c r="C60" s="56" t="n">
        <x:f>ROUND((('Net Interest Income'!C19*4/Balance!C19)-Rate!C19)*10000,2)</x:f>
        <x:v>-0.1</x:v>
      </x:c>
      <x:c r="D60" s="56" t="n">
        <x:f>ROUND((('Net Interest Income'!D19*4/Balance!D19)-Rate!D19)*10000,2)</x:f>
        <x:v>0.33</x:v>
      </x:c>
      <x:c r="E60" s="56" t="n">
        <x:f>ROUND((('Net Interest Income'!E19*4/Balance!E19)-Rate!E19)*10000,2)</x:f>
        <x:v>0.19</x:v>
      </x:c>
      <x:c r="F60" s="56" t="n">
        <x:f>ROUND((('Net Interest Income'!F19*4/Balance!F19)-Rate!F19)*10000,2)</x:f>
        <x:v>-0.12</x:v>
      </x:c>
      <x:c r="G60" s="56" t="n">
        <x:f>ROUND((('Net Interest Income'!G19*4/Balance!G19)-Rate!G19)*10000,2)</x:f>
        <x:v>-0.12</x:v>
      </x:c>
      <x:c r="H60" s="56" t="n">
        <x:f>ROUND((('Net Interest Income'!H19*4/Balance!H19)-Rate!H19)*10000,2)</x:f>
        <x:v>-0.13</x:v>
      </x:c>
      <x:c r="I60" s="56" t="n">
        <x:f>ROUND((('Net Interest Income'!I19*4/Balance!I19)-Rate!I19)*10000,2)</x:f>
        <x:v>0.09</x:v>
      </x:c>
      <x:c r="J60" s="56" t="n">
        <x:f>ROUND((('Net Interest Income'!J19*4/Balance!J19)-Rate!J19)*10000,2)</x:f>
        <x:v>0.49</x:v>
      </x:c>
      <x:c r="K60" s="56" t="n">
        <x:f>ROUND((('Net Interest Income'!K19*4/Balance!K19)-Rate!K19)*10000,2)</x:f>
        <x:v>-0.29</x:v>
      </x:c>
      <x:c r="L60" s="56" t="n">
        <x:f>ROUND((('Net Interest Income'!L19*4/Balance!L19)-Rate!L19)*10000,2)</x:f>
        <x:v>-0.49</x:v>
      </x:c>
      <x:c r="M60" s="56" t="n">
        <x:f>ROUND((('Net Interest Income'!M19*4/Balance!M19)-Rate!M19)*10000,2)</x:f>
        <x:v>0.29</x:v>
      </x:c>
      <x:c r="N60" s="56" t="n">
        <x:f>ROUND((('Net Interest Income'!N19*4/Balance!N19)-Rate!N19)*10000,2)</x:f>
        <x:v>-0.33</x:v>
      </x:c>
      <x:c r="O60" s="56" t="n">
        <x:f>ROUND((('Net Interest Income'!O19*4/Balance!O19)-Rate!O19)*10000,2)</x:f>
        <x:v>-0.2</x:v>
      </x:c>
    </x:row>
    <x:row r="61">
      <x:c r="A61" s="20"/>
      <x:c r="B61" s="20"/>
      <x:c r="C61" s="20"/>
      <x:c r="D61" s="20"/>
      <x:c r="E61" s="20"/>
      <x:c r="F61" s="20"/>
      <x:c r="G61" s="20"/>
      <x:c r="H61" s="20"/>
      <x:c r="I61" s="20"/>
      <x:c r="J61" s="20"/>
      <x:c r="K61" s="20"/>
      <x:c r="L61" s="20"/>
      <x:c r="M61" s="20"/>
      <x:c r="N61" s="20"/>
      <x:c r="O61" s="20"/>
    </x:row>
    <x:row r="62">
      <x:c r="A62" s="20"/>
      <x:c r="B62" s="20"/>
      <x:c r="C62" s="20"/>
      <x:c r="D62" s="20"/>
      <x:c r="E62" s="20"/>
      <x:c r="F62" s="20"/>
      <x:c r="G62" s="20"/>
      <x:c r="H62" s="20"/>
      <x:c r="I62" s="20"/>
      <x:c r="J62" s="20"/>
      <x:c r="K62" s="20"/>
      <x:c r="L62" s="20"/>
      <x:c r="M62" s="20"/>
      <x:c r="N62" s="20"/>
      <x:c r="O62" s="20"/>
    </x:row>
    <x:row r="63">
      <x:c r="A63" s="20"/>
      <x:c r="B63" s="20"/>
      <x:c r="C63" s="20"/>
      <x:c r="D63" s="20"/>
      <x:c r="E63" s="20"/>
      <x:c r="F63" s="20"/>
      <x:c r="G63" s="20"/>
      <x:c r="H63" s="20"/>
      <x:c r="I63" s="20"/>
      <x:c r="J63" s="20"/>
      <x:c r="K63" s="20"/>
      <x:c r="L63" s="20"/>
      <x:c r="M63" s="20"/>
      <x:c r="N63" s="20"/>
      <x:c r="O63" s="20"/>
    </x:row>
    <x:row r="64">
      <x:c r="A64" s="20"/>
      <x:c r="B64" s="20"/>
      <x:c r="C64" s="20"/>
      <x:c r="D64" s="20"/>
      <x:c r="E64" s="20"/>
      <x:c r="F64" s="20"/>
      <x:c r="G64" s="20"/>
      <x:c r="H64" s="20"/>
      <x:c r="I64" s="20"/>
      <x:c r="J64" s="20"/>
      <x:c r="K64" s="20"/>
      <x:c r="L64" s="20"/>
      <x:c r="M64" s="20"/>
      <x:c r="N64" s="20"/>
      <x:c r="O64" s="20"/>
    </x:row>
    <x:row r="65">
      <x:c r="A65" s="20"/>
      <x:c r="B65" s="20"/>
      <x:c r="C65" s="20"/>
      <x:c r="D65" s="20"/>
      <x:c r="E65" s="20"/>
      <x:c r="F65" s="20"/>
      <x:c r="G65" s="20"/>
      <x:c r="H65" s="20"/>
      <x:c r="I65" s="20"/>
      <x:c r="J65" s="20"/>
      <x:c r="K65" s="20"/>
      <x:c r="L65" s="20"/>
      <x:c r="M65" s="20"/>
      <x:c r="N65" s="20"/>
      <x:c r="O65" s="20"/>
    </x:row>
  </x:sheetData>
  <x:pageMargins left="0.7" right="0.7" top="0.75" bottom="0.75" header="0.3" footer="0.3"/>
</x:worksheet>
</file>