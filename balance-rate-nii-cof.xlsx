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" sheetId="1" state="visible" r:id="rId3"/>
    <sheet name="Rate" sheetId="2" state="visible" r:id="rId4"/>
    <sheet name="Net Interest Income" sheetId="3" state="visible" r:id="rId5"/>
    <sheet name="Notes &amp;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<sst xmlns="http://schemas.openxmlformats.org/spreadsheetml/2006/main" count="118" uniqueCount="60">
  <si>
    <t xml:space="preserve">Capital One — Average Balance by line item ($mm)</t>
  </si>
  <si>
    <t xml:space="preserve">AVERAGE balance over the quarter, not period-end — will not tie to the balance sheet. Column header is the quarter-end date. (D) = Q4 derived as (FY avg x12 − 9M avg x9)/3. Source: COF 10-Q/10-K average balance table.</t>
  </si>
  <si>
    <t xml:space="preserve">Line item (as disclosed)</t>
  </si>
  <si>
    <t xml:space="preserve">2023-03-31</t>
  </si>
  <si>
    <t xml:space="preserve">2023-06-30</t>
  </si>
  <si>
    <t xml:space="preserve">2023-09-30</t>
  </si>
  <si>
    <t xml:space="preserve">2023-12-31 (D)</t>
  </si>
  <si>
    <t xml:space="preserve">2024-03-31</t>
  </si>
  <si>
    <t xml:space="preserve">2024-06-30</t>
  </si>
  <si>
    <t xml:space="preserve">2024-09-30</t>
  </si>
  <si>
    <t xml:space="preserve">2024-12-31 (D)</t>
  </si>
  <si>
    <t xml:space="preserve">2025-03-31</t>
  </si>
  <si>
    <t xml:space="preserve">2025-06-30</t>
  </si>
  <si>
    <t xml:space="preserve">2025-09-30</t>
  </si>
  <si>
    <t xml:space="preserve">2025-12-31 (D)</t>
  </si>
  <si>
    <t xml:space="preserve">2026-03-31</t>
  </si>
  <si>
    <t xml:space="preserve">2026-06-30</t>
  </si>
  <si>
    <t xml:space="preserve">INTEREST-EARNING ASSETS</t>
  </si>
  <si>
    <t xml:space="preserve">  Credit card</t>
  </si>
  <si>
    <t xml:space="preserve">  Consumer banking</t>
  </si>
  <si>
    <t xml:space="preserve">  Commercial banking</t>
  </si>
  <si>
    <t xml:space="preserve">  Total loans (incl. HFS)</t>
  </si>
  <si>
    <t xml:space="preserve">  Investment securities</t>
  </si>
  <si>
    <t xml:space="preserve">  Cash equivalents and other</t>
  </si>
  <si>
    <t xml:space="preserve">  Total interest-earning assets</t>
  </si>
  <si>
    <t xml:space="preserve">INTEREST-BEARING LIABILITIES</t>
  </si>
  <si>
    <t xml:space="preserve">  Interest-bearing deposits</t>
  </si>
  <si>
    <t xml:space="preserve">  Securitized debt obligations</t>
  </si>
  <si>
    <t xml:space="preserve">  Senior and subordinated notes</t>
  </si>
  <si>
    <t xml:space="preserve">  Other borrowings</t>
  </si>
  <si>
    <t xml:space="preserve">  Total interest-bearing liabilities</t>
  </si>
  <si>
    <t xml:space="preserve">Net earning assets (assets − liabilities)</t>
  </si>
  <si>
    <t xml:space="preserve">Capital One — Average Yield / Rate by line item (annualised)</t>
  </si>
  <si>
    <t xml:space="preserve">Annualised yield on assets and cost of funds on liabilities, as disclosed. (D) = Q4 recomputed as derived interest / derived balance x4; rates cannot be derived by subtraction. Stored as fractions.</t>
  </si>
  <si>
    <t xml:space="preserve">Net interest spread (asset yield − funding cost)</t>
  </si>
  <si>
    <t xml:space="preserve">Net interest margin (NII / avg earning assets)</t>
  </si>
  <si>
    <t xml:space="preserve">Capital One — Interest Income / Expense by line item ($mm, quarterly)</t>
  </si>
  <si>
    <t xml:space="preserve">Interest income on assets, interest expense on liabilities, as disclosed (expense shown positive). NII = total interest income − total interest expense. (D) = Q4 derived as FY − 9M; interest is additive so this is exact.</t>
  </si>
  <si>
    <t xml:space="preserve">NET INTEREST INCOME</t>
  </si>
  <si>
    <t xml:space="preserve">CHECK: NII vs income statement (flows.csv)</t>
  </si>
  <si>
    <t xml:space="preserve">  Income statement NII (XBRL)</t>
  </si>
  <si>
    <t xml:space="preserve">  Difference</t>
  </si>
  <si>
    <t xml:space="preserve">Blue = as disclosed. Green = from the XBRL income statement (independent source). Black = formula. Difference should be zero: the MD&amp;A average-balance table and the income statement must agree on NII.</t>
  </si>
  <si>
    <t xml:space="preserve">Balance / Rate / Net Interest Income — Capital One</t>
  </si>
  <si>
    <t xml:space="preserve">ON "GL ACCOUNTS"</t>
  </si>
  <si>
    <t xml:space="preserve">SEC filings do not expose a general ledger. These rows are the line items Capital One discloses in its average-balance table — the finest account-level granularity available externally. They are groupings, not GL account numbers.</t>
  </si>
  <si>
    <t xml:space="preserve">WHAT EACH TABLE HOLDS</t>
  </si>
  <si>
    <t xml:space="preserve">Balance — AVERAGE balance over the quarter, in $mm. Not period-end; it will not tie to the balance sheet.</t>
  </si>
  <si>
    <t xml:space="preserve">Rate — annualised yield (assets) and cost of funds (liabilities), stored as fractions and displayed as percentages.</t>
  </si>
  <si>
    <t xml:space="preserve">Net Interest Income — interest income on assets and interest expense on liabilities, with NII computed as the difference of the totals.</t>
  </si>
  <si>
    <t xml:space="preserve">SOURCE</t>
  </si>
  <si>
    <t xml:space="preserve">Capital One Financial Corp (CIK 0000927628), Forms 10-Q and 10-K, MD&amp;A table 'Average Balances, Net Interest Income and Net Interest Margin'. These MD&amp;A tables are NOT XBRL-tagged, so values are parsed from the rendered HTML.</t>
  </si>
  <si>
    <t xml:space="preserve">Q4 DERIVATION, AND WHY IT IS SOUND</t>
  </si>
  <si>
    <t xml:space="preserve">No 3-month Q4 average-balance table is published: the 10-K table is annual and the 10-Q tables are 3/6/9-month. Q4 columns are marked (D).</t>
  </si>
  <si>
    <t xml:space="preserve">Two identities were tested against the actual data, both passing 48 of 48 cases: interest is additive (6M = Q1 + Q2), and average balances weight by months (6M avg = (Q1 avg x3 + Q2 avg x3) / 6).</t>
  </si>
  <si>
    <t xml:space="preserve">Therefore: Q4 interest = FY − 9M (exact). Q4 balance = (FY avg x12 − 9M avg x9) / 3. Q4 rate is RECOMPUTED from the derived interest and balance, never subtracted — rates do not subtract.</t>
  </si>
  <si>
    <t xml:space="preserve">VALIDATION</t>
  </si>
  <si>
    <t xml:space="preserve">The Net Interest Income sheet cross-checks its computed NII against the income statement extracted independently from XBRL. The two come from different places in the filing by different methods, so agreement is meaningful.</t>
  </si>
  <si>
    <t xml:space="preserve">CONVENTIONS</t>
  </si>
  <si>
    <t xml:space="preserve">Blue = as disclosed in the filing. Green = independent XBRL source. Black = live formula. Yellow = check cell, should read zero.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</si>
</sst>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0%;\(0.00%\);\-"/>
    <numFmt numFmtId="167" formatCode="#,##0.0;\(#,##0.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u val="singl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5" min="2" style="0" width="13"/>
  </cols>
  <sheetData>
    <row r="1" customFormat="false" ht="1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17</v>
      </c>
    </row>
    <row r="6" customFormat="false" ht="15" hidden="false" customHeight="false" outlineLevel="0" collapsed="false">
      <c r="A6" s="6" t="s">
        <v>18</v>
      </c>
      <c r="B6" s="7" t="n">
        <v>134669</v>
      </c>
      <c r="C6" s="7" t="n">
        <v>138762</v>
      </c>
      <c r="D6" s="7" t="n">
        <v>144053</v>
      </c>
      <c r="E6" s="7" t="n">
        <v>149112</v>
      </c>
      <c r="F6" s="7" t="n">
        <v>150049</v>
      </c>
      <c r="G6" s="7" t="n">
        <v>150866</v>
      </c>
      <c r="H6" s="7" t="n">
        <v>154160</v>
      </c>
      <c r="I6" s="7" t="n">
        <v>157360</v>
      </c>
      <c r="J6" s="7" t="n">
        <v>156408</v>
      </c>
      <c r="K6" s="7" t="n">
        <v>209693</v>
      </c>
      <c r="L6" s="7" t="n">
        <v>269175</v>
      </c>
      <c r="M6" s="7" t="n">
        <v>272720</v>
      </c>
      <c r="N6" s="7" t="n">
        <v>270975</v>
      </c>
      <c r="O6" s="7" t="n">
        <v>271197</v>
      </c>
    </row>
    <row r="7" customFormat="false" ht="15" hidden="false" customHeight="false" outlineLevel="0" collapsed="false">
      <c r="A7" s="6" t="s">
        <v>19</v>
      </c>
      <c r="B7" s="7" t="n">
        <v>79000</v>
      </c>
      <c r="C7" s="7" t="n">
        <v>77699</v>
      </c>
      <c r="D7" s="7" t="n">
        <v>77154</v>
      </c>
      <c r="E7" s="7" t="n">
        <v>76224</v>
      </c>
      <c r="F7" s="7" t="n">
        <v>75091</v>
      </c>
      <c r="G7" s="7" t="n">
        <v>75386</v>
      </c>
      <c r="H7" s="7" t="n">
        <v>76182</v>
      </c>
      <c r="I7" s="7" t="n">
        <v>77231</v>
      </c>
      <c r="J7" s="7" t="n">
        <v>78480</v>
      </c>
      <c r="K7" s="7" t="n">
        <v>80095</v>
      </c>
      <c r="L7" s="7" t="n">
        <v>82295</v>
      </c>
      <c r="M7" s="7" t="n">
        <v>83988</v>
      </c>
      <c r="N7" s="7" t="n">
        <v>85701</v>
      </c>
      <c r="O7" s="7" t="n">
        <v>88583</v>
      </c>
    </row>
    <row r="8" customFormat="false" ht="15" hidden="false" customHeight="false" outlineLevel="0" collapsed="false">
      <c r="A8" s="6" t="s">
        <v>20</v>
      </c>
      <c r="B8" s="7" t="n">
        <v>94446</v>
      </c>
      <c r="C8" s="7" t="n">
        <v>93874</v>
      </c>
      <c r="D8" s="7" t="n">
        <v>92254</v>
      </c>
      <c r="E8" s="7" t="n">
        <v>91385</v>
      </c>
      <c r="F8" s="7" t="n">
        <v>90423</v>
      </c>
      <c r="G8" s="7" t="n">
        <v>89571</v>
      </c>
      <c r="H8" s="7" t="n">
        <v>88373</v>
      </c>
      <c r="I8" s="7" t="n">
        <v>87672</v>
      </c>
      <c r="J8" s="7" t="n">
        <v>87884</v>
      </c>
      <c r="K8" s="7" t="n">
        <v>88749</v>
      </c>
      <c r="L8" s="7" t="n">
        <v>88904</v>
      </c>
      <c r="M8" s="7" t="n">
        <v>89192</v>
      </c>
      <c r="N8" s="7" t="n">
        <v>90064</v>
      </c>
      <c r="O8" s="7" t="n">
        <v>91082</v>
      </c>
    </row>
    <row r="9" customFormat="false" ht="15" hidden="false" customHeight="false" outlineLevel="0" collapsed="false">
      <c r="A9" s="6" t="s">
        <v>21</v>
      </c>
      <c r="B9" s="7" t="n">
        <v>308115</v>
      </c>
      <c r="C9" s="7" t="n">
        <v>310335</v>
      </c>
      <c r="D9" s="7" t="n">
        <v>313461</v>
      </c>
      <c r="E9" s="7" t="n">
        <v>316721</v>
      </c>
      <c r="F9" s="7" t="n">
        <v>315563</v>
      </c>
      <c r="G9" s="7" t="n">
        <v>315823</v>
      </c>
      <c r="H9" s="7" t="n">
        <v>318715</v>
      </c>
      <c r="I9" s="7" t="n">
        <v>322263</v>
      </c>
      <c r="J9" s="7" t="n">
        <v>322772</v>
      </c>
      <c r="K9" s="7" t="n">
        <v>378537</v>
      </c>
      <c r="L9" s="7" t="n">
        <v>440374</v>
      </c>
      <c r="M9" s="7" t="n">
        <v>445900</v>
      </c>
      <c r="N9" s="7" t="n">
        <v>446740</v>
      </c>
      <c r="O9" s="7" t="n">
        <v>450862</v>
      </c>
    </row>
    <row r="10" customFormat="false" ht="15" hidden="false" customHeight="false" outlineLevel="0" collapsed="false">
      <c r="A10" s="6" t="s">
        <v>22</v>
      </c>
      <c r="B10" s="7" t="n">
        <v>89960</v>
      </c>
      <c r="C10" s="7" t="n">
        <v>89994</v>
      </c>
      <c r="D10" s="7" t="n">
        <v>87845</v>
      </c>
      <c r="E10" s="7" t="n">
        <v>88643</v>
      </c>
      <c r="F10" s="7" t="n">
        <v>88581</v>
      </c>
      <c r="G10" s="7" t="n">
        <v>89501</v>
      </c>
      <c r="H10" s="7" t="n">
        <v>90644</v>
      </c>
      <c r="I10" s="7" t="n">
        <v>92260</v>
      </c>
      <c r="J10" s="7" t="n">
        <v>92659</v>
      </c>
      <c r="K10" s="7" t="n">
        <v>93024</v>
      </c>
      <c r="L10" s="7" t="n">
        <v>96186</v>
      </c>
      <c r="M10" s="7" t="n">
        <v>97330</v>
      </c>
      <c r="N10" s="7" t="n">
        <v>97803</v>
      </c>
      <c r="O10" s="7" t="n">
        <v>99339</v>
      </c>
    </row>
    <row r="11" customFormat="false" ht="15" hidden="false" customHeight="false" outlineLevel="0" collapsed="false">
      <c r="A11" s="6" t="s">
        <v>23</v>
      </c>
      <c r="B11" s="7" t="n">
        <v>37124</v>
      </c>
      <c r="C11" s="7" t="n">
        <v>38810</v>
      </c>
      <c r="D11" s="7" t="n">
        <v>42226</v>
      </c>
      <c r="E11" s="7" t="n">
        <v>41625</v>
      </c>
      <c r="F11" s="7" t="n">
        <v>43659</v>
      </c>
      <c r="G11" s="7" t="n">
        <v>45584</v>
      </c>
      <c r="H11" s="7" t="n">
        <v>45125</v>
      </c>
      <c r="I11" s="7" t="n">
        <v>46167</v>
      </c>
      <c r="J11" s="7" t="n">
        <v>47340</v>
      </c>
      <c r="K11" s="7" t="n">
        <v>53368</v>
      </c>
      <c r="L11" s="7" t="n">
        <v>56687</v>
      </c>
      <c r="M11" s="7" t="n">
        <v>61127</v>
      </c>
      <c r="N11" s="7" t="n">
        <v>72630</v>
      </c>
      <c r="O11" s="7" t="n">
        <v>67382</v>
      </c>
    </row>
    <row r="12" customFormat="false" ht="15" hidden="false" customHeight="false" outlineLevel="0" collapsed="false">
      <c r="A12" s="3" t="s">
        <v>24</v>
      </c>
      <c r="B12" s="8" t="n">
        <v>435199</v>
      </c>
      <c r="C12" s="8" t="n">
        <v>439139</v>
      </c>
      <c r="D12" s="8" t="n">
        <v>443532</v>
      </c>
      <c r="E12" s="8" t="n">
        <v>446989</v>
      </c>
      <c r="F12" s="8" t="n">
        <v>447803</v>
      </c>
      <c r="G12" s="8" t="n">
        <v>450908</v>
      </c>
      <c r="H12" s="8" t="n">
        <v>454484</v>
      </c>
      <c r="I12" s="8" t="n">
        <v>460690</v>
      </c>
      <c r="J12" s="8" t="n">
        <v>462771</v>
      </c>
      <c r="K12" s="8" t="n">
        <v>524929</v>
      </c>
      <c r="L12" s="8" t="n">
        <v>593247</v>
      </c>
      <c r="M12" s="8" t="n">
        <v>604357</v>
      </c>
      <c r="N12" s="8" t="n">
        <v>617173</v>
      </c>
      <c r="O12" s="8" t="n">
        <v>617583</v>
      </c>
    </row>
    <row r="14" customFormat="false" ht="15" hidden="false" customHeight="false" outlineLevel="0" collapsed="false">
      <c r="A14" s="5" t="s">
        <v>25</v>
      </c>
    </row>
    <row r="15" customFormat="false" ht="15" hidden="false" customHeight="false" outlineLevel="0" collapsed="false">
      <c r="A15" s="6" t="s">
        <v>26</v>
      </c>
      <c r="B15" s="7" t="n">
        <v>308788</v>
      </c>
      <c r="C15" s="7" t="n">
        <v>313207</v>
      </c>
      <c r="D15" s="7" t="n">
        <v>316032</v>
      </c>
      <c r="E15" s="7" t="n">
        <v>316842</v>
      </c>
      <c r="F15" s="7" t="n">
        <v>318450</v>
      </c>
      <c r="G15" s="7" t="n">
        <v>322581</v>
      </c>
      <c r="H15" s="7" t="n">
        <v>324509</v>
      </c>
      <c r="I15" s="7" t="n">
        <v>331620</v>
      </c>
      <c r="J15" s="7" t="n">
        <v>337840</v>
      </c>
      <c r="K15" s="7" t="n">
        <v>387139</v>
      </c>
      <c r="L15" s="7" t="n">
        <v>439527</v>
      </c>
      <c r="M15" s="7" t="n">
        <v>443213</v>
      </c>
      <c r="N15" s="7" t="n">
        <v>451957</v>
      </c>
      <c r="O15" s="7" t="n">
        <v>458130</v>
      </c>
    </row>
    <row r="16" customFormat="false" ht="15" hidden="false" customHeight="false" outlineLevel="0" collapsed="false">
      <c r="A16" s="6" t="s">
        <v>27</v>
      </c>
      <c r="B16" s="7" t="n">
        <v>17251</v>
      </c>
      <c r="C16" s="7" t="n">
        <v>17771</v>
      </c>
      <c r="D16" s="7" t="n">
        <v>17649</v>
      </c>
      <c r="E16" s="7" t="n">
        <v>18026</v>
      </c>
      <c r="F16" s="7" t="n">
        <v>17836</v>
      </c>
      <c r="G16" s="7" t="n">
        <v>17452</v>
      </c>
      <c r="H16" s="7" t="n">
        <v>15833</v>
      </c>
      <c r="I16" s="7" t="n">
        <v>14920</v>
      </c>
      <c r="J16" s="7" t="n">
        <v>13731</v>
      </c>
      <c r="K16" s="7" t="n">
        <v>13043</v>
      </c>
      <c r="L16" s="7" t="n">
        <v>12919</v>
      </c>
      <c r="M16" s="7" t="n">
        <v>12668</v>
      </c>
      <c r="N16" s="7" t="n">
        <v>12476</v>
      </c>
      <c r="O16" s="7" t="n">
        <v>10190</v>
      </c>
    </row>
    <row r="17" customFormat="false" ht="15" hidden="false" customHeight="false" outlineLevel="0" collapsed="false">
      <c r="A17" s="6" t="s">
        <v>28</v>
      </c>
      <c r="B17" s="7" t="n">
        <v>30136</v>
      </c>
      <c r="C17" s="7" t="n">
        <v>30161</v>
      </c>
      <c r="D17" s="7" t="n">
        <v>31522</v>
      </c>
      <c r="E17" s="7" t="n">
        <v>32603</v>
      </c>
      <c r="F17" s="7" t="n">
        <v>32211</v>
      </c>
      <c r="G17" s="7" t="n">
        <v>30978</v>
      </c>
      <c r="H17" s="7" t="n">
        <v>32041</v>
      </c>
      <c r="I17" s="7" t="n">
        <v>30884</v>
      </c>
      <c r="J17" s="7" t="n">
        <v>30331</v>
      </c>
      <c r="K17" s="7" t="n">
        <v>32872</v>
      </c>
      <c r="L17" s="7" t="n">
        <v>36272</v>
      </c>
      <c r="M17" s="7" t="n">
        <v>36528</v>
      </c>
      <c r="N17" s="7" t="n">
        <v>37846</v>
      </c>
      <c r="O17" s="7" t="n">
        <v>37498</v>
      </c>
    </row>
    <row r="18" customFormat="false" ht="15" hidden="false" customHeight="false" outlineLevel="0" collapsed="false">
      <c r="A18" s="6" t="s">
        <v>29</v>
      </c>
      <c r="B18" s="7" t="n">
        <v>2335</v>
      </c>
      <c r="C18" s="7" t="n">
        <v>2419</v>
      </c>
      <c r="D18" s="7" t="n">
        <v>2473</v>
      </c>
      <c r="E18" s="7" t="n">
        <v>2346</v>
      </c>
      <c r="F18" s="7" t="n">
        <v>2373</v>
      </c>
      <c r="G18" s="7" t="n">
        <v>2502</v>
      </c>
      <c r="H18" s="7" t="n">
        <v>2389</v>
      </c>
      <c r="I18" s="7" t="n">
        <v>2430</v>
      </c>
      <c r="J18" s="7" t="n">
        <v>2312</v>
      </c>
      <c r="K18" s="7" t="n">
        <v>2872</v>
      </c>
      <c r="L18" s="7" t="n">
        <v>3120</v>
      </c>
      <c r="M18" s="7" t="n">
        <v>3751</v>
      </c>
      <c r="N18" s="7" t="n">
        <v>4238</v>
      </c>
      <c r="O18" s="7" t="n">
        <v>3838</v>
      </c>
    </row>
    <row r="19" customFormat="false" ht="15" hidden="false" customHeight="false" outlineLevel="0" collapsed="false">
      <c r="A19" s="3" t="s">
        <v>30</v>
      </c>
      <c r="B19" s="8" t="n">
        <v>358510</v>
      </c>
      <c r="C19" s="8" t="n">
        <v>363558</v>
      </c>
      <c r="D19" s="8" t="n">
        <v>367676</v>
      </c>
      <c r="E19" s="8" t="n">
        <v>369817</v>
      </c>
      <c r="F19" s="8" t="n">
        <v>370870</v>
      </c>
      <c r="G19" s="8" t="n">
        <v>373513</v>
      </c>
      <c r="H19" s="8" t="n">
        <v>374772</v>
      </c>
      <c r="I19" s="8" t="n">
        <v>379854</v>
      </c>
      <c r="J19" s="8" t="n">
        <v>384214</v>
      </c>
      <c r="K19" s="8" t="n">
        <v>435926</v>
      </c>
      <c r="L19" s="8" t="n">
        <v>491838</v>
      </c>
      <c r="M19" s="8" t="n">
        <v>496160</v>
      </c>
      <c r="N19" s="8" t="n">
        <v>506517</v>
      </c>
      <c r="O19" s="8" t="n">
        <v>509656</v>
      </c>
    </row>
    <row r="21" customFormat="false" ht="15" hidden="false" customHeight="false" outlineLevel="0" collapsed="false">
      <c r="A21" s="3" t="s">
        <v>31</v>
      </c>
      <c r="B21" s="9" t="n">
        <f aca="false">B12-B19</f>
        <v>76689</v>
      </c>
      <c r="C21" s="9" t="n">
        <f aca="false">C12-C19</f>
        <v>75581</v>
      </c>
      <c r="D21" s="9" t="n">
        <f aca="false">D12-D19</f>
        <v>75856</v>
      </c>
      <c r="E21" s="9" t="n">
        <f aca="false">E12-E19</f>
        <v>77172</v>
      </c>
      <c r="F21" s="9" t="n">
        <f aca="false">F12-F19</f>
        <v>76933</v>
      </c>
      <c r="G21" s="9" t="n">
        <f aca="false">G12-G19</f>
        <v>77395</v>
      </c>
      <c r="H21" s="9" t="n">
        <f aca="false">H12-H19</f>
        <v>79712</v>
      </c>
      <c r="I21" s="9" t="n">
        <f aca="false">I12-I19</f>
        <v>80836</v>
      </c>
      <c r="J21" s="9" t="n">
        <f aca="false">J12-J19</f>
        <v>78557</v>
      </c>
      <c r="K21" s="9" t="n">
        <f aca="false">K12-K19</f>
        <v>89003</v>
      </c>
      <c r="L21" s="9" t="n">
        <f aca="false">L12-L19</f>
        <v>101409</v>
      </c>
      <c r="M21" s="9" t="n">
        <f aca="false">M12-M19</f>
        <v>108197</v>
      </c>
      <c r="N21" s="9" t="n">
        <f aca="false">N12-N19</f>
        <v>110656</v>
      </c>
      <c r="O21" s="9" t="n">
        <f aca="false">O12-O19</f>
        <v>107927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5" min="2" style="0" width="13"/>
  </cols>
  <sheetData>
    <row r="1" customFormat="false" ht="15" hidden="false" customHeight="false" outlineLevel="0" collapsed="false">
      <c r="A1" s="1" t="s">
        <v>32</v>
      </c>
    </row>
    <row r="2" customFormat="false" ht="27.75" hidden="false" customHeight="true" outlineLevel="0" collapsed="false">
      <c r="A2" s="2" t="s">
        <v>33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17</v>
      </c>
    </row>
    <row r="6" customFormat="false" ht="15" hidden="false" customHeight="false" outlineLevel="0" collapsed="false">
      <c r="A6" s="6" t="s">
        <v>18</v>
      </c>
      <c r="B6" s="10" t="n">
        <v>0.1798</v>
      </c>
      <c r="C6" s="10" t="n">
        <v>0.1817</v>
      </c>
      <c r="D6" s="10" t="n">
        <v>0.1902</v>
      </c>
      <c r="E6" s="10" t="n">
        <v>0.1894</v>
      </c>
      <c r="F6" s="10" t="n">
        <v>0.1884</v>
      </c>
      <c r="G6" s="10" t="n">
        <v>0.1879</v>
      </c>
      <c r="H6" s="10" t="n">
        <v>0.1966</v>
      </c>
      <c r="I6" s="10" t="n">
        <v>0.1905</v>
      </c>
      <c r="J6" s="10" t="n">
        <v>0.1854</v>
      </c>
      <c r="K6" s="10" t="n">
        <v>0.1794</v>
      </c>
      <c r="L6" s="10" t="n">
        <v>0.1799</v>
      </c>
      <c r="M6" s="10" t="n">
        <v>0.1767</v>
      </c>
      <c r="N6" s="10" t="n">
        <v>0.1717</v>
      </c>
      <c r="O6" s="10" t="n">
        <v>0.1721</v>
      </c>
    </row>
    <row r="7" customFormat="false" ht="15" hidden="false" customHeight="false" outlineLevel="0" collapsed="false">
      <c r="A7" s="6" t="s">
        <v>19</v>
      </c>
      <c r="B7" s="10" t="n">
        <v>0.074</v>
      </c>
      <c r="C7" s="10" t="n">
        <v>0.0765</v>
      </c>
      <c r="D7" s="10" t="n">
        <v>0.0797</v>
      </c>
      <c r="E7" s="10" t="n">
        <v>0.0817</v>
      </c>
      <c r="F7" s="10" t="n">
        <v>0.0833</v>
      </c>
      <c r="G7" s="10" t="n">
        <v>0.0854</v>
      </c>
      <c r="H7" s="10" t="n">
        <v>0.0888</v>
      </c>
      <c r="I7" s="10" t="n">
        <v>0.0904</v>
      </c>
      <c r="J7" s="10" t="n">
        <v>0.0903</v>
      </c>
      <c r="K7" s="10" t="n">
        <v>0.093</v>
      </c>
      <c r="L7" s="10" t="n">
        <v>0.0952</v>
      </c>
      <c r="M7" s="10" t="n">
        <v>0.0958</v>
      </c>
      <c r="N7" s="10" t="n">
        <v>0.0943</v>
      </c>
      <c r="O7" s="10" t="n">
        <v>0.0957</v>
      </c>
    </row>
    <row r="8" customFormat="false" ht="15" hidden="false" customHeight="false" outlineLevel="0" collapsed="false">
      <c r="A8" s="6" t="s">
        <v>20</v>
      </c>
      <c r="B8" s="10" t="n">
        <v>0.063</v>
      </c>
      <c r="C8" s="10" t="n">
        <v>0.0674</v>
      </c>
      <c r="D8" s="10" t="n">
        <v>0.0712</v>
      </c>
      <c r="E8" s="10" t="n">
        <v>0.0724</v>
      </c>
      <c r="F8" s="10" t="n">
        <v>0.0713</v>
      </c>
      <c r="G8" s="10" t="n">
        <v>0.0722</v>
      </c>
      <c r="H8" s="10" t="n">
        <v>0.0724</v>
      </c>
      <c r="I8" s="10" t="n">
        <v>0.0672</v>
      </c>
      <c r="J8" s="10" t="n">
        <v>0.0629</v>
      </c>
      <c r="K8" s="10" t="n">
        <v>0.064</v>
      </c>
      <c r="L8" s="10" t="n">
        <v>0.0642</v>
      </c>
      <c r="M8" s="10" t="n">
        <v>0.0608</v>
      </c>
      <c r="N8" s="10" t="n">
        <v>0.0568</v>
      </c>
      <c r="O8" s="10" t="n">
        <v>0.0575</v>
      </c>
    </row>
    <row r="9" customFormat="false" ht="15" hidden="false" customHeight="false" outlineLevel="0" collapsed="false">
      <c r="A9" s="6" t="s">
        <v>21</v>
      </c>
      <c r="B9" s="10" t="n">
        <v>0.1132</v>
      </c>
      <c r="C9" s="10" t="n">
        <v>0.1167</v>
      </c>
      <c r="D9" s="10" t="n">
        <v>0.1237</v>
      </c>
      <c r="E9" s="10" t="n">
        <v>0.1255</v>
      </c>
      <c r="F9" s="10" t="n">
        <v>0.1257</v>
      </c>
      <c r="G9" s="10" t="n">
        <v>0.1266</v>
      </c>
      <c r="H9" s="10" t="n">
        <v>0.1324</v>
      </c>
      <c r="I9" s="10" t="n">
        <v>0.1295</v>
      </c>
      <c r="J9" s="10" t="n">
        <v>0.1259</v>
      </c>
      <c r="K9" s="10" t="n">
        <v>0.1315</v>
      </c>
      <c r="L9" s="10" t="n">
        <v>0.1383</v>
      </c>
      <c r="M9" s="10" t="n">
        <v>0.1362</v>
      </c>
      <c r="N9" s="10" t="n">
        <v>0.1319</v>
      </c>
      <c r="O9" s="10" t="n">
        <v>0.1323</v>
      </c>
    </row>
    <row r="10" customFormat="false" ht="15" hidden="false" customHeight="false" outlineLevel="0" collapsed="false">
      <c r="A10" s="6" t="s">
        <v>22</v>
      </c>
      <c r="B10" s="10" t="n">
        <v>0.0273</v>
      </c>
      <c r="C10" s="10" t="n">
        <v>0.0284</v>
      </c>
      <c r="D10" s="10" t="n">
        <v>0.0286</v>
      </c>
      <c r="E10" s="10" t="n">
        <v>0.0302</v>
      </c>
      <c r="F10" s="10" t="n">
        <v>0.031</v>
      </c>
      <c r="G10" s="10" t="n">
        <v>0.0313</v>
      </c>
      <c r="H10" s="10" t="n">
        <v>0.0324</v>
      </c>
      <c r="I10" s="10" t="n">
        <v>0.0326</v>
      </c>
      <c r="J10" s="10" t="n">
        <v>0.0332</v>
      </c>
      <c r="K10" s="10" t="n">
        <v>0.0337</v>
      </c>
      <c r="L10" s="10" t="n">
        <v>0.0342</v>
      </c>
      <c r="M10" s="10" t="n">
        <v>0.0346</v>
      </c>
      <c r="N10" s="10" t="n">
        <v>0.034</v>
      </c>
      <c r="O10" s="10" t="n">
        <v>0.0342</v>
      </c>
    </row>
    <row r="11" customFormat="false" ht="15" hidden="false" customHeight="false" outlineLevel="0" collapsed="false">
      <c r="A11" s="6" t="s">
        <v>23</v>
      </c>
      <c r="B11" s="10" t="n">
        <v>0.0449</v>
      </c>
      <c r="C11" s="10" t="n">
        <v>0.0484</v>
      </c>
      <c r="D11" s="10" t="n">
        <v>0.0521</v>
      </c>
      <c r="E11" s="10" t="n">
        <v>0.0521</v>
      </c>
      <c r="F11" s="10" t="n">
        <v>0.0521</v>
      </c>
      <c r="G11" s="10" t="n">
        <v>0.0516</v>
      </c>
      <c r="H11" s="10" t="n">
        <v>0.0514</v>
      </c>
      <c r="I11" s="10" t="n">
        <v>0.0459</v>
      </c>
      <c r="J11" s="10" t="n">
        <v>0.0414</v>
      </c>
      <c r="K11" s="10" t="n">
        <v>0.0446</v>
      </c>
      <c r="L11" s="10" t="n">
        <v>0.0502</v>
      </c>
      <c r="M11" s="10" t="n">
        <v>0.0432</v>
      </c>
      <c r="N11" s="10" t="n">
        <v>0.0366</v>
      </c>
      <c r="O11" s="10" t="n">
        <v>0.037</v>
      </c>
    </row>
    <row r="12" customFormat="false" ht="15" hidden="false" customHeight="false" outlineLevel="0" collapsed="false">
      <c r="A12" s="3" t="s">
        <v>24</v>
      </c>
      <c r="B12" s="11" t="n">
        <v>0.0896</v>
      </c>
      <c r="C12" s="11" t="n">
        <v>0.0926</v>
      </c>
      <c r="D12" s="11" t="n">
        <v>0.0981</v>
      </c>
      <c r="E12" s="11" t="n">
        <v>0.0997</v>
      </c>
      <c r="F12" s="11" t="n">
        <v>0.0998</v>
      </c>
      <c r="G12" s="11" t="n">
        <v>0.1001</v>
      </c>
      <c r="H12" s="11" t="n">
        <v>0.1044</v>
      </c>
      <c r="I12" s="11" t="n">
        <v>0.1017</v>
      </c>
      <c r="J12" s="11" t="n">
        <v>0.0987</v>
      </c>
      <c r="K12" s="11" t="n">
        <v>0.1054</v>
      </c>
      <c r="L12" s="11" t="n">
        <v>0.113</v>
      </c>
      <c r="M12" s="11" t="n">
        <v>0.1104</v>
      </c>
      <c r="N12" s="11" t="n">
        <v>0.1052</v>
      </c>
      <c r="O12" s="11" t="n">
        <v>0.1061</v>
      </c>
    </row>
    <row r="14" customFormat="false" ht="15" hidden="false" customHeight="false" outlineLevel="0" collapsed="false">
      <c r="A14" s="5" t="s">
        <v>25</v>
      </c>
    </row>
    <row r="15" customFormat="false" ht="15" hidden="false" customHeight="false" outlineLevel="0" collapsed="false">
      <c r="A15" s="6" t="s">
        <v>26</v>
      </c>
      <c r="B15" s="10" t="n">
        <v>0.024</v>
      </c>
      <c r="C15" s="10" t="n">
        <v>0.0291</v>
      </c>
      <c r="D15" s="10" t="n">
        <v>0.033</v>
      </c>
      <c r="E15" s="10" t="n">
        <v>0.0347</v>
      </c>
      <c r="F15" s="10" t="n">
        <v>0.0353</v>
      </c>
      <c r="G15" s="10" t="n">
        <v>0.0356</v>
      </c>
      <c r="H15" s="10" t="n">
        <v>0.0363</v>
      </c>
      <c r="I15" s="10" t="n">
        <v>0.0345</v>
      </c>
      <c r="J15" s="10" t="n">
        <v>0.0322</v>
      </c>
      <c r="K15" s="10" t="n">
        <v>0.0322</v>
      </c>
      <c r="L15" s="10" t="n">
        <v>0.0327</v>
      </c>
      <c r="M15" s="10" t="n">
        <v>0.0315</v>
      </c>
      <c r="N15" s="10" t="n">
        <v>0.03</v>
      </c>
      <c r="O15" s="10" t="n">
        <v>0.0291</v>
      </c>
    </row>
    <row r="16" customFormat="false" ht="15" hidden="false" customHeight="false" outlineLevel="0" collapsed="false">
      <c r="A16" s="6" t="s">
        <v>27</v>
      </c>
      <c r="B16" s="10" t="n">
        <v>0.049</v>
      </c>
      <c r="C16" s="10" t="n">
        <v>0.0531</v>
      </c>
      <c r="D16" s="10" t="n">
        <v>0.0563</v>
      </c>
      <c r="E16" s="10" t="n">
        <v>0.0584</v>
      </c>
      <c r="F16" s="10" t="n">
        <v>0.0585</v>
      </c>
      <c r="G16" s="10" t="n">
        <v>0.0591</v>
      </c>
      <c r="H16" s="10" t="n">
        <v>0.0593</v>
      </c>
      <c r="I16" s="10" t="n">
        <v>0.055</v>
      </c>
      <c r="J16" s="10" t="n">
        <v>0.0511</v>
      </c>
      <c r="K16" s="10" t="n">
        <v>0.0506</v>
      </c>
      <c r="L16" s="10" t="n">
        <v>0.0511</v>
      </c>
      <c r="M16" s="10" t="n">
        <v>0.0489</v>
      </c>
      <c r="N16" s="10" t="n">
        <v>0.0452</v>
      </c>
      <c r="O16" s="10" t="n">
        <v>0.0459</v>
      </c>
    </row>
    <row r="17" customFormat="false" ht="15" hidden="false" customHeight="false" outlineLevel="0" collapsed="false">
      <c r="A17" s="6" t="s">
        <v>28</v>
      </c>
      <c r="B17" s="10" t="n">
        <v>0.0649</v>
      </c>
      <c r="C17" s="10" t="n">
        <v>0.07</v>
      </c>
      <c r="D17" s="10" t="n">
        <v>0.0736</v>
      </c>
      <c r="E17" s="10" t="n">
        <v>0.0746</v>
      </c>
      <c r="F17" s="10" t="n">
        <v>0.0752</v>
      </c>
      <c r="G17" s="10" t="n">
        <v>0.0764</v>
      </c>
      <c r="H17" s="10" t="n">
        <v>0.0743</v>
      </c>
      <c r="I17" s="10" t="n">
        <v>0.0699</v>
      </c>
      <c r="J17" s="10" t="n">
        <v>0.0666</v>
      </c>
      <c r="K17" s="10" t="n">
        <v>0.0651</v>
      </c>
      <c r="L17" s="10" t="n">
        <v>0.0641</v>
      </c>
      <c r="M17" s="10" t="n">
        <v>0.0602</v>
      </c>
      <c r="N17" s="10" t="n">
        <v>0.0563</v>
      </c>
      <c r="O17" s="10" t="n">
        <v>0.057</v>
      </c>
    </row>
    <row r="18" customFormat="false" ht="15" hidden="false" customHeight="false" outlineLevel="0" collapsed="false">
      <c r="A18" s="6" t="s">
        <v>29</v>
      </c>
      <c r="B18" s="10" t="n">
        <v>0.0208</v>
      </c>
      <c r="C18" s="10" t="n">
        <v>0.0195</v>
      </c>
      <c r="D18" s="10" t="n">
        <v>0.0179</v>
      </c>
      <c r="E18" s="10" t="n">
        <v>0.0171</v>
      </c>
      <c r="F18" s="10" t="n">
        <v>0.0178</v>
      </c>
      <c r="G18" s="10" t="n">
        <v>0.0173</v>
      </c>
      <c r="H18" s="10" t="n">
        <v>0.015</v>
      </c>
      <c r="I18" s="10" t="n">
        <v>0.0198</v>
      </c>
      <c r="J18" s="10" t="n">
        <v>0.0157</v>
      </c>
      <c r="K18" s="10" t="n">
        <v>0.0185</v>
      </c>
      <c r="L18" s="10" t="n">
        <v>0.0204</v>
      </c>
      <c r="M18" s="10" t="n">
        <v>0.0245</v>
      </c>
      <c r="N18" s="10" t="n">
        <v>0.0244</v>
      </c>
      <c r="O18" s="10" t="n">
        <v>0.023</v>
      </c>
    </row>
    <row r="19" customFormat="false" ht="15" hidden="false" customHeight="false" outlineLevel="0" collapsed="false">
      <c r="A19" s="3" t="s">
        <v>30</v>
      </c>
      <c r="B19" s="11" t="n">
        <v>0.0287</v>
      </c>
      <c r="C19" s="11" t="n">
        <v>0.0336</v>
      </c>
      <c r="D19" s="11" t="n">
        <v>0.0375</v>
      </c>
      <c r="E19" s="11" t="n">
        <v>0.0392</v>
      </c>
      <c r="F19" s="11" t="n">
        <v>0.0398</v>
      </c>
      <c r="G19" s="11" t="n">
        <v>0.04</v>
      </c>
      <c r="H19" s="11" t="n">
        <v>0.0404</v>
      </c>
      <c r="I19" s="11" t="n">
        <v>0.0381</v>
      </c>
      <c r="J19" s="11" t="n">
        <v>0.0354</v>
      </c>
      <c r="K19" s="11" t="n">
        <v>0.0352</v>
      </c>
      <c r="L19" s="11" t="n">
        <v>0.0355</v>
      </c>
      <c r="M19" s="11" t="n">
        <v>0.034</v>
      </c>
      <c r="N19" s="11" t="n">
        <v>0.0323</v>
      </c>
      <c r="O19" s="11" t="n">
        <v>0.0315</v>
      </c>
    </row>
    <row r="21" customFormat="false" ht="15" hidden="false" customHeight="false" outlineLevel="0" collapsed="false">
      <c r="A21" s="3" t="s">
        <v>34</v>
      </c>
      <c r="B21" s="12" t="n">
        <f aca="false">B12-B19</f>
        <v>0.0609</v>
      </c>
      <c r="C21" s="12" t="n">
        <f aca="false">C12-C19</f>
        <v>0.059</v>
      </c>
      <c r="D21" s="12" t="n">
        <f aca="false">D12-D19</f>
        <v>0.0606</v>
      </c>
      <c r="E21" s="12" t="n">
        <f aca="false">E12-E19</f>
        <v>0.0605</v>
      </c>
      <c r="F21" s="12" t="n">
        <f aca="false">F12-F19</f>
        <v>0.06</v>
      </c>
      <c r="G21" s="12" t="n">
        <f aca="false">G12-G19</f>
        <v>0.0601</v>
      </c>
      <c r="H21" s="12" t="n">
        <f aca="false">H12-H19</f>
        <v>0.064</v>
      </c>
      <c r="I21" s="12" t="n">
        <f aca="false">I12-I19</f>
        <v>0.0636</v>
      </c>
      <c r="J21" s="12" t="n">
        <f aca="false">J12-J19</f>
        <v>0.0633</v>
      </c>
      <c r="K21" s="12" t="n">
        <f aca="false">K12-K19</f>
        <v>0.0702</v>
      </c>
      <c r="L21" s="12" t="n">
        <f aca="false">L12-L19</f>
        <v>0.0775</v>
      </c>
      <c r="M21" s="12" t="n">
        <f aca="false">M12-M19</f>
        <v>0.0764</v>
      </c>
      <c r="N21" s="12" t="n">
        <f aca="false">N12-N19</f>
        <v>0.0729</v>
      </c>
      <c r="O21" s="12" t="n">
        <f aca="false">O12-O19</f>
        <v>0.0746</v>
      </c>
    </row>
    <row r="22" customFormat="false" ht="15" hidden="false" customHeight="false" outlineLevel="0" collapsed="false">
      <c r="A22" s="3" t="s">
        <v>35</v>
      </c>
      <c r="B22" s="12" t="n">
        <f aca="false">IFERROR(('Net Interest Income'!B21*4)/Balance!B12,"")</f>
        <v>0.0660479458822286</v>
      </c>
      <c r="C22" s="12" t="n">
        <f aca="false">IFERROR(('Net Interest Income'!C21*4)/Balance!C12,"")</f>
        <v>0.0647904194343932</v>
      </c>
      <c r="D22" s="12" t="n">
        <f aca="false">IFERROR(('Net Interest Income'!D21*4)/Balance!D12,"")</f>
        <v>0.0669444369290153</v>
      </c>
      <c r="E22" s="12" t="n">
        <f aca="false">IFERROR(('Net Interest Income'!E21*4)/Balance!E12,"")</f>
        <v>0.067285772133095</v>
      </c>
      <c r="F22" s="12" t="n">
        <f aca="false">IFERROR(('Net Interest Income'!F21*4)/Balance!F12,"")</f>
        <v>0.0668865550253125</v>
      </c>
      <c r="G22" s="12" t="n">
        <f aca="false">IFERROR(('Net Interest Income'!G21*4)/Balance!G12,"")</f>
        <v>0.0669404845334303</v>
      </c>
      <c r="H22" s="12" t="n">
        <f aca="false">IFERROR(('Net Interest Income'!H21*4)/Balance!H12,"")</f>
        <v>0.0710784098010051</v>
      </c>
      <c r="I22" s="12" t="n">
        <f aca="false">IFERROR(('Net Interest Income'!I21*4)/Balance!I12,"")</f>
        <v>0.070311923419219</v>
      </c>
      <c r="J22" s="12" t="n">
        <f aca="false">IFERROR(('Net Interest Income'!J21*4)/Balance!J12,"")</f>
        <v>0.0692610383969609</v>
      </c>
      <c r="K22" s="12" t="n">
        <f aca="false">IFERROR(('Net Interest Income'!K21*4)/Balance!K12,"")</f>
        <v>0.0761626810482942</v>
      </c>
      <c r="L22" s="12" t="n">
        <f aca="false">IFERROR(('Net Interest Income'!L21*4)/Balance!L12,"")</f>
        <v>0.0836346412202674</v>
      </c>
      <c r="M22" s="12" t="n">
        <f aca="false">IFERROR(('Net Interest Income'!M21*4)/Balance!M12,"")</f>
        <v>0.0825075245260666</v>
      </c>
      <c r="N22" s="12" t="n">
        <f aca="false">IFERROR(('Net Interest Income'!N21*4)/Balance!N12,"")</f>
        <v>0.0787137480090672</v>
      </c>
      <c r="O22" s="12" t="n">
        <f aca="false">IFERROR(('Net Interest Income'!O21*4)/Balance!O12,"")</f>
        <v>0.0801446931019798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5" min="2" style="0" width="13"/>
  </cols>
  <sheetData>
    <row r="1" customFormat="false" ht="15" hidden="false" customHeight="false" outlineLevel="0" collapsed="false">
      <c r="A1" s="1" t="s">
        <v>36</v>
      </c>
    </row>
    <row r="2" customFormat="false" ht="27.75" hidden="false" customHeight="true" outlineLevel="0" collapsed="false">
      <c r="A2" s="2" t="s">
        <v>37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17</v>
      </c>
    </row>
    <row r="6" customFormat="false" ht="15" hidden="false" customHeight="false" outlineLevel="0" collapsed="false">
      <c r="A6" s="6" t="s">
        <v>18</v>
      </c>
      <c r="B6" s="7" t="n">
        <v>6053</v>
      </c>
      <c r="C6" s="7" t="n">
        <v>6302</v>
      </c>
      <c r="D6" s="7" t="n">
        <v>6850</v>
      </c>
      <c r="E6" s="7" t="n">
        <v>7062</v>
      </c>
      <c r="F6" s="7" t="n">
        <v>7067</v>
      </c>
      <c r="G6" s="7" t="n">
        <v>7088</v>
      </c>
      <c r="H6" s="7" t="n">
        <v>7578</v>
      </c>
      <c r="I6" s="7" t="n">
        <v>7493</v>
      </c>
      <c r="J6" s="7" t="n">
        <v>7248</v>
      </c>
      <c r="K6" s="7" t="n">
        <v>9407</v>
      </c>
      <c r="L6" s="7" t="n">
        <v>12109</v>
      </c>
      <c r="M6" s="7" t="n">
        <v>12049</v>
      </c>
      <c r="N6" s="7" t="n">
        <v>11633</v>
      </c>
      <c r="O6" s="7" t="n">
        <v>11670</v>
      </c>
    </row>
    <row r="7" customFormat="false" ht="15" hidden="false" customHeight="false" outlineLevel="0" collapsed="false">
      <c r="A7" s="6" t="s">
        <v>19</v>
      </c>
      <c r="B7" s="7" t="n">
        <v>1461</v>
      </c>
      <c r="C7" s="7" t="n">
        <v>1486</v>
      </c>
      <c r="D7" s="7" t="n">
        <v>1537</v>
      </c>
      <c r="E7" s="7" t="n">
        <v>1557</v>
      </c>
      <c r="F7" s="7" t="n">
        <v>1564</v>
      </c>
      <c r="G7" s="7" t="n">
        <v>1611</v>
      </c>
      <c r="H7" s="7" t="n">
        <v>1692</v>
      </c>
      <c r="I7" s="7" t="n">
        <v>1745</v>
      </c>
      <c r="J7" s="7" t="n">
        <v>1773</v>
      </c>
      <c r="K7" s="7" t="n">
        <v>1861</v>
      </c>
      <c r="L7" s="7" t="n">
        <v>1958</v>
      </c>
      <c r="M7" s="7" t="n">
        <v>2012</v>
      </c>
      <c r="N7" s="7" t="n">
        <v>2020</v>
      </c>
      <c r="O7" s="7" t="n">
        <v>2121</v>
      </c>
    </row>
    <row r="8" customFormat="false" ht="15" hidden="false" customHeight="false" outlineLevel="0" collapsed="false">
      <c r="A8" s="6" t="s">
        <v>20</v>
      </c>
      <c r="B8" s="7" t="n">
        <v>1488</v>
      </c>
      <c r="C8" s="7" t="n">
        <v>1580</v>
      </c>
      <c r="D8" s="7" t="n">
        <v>1642</v>
      </c>
      <c r="E8" s="7" t="n">
        <v>1653</v>
      </c>
      <c r="F8" s="7" t="n">
        <v>1612</v>
      </c>
      <c r="G8" s="7" t="n">
        <v>1616</v>
      </c>
      <c r="H8" s="7" t="n">
        <v>1601</v>
      </c>
      <c r="I8" s="7" t="n">
        <v>1472</v>
      </c>
      <c r="J8" s="7" t="n">
        <v>1382</v>
      </c>
      <c r="K8" s="7" t="n">
        <v>1421</v>
      </c>
      <c r="L8" s="7" t="n">
        <v>1426</v>
      </c>
      <c r="M8" s="7" t="n">
        <v>1356</v>
      </c>
      <c r="N8" s="7" t="n">
        <v>1278</v>
      </c>
      <c r="O8" s="7" t="n">
        <v>1308</v>
      </c>
    </row>
    <row r="9" customFormat="false" ht="15" hidden="false" customHeight="false" outlineLevel="0" collapsed="false">
      <c r="A9" s="6" t="s">
        <v>21</v>
      </c>
      <c r="B9" s="7" t="n">
        <v>8723</v>
      </c>
      <c r="C9" s="7" t="n">
        <v>9057</v>
      </c>
      <c r="D9" s="7" t="n">
        <v>9696</v>
      </c>
      <c r="E9" s="7" t="n">
        <v>9934</v>
      </c>
      <c r="F9" s="7" t="n">
        <v>9920</v>
      </c>
      <c r="G9" s="7" t="n">
        <v>9993</v>
      </c>
      <c r="H9" s="7" t="n">
        <v>10547</v>
      </c>
      <c r="I9" s="7" t="n">
        <v>10434</v>
      </c>
      <c r="J9" s="7" t="n">
        <v>10157</v>
      </c>
      <c r="K9" s="7" t="n">
        <v>12449</v>
      </c>
      <c r="L9" s="7" t="n">
        <v>15229</v>
      </c>
      <c r="M9" s="7" t="n">
        <v>15186</v>
      </c>
      <c r="N9" s="7" t="n">
        <v>14735</v>
      </c>
      <c r="O9" s="7" t="n">
        <v>14911</v>
      </c>
    </row>
    <row r="10" customFormat="false" ht="15" hidden="false" customHeight="false" outlineLevel="0" collapsed="false">
      <c r="A10" s="6" t="s">
        <v>22</v>
      </c>
      <c r="B10" s="7" t="n">
        <v>615</v>
      </c>
      <c r="C10" s="7" t="n">
        <v>639</v>
      </c>
      <c r="D10" s="7" t="n">
        <v>627</v>
      </c>
      <c r="E10" s="7" t="n">
        <v>669</v>
      </c>
      <c r="F10" s="7" t="n">
        <v>687</v>
      </c>
      <c r="G10" s="7" t="n">
        <v>700</v>
      </c>
      <c r="H10" s="7" t="n">
        <v>733</v>
      </c>
      <c r="I10" s="7" t="n">
        <v>753</v>
      </c>
      <c r="J10" s="7" t="n">
        <v>770</v>
      </c>
      <c r="K10" s="7" t="n">
        <v>784</v>
      </c>
      <c r="L10" s="7" t="n">
        <v>823</v>
      </c>
      <c r="M10" s="7" t="n">
        <v>841</v>
      </c>
      <c r="N10" s="7" t="n">
        <v>832</v>
      </c>
      <c r="O10" s="7" t="n">
        <v>850</v>
      </c>
    </row>
    <row r="11" customFormat="false" ht="15" hidden="false" customHeight="false" outlineLevel="0" collapsed="false">
      <c r="A11" s="6" t="s">
        <v>23</v>
      </c>
      <c r="B11" s="7" t="n">
        <v>416</v>
      </c>
      <c r="C11" s="7" t="n">
        <v>470</v>
      </c>
      <c r="D11" s="7" t="n">
        <v>550</v>
      </c>
      <c r="E11" s="7" t="n">
        <v>542</v>
      </c>
      <c r="F11" s="7" t="n">
        <v>570</v>
      </c>
      <c r="G11" s="7" t="n">
        <v>587</v>
      </c>
      <c r="H11" s="7" t="n">
        <v>580</v>
      </c>
      <c r="I11" s="7" t="n">
        <v>530</v>
      </c>
      <c r="J11" s="7" t="n">
        <v>491</v>
      </c>
      <c r="K11" s="7" t="n">
        <v>595</v>
      </c>
      <c r="L11" s="7" t="n">
        <v>711</v>
      </c>
      <c r="M11" s="7" t="n">
        <v>660</v>
      </c>
      <c r="N11" s="7" t="n">
        <v>664</v>
      </c>
      <c r="O11" s="7" t="n">
        <v>624</v>
      </c>
    </row>
    <row r="12" customFormat="false" ht="15" hidden="false" customHeight="false" outlineLevel="0" collapsed="false">
      <c r="A12" s="3" t="s">
        <v>24</v>
      </c>
      <c r="B12" s="8" t="n">
        <v>9754</v>
      </c>
      <c r="C12" s="8" t="n">
        <v>10166</v>
      </c>
      <c r="D12" s="8" t="n">
        <v>10873</v>
      </c>
      <c r="E12" s="8" t="n">
        <v>11145</v>
      </c>
      <c r="F12" s="8" t="n">
        <v>11177</v>
      </c>
      <c r="G12" s="8" t="n">
        <v>11280</v>
      </c>
      <c r="H12" s="8" t="n">
        <v>11860</v>
      </c>
      <c r="I12" s="8" t="n">
        <v>11717</v>
      </c>
      <c r="J12" s="8" t="n">
        <v>11418</v>
      </c>
      <c r="K12" s="8" t="n">
        <v>13828</v>
      </c>
      <c r="L12" s="8" t="n">
        <v>16763</v>
      </c>
      <c r="M12" s="8" t="n">
        <v>16687</v>
      </c>
      <c r="N12" s="8" t="n">
        <v>16231</v>
      </c>
      <c r="O12" s="8" t="n">
        <v>16385</v>
      </c>
    </row>
    <row r="14" customFormat="false" ht="15" hidden="false" customHeight="false" outlineLevel="0" collapsed="false">
      <c r="A14" s="5" t="s">
        <v>25</v>
      </c>
    </row>
    <row r="15" customFormat="false" ht="15" hidden="false" customHeight="false" outlineLevel="0" collapsed="false">
      <c r="A15" s="6" t="s">
        <v>26</v>
      </c>
      <c r="B15" s="7" t="n">
        <v>1856</v>
      </c>
      <c r="C15" s="7" t="n">
        <v>2277</v>
      </c>
      <c r="D15" s="7" t="n">
        <v>2611</v>
      </c>
      <c r="E15" s="7" t="n">
        <v>2745</v>
      </c>
      <c r="F15" s="7" t="n">
        <v>2812</v>
      </c>
      <c r="G15" s="7" t="n">
        <v>2874</v>
      </c>
      <c r="H15" s="7" t="n">
        <v>2945</v>
      </c>
      <c r="I15" s="7" t="n">
        <v>2862</v>
      </c>
      <c r="J15" s="7" t="n">
        <v>2715</v>
      </c>
      <c r="K15" s="7" t="n">
        <v>3120</v>
      </c>
      <c r="L15" s="7" t="n">
        <v>3597</v>
      </c>
      <c r="M15" s="7" t="n">
        <v>3493</v>
      </c>
      <c r="N15" s="7" t="n">
        <v>3387</v>
      </c>
      <c r="O15" s="7" t="n">
        <v>3338</v>
      </c>
    </row>
    <row r="16" customFormat="false" ht="15" hidden="false" customHeight="false" outlineLevel="0" collapsed="false">
      <c r="A16" s="6" t="s">
        <v>27</v>
      </c>
      <c r="B16" s="7" t="n">
        <v>211</v>
      </c>
      <c r="C16" s="7" t="n">
        <v>236</v>
      </c>
      <c r="D16" s="7" t="n">
        <v>249</v>
      </c>
      <c r="E16" s="7" t="n">
        <v>263</v>
      </c>
      <c r="F16" s="7" t="n">
        <v>261</v>
      </c>
      <c r="G16" s="7" t="n">
        <v>258</v>
      </c>
      <c r="H16" s="7" t="n">
        <v>234</v>
      </c>
      <c r="I16" s="7" t="n">
        <v>205</v>
      </c>
      <c r="J16" s="7" t="n">
        <v>176</v>
      </c>
      <c r="K16" s="7" t="n">
        <v>164</v>
      </c>
      <c r="L16" s="7" t="n">
        <v>165</v>
      </c>
      <c r="M16" s="7" t="n">
        <v>155</v>
      </c>
      <c r="N16" s="7" t="n">
        <v>141</v>
      </c>
      <c r="O16" s="7" t="n">
        <v>117</v>
      </c>
    </row>
    <row r="17" customFormat="false" ht="15" hidden="false" customHeight="false" outlineLevel="0" collapsed="false">
      <c r="A17" s="6" t="s">
        <v>28</v>
      </c>
      <c r="B17" s="7" t="n">
        <v>489</v>
      </c>
      <c r="C17" s="7" t="n">
        <v>528</v>
      </c>
      <c r="D17" s="7" t="n">
        <v>579</v>
      </c>
      <c r="E17" s="7" t="n">
        <v>608</v>
      </c>
      <c r="F17" s="7" t="n">
        <v>606</v>
      </c>
      <c r="G17" s="7" t="n">
        <v>591</v>
      </c>
      <c r="H17" s="7" t="n">
        <v>596</v>
      </c>
      <c r="I17" s="7" t="n">
        <v>540</v>
      </c>
      <c r="J17" s="7" t="n">
        <v>505</v>
      </c>
      <c r="K17" s="7" t="n">
        <v>535</v>
      </c>
      <c r="L17" s="7" t="n">
        <v>582</v>
      </c>
      <c r="M17" s="7" t="n">
        <v>550</v>
      </c>
      <c r="N17" s="7" t="n">
        <v>532</v>
      </c>
      <c r="O17" s="7" t="n">
        <v>535</v>
      </c>
    </row>
    <row r="18" customFormat="false" ht="15" hidden="false" customHeight="false" outlineLevel="0" collapsed="false">
      <c r="A18" s="6" t="s">
        <v>29</v>
      </c>
      <c r="B18" s="7" t="n">
        <v>12</v>
      </c>
      <c r="C18" s="7" t="n">
        <v>12</v>
      </c>
      <c r="D18" s="7" t="n">
        <v>11</v>
      </c>
      <c r="E18" s="7" t="n">
        <v>10</v>
      </c>
      <c r="F18" s="7" t="n">
        <v>10</v>
      </c>
      <c r="G18" s="7" t="n">
        <v>11</v>
      </c>
      <c r="H18" s="7" t="n">
        <v>9</v>
      </c>
      <c r="I18" s="7" t="n">
        <v>12</v>
      </c>
      <c r="J18" s="7" t="n">
        <v>9</v>
      </c>
      <c r="K18" s="7" t="n">
        <v>14</v>
      </c>
      <c r="L18" s="7" t="n">
        <v>15</v>
      </c>
      <c r="M18" s="7" t="n">
        <v>23</v>
      </c>
      <c r="N18" s="7" t="n">
        <v>26</v>
      </c>
      <c r="O18" s="7" t="n">
        <v>21</v>
      </c>
    </row>
    <row r="19" customFormat="false" ht="15" hidden="false" customHeight="false" outlineLevel="0" collapsed="false">
      <c r="A19" s="3" t="s">
        <v>30</v>
      </c>
      <c r="B19" s="8" t="n">
        <v>2568</v>
      </c>
      <c r="C19" s="8" t="n">
        <v>3053</v>
      </c>
      <c r="D19" s="8" t="n">
        <v>3450</v>
      </c>
      <c r="E19" s="8" t="n">
        <v>3626</v>
      </c>
      <c r="F19" s="8" t="n">
        <v>3689</v>
      </c>
      <c r="G19" s="8" t="n">
        <v>3734</v>
      </c>
      <c r="H19" s="8" t="n">
        <v>3784</v>
      </c>
      <c r="I19" s="8" t="n">
        <v>3619</v>
      </c>
      <c r="J19" s="8" t="n">
        <v>3405</v>
      </c>
      <c r="K19" s="8" t="n">
        <v>3833</v>
      </c>
      <c r="L19" s="8" t="n">
        <v>4359</v>
      </c>
      <c r="M19" s="8" t="n">
        <v>4221</v>
      </c>
      <c r="N19" s="8" t="n">
        <v>4086</v>
      </c>
      <c r="O19" s="8" t="n">
        <v>4011</v>
      </c>
    </row>
    <row r="21" customFormat="false" ht="15" hidden="false" customHeight="false" outlineLevel="0" collapsed="false">
      <c r="A21" s="3" t="s">
        <v>38</v>
      </c>
      <c r="B21" s="8" t="n">
        <f aca="false">B12-B19</f>
        <v>7186</v>
      </c>
      <c r="C21" s="8" t="n">
        <f aca="false">C12-C19</f>
        <v>7113</v>
      </c>
      <c r="D21" s="8" t="n">
        <f aca="false">D12-D19</f>
        <v>7423</v>
      </c>
      <c r="E21" s="8" t="n">
        <f aca="false">E12-E19</f>
        <v>7519</v>
      </c>
      <c r="F21" s="8" t="n">
        <f aca="false">F12-F19</f>
        <v>7488</v>
      </c>
      <c r="G21" s="8" t="n">
        <f aca="false">G12-G19</f>
        <v>7546</v>
      </c>
      <c r="H21" s="8" t="n">
        <f aca="false">H12-H19</f>
        <v>8076</v>
      </c>
      <c r="I21" s="8" t="n">
        <f aca="false">I12-I19</f>
        <v>8098</v>
      </c>
      <c r="J21" s="8" t="n">
        <f aca="false">J12-J19</f>
        <v>8013</v>
      </c>
      <c r="K21" s="8" t="n">
        <f aca="false">K12-K19</f>
        <v>9995</v>
      </c>
      <c r="L21" s="8" t="n">
        <f aca="false">L12-L19</f>
        <v>12404</v>
      </c>
      <c r="M21" s="8" t="n">
        <f aca="false">M12-M19</f>
        <v>12466</v>
      </c>
      <c r="N21" s="8" t="n">
        <f aca="false">N12-N19</f>
        <v>12145</v>
      </c>
      <c r="O21" s="8" t="n">
        <f aca="false">O12-O19</f>
        <v>12374</v>
      </c>
    </row>
    <row r="23" customFormat="false" ht="15" hidden="false" customHeight="false" outlineLevel="0" collapsed="false">
      <c r="A23" s="5" t="s">
        <v>39</v>
      </c>
    </row>
    <row r="24" customFormat="false" ht="15" hidden="false" customHeight="false" outlineLevel="0" collapsed="false">
      <c r="A24" s="6" t="s">
        <v>40</v>
      </c>
      <c r="B24" s="13" t="n">
        <v>7186</v>
      </c>
      <c r="C24" s="13" t="n">
        <v>7113</v>
      </c>
      <c r="D24" s="13" t="n">
        <v>7423</v>
      </c>
      <c r="E24" s="13" t="n">
        <v>7519</v>
      </c>
      <c r="F24" s="13" t="n">
        <v>7488</v>
      </c>
      <c r="G24" s="13" t="n">
        <v>7546</v>
      </c>
      <c r="H24" s="13" t="n">
        <v>8076</v>
      </c>
      <c r="I24" s="13" t="n">
        <v>8098</v>
      </c>
      <c r="J24" s="13" t="n">
        <v>8013</v>
      </c>
      <c r="K24" s="13" t="n">
        <v>9995</v>
      </c>
      <c r="L24" s="13" t="n">
        <v>12404</v>
      </c>
      <c r="M24" s="13" t="n">
        <v>12466</v>
      </c>
      <c r="N24" s="13" t="n">
        <v>12145</v>
      </c>
      <c r="O24" s="13" t="n">
        <v>12374</v>
      </c>
    </row>
    <row r="25" customFormat="false" ht="15" hidden="false" customHeight="false" outlineLevel="0" collapsed="false">
      <c r="A25" s="3" t="s">
        <v>41</v>
      </c>
      <c r="B25" s="14" t="n">
        <f aca="false">IF(B24="","",B21-B24)</f>
        <v>0</v>
      </c>
      <c r="C25" s="14" t="n">
        <f aca="false">IF(C24="","",C21-C24)</f>
        <v>0</v>
      </c>
      <c r="D25" s="14" t="n">
        <f aca="false">IF(D24="","",D21-D24)</f>
        <v>0</v>
      </c>
      <c r="E25" s="14" t="n">
        <f aca="false">IF(E24="","",E21-E24)</f>
        <v>0</v>
      </c>
      <c r="F25" s="14" t="n">
        <f aca="false">IF(F24="","",F21-F24)</f>
        <v>0</v>
      </c>
      <c r="G25" s="14" t="n">
        <f aca="false">IF(G24="","",G21-G24)</f>
        <v>0</v>
      </c>
      <c r="H25" s="14" t="n">
        <f aca="false">IF(H24="","",H21-H24)</f>
        <v>0</v>
      </c>
      <c r="I25" s="14" t="n">
        <f aca="false">IF(I24="","",I21-I24)</f>
        <v>0</v>
      </c>
      <c r="J25" s="14" t="n">
        <f aca="false">IF(J24="","",J21-J24)</f>
        <v>0</v>
      </c>
      <c r="K25" s="14" t="n">
        <f aca="false">IF(K24="","",K21-K24)</f>
        <v>0</v>
      </c>
      <c r="L25" s="14" t="n">
        <f aca="false">IF(L24="","",L21-L24)</f>
        <v>0</v>
      </c>
      <c r="M25" s="14" t="n">
        <f aca="false">IF(M24="","",M21-M24)</f>
        <v>0</v>
      </c>
      <c r="N25" s="14" t="n">
        <f aca="false">IF(N24="","",N21-N24)</f>
        <v>0</v>
      </c>
      <c r="O25" s="14" t="n">
        <f aca="false">IF(O24="","",O21-O24)</f>
        <v>0</v>
      </c>
    </row>
    <row r="27" customFormat="false" ht="15" hidden="false" customHeight="false" outlineLevel="0" collapsed="false">
      <c r="A27" s="1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8"/>
  </cols>
  <sheetData>
    <row r="1" customFormat="false" ht="15" hidden="false" customHeight="false" outlineLevel="0" collapsed="false">
      <c r="A1" s="16" t="s">
        <v>43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8" t="s">
        <v>44</v>
      </c>
    </row>
    <row r="4" customFormat="false" ht="23.85" hidden="false" customHeight="false" outlineLevel="0" collapsed="false">
      <c r="A4" s="19" t="s">
        <v>45</v>
      </c>
    </row>
    <row r="5" customFormat="false" ht="15" hidden="false" customHeight="false" outlineLevel="0" collapsed="false">
      <c r="A5" s="17"/>
    </row>
    <row r="6" customFormat="false" ht="15" hidden="false" customHeight="false" outlineLevel="0" collapsed="false">
      <c r="A6" s="18" t="s">
        <v>46</v>
      </c>
    </row>
    <row r="7" customFormat="false" ht="15" hidden="false" customHeight="false" outlineLevel="0" collapsed="false">
      <c r="A7" s="19" t="s">
        <v>47</v>
      </c>
    </row>
    <row r="8" customFormat="false" ht="15" hidden="false" customHeight="false" outlineLevel="0" collapsed="false">
      <c r="A8" s="19" t="s">
        <v>48</v>
      </c>
    </row>
    <row r="9" customFormat="false" ht="15" hidden="false" customHeight="false" outlineLevel="0" collapsed="false">
      <c r="A9" s="19" t="s">
        <v>49</v>
      </c>
    </row>
    <row r="10" customFormat="false" ht="15" hidden="false" customHeight="false" outlineLevel="0" collapsed="false">
      <c r="A10" s="17"/>
    </row>
    <row r="11" customFormat="false" ht="15" hidden="false" customHeight="false" outlineLevel="0" collapsed="false">
      <c r="A11" s="18" t="s">
        <v>50</v>
      </c>
    </row>
    <row r="12" customFormat="false" ht="23.85" hidden="false" customHeight="false" outlineLevel="0" collapsed="false">
      <c r="A12" s="19" t="s">
        <v>51</v>
      </c>
    </row>
    <row r="13" customFormat="false" ht="15" hidden="false" customHeight="false" outlineLevel="0" collapsed="false">
      <c r="A13" s="17"/>
    </row>
    <row r="14" customFormat="false" ht="15" hidden="false" customHeight="false" outlineLevel="0" collapsed="false">
      <c r="A14" s="18" t="s">
        <v>52</v>
      </c>
    </row>
    <row r="15" customFormat="false" ht="23.85" hidden="false" customHeight="false" outlineLevel="0" collapsed="false">
      <c r="A15" s="19" t="s">
        <v>53</v>
      </c>
    </row>
    <row r="16" customFormat="false" ht="23.85" hidden="false" customHeight="false" outlineLevel="0" collapsed="false">
      <c r="A16" s="19" t="s">
        <v>54</v>
      </c>
    </row>
    <row r="17" customFormat="false" ht="23.85" hidden="false" customHeight="false" outlineLevel="0" collapsed="false">
      <c r="A17" s="19" t="s">
        <v>55</v>
      </c>
    </row>
    <row r="18" customFormat="false" ht="15" hidden="false" customHeight="false" outlineLevel="0" collapsed="false">
      <c r="A18" s="17"/>
    </row>
    <row r="19" customFormat="false" ht="15" hidden="false" customHeight="false" outlineLevel="0" collapsed="false">
      <c r="A19" s="18" t="s">
        <v>56</v>
      </c>
    </row>
    <row r="20" customFormat="false" ht="23.85" hidden="false" customHeight="false" outlineLevel="0" collapsed="false">
      <c r="A20" s="19" t="s">
        <v>57</v>
      </c>
    </row>
    <row r="21" customFormat="false" ht="15" hidden="false" customHeight="false" outlineLevel="0" collapsed="false">
      <c r="A21" s="17"/>
    </row>
    <row r="22" customFormat="false" ht="15" hidden="false" customHeight="false" outlineLevel="0" collapsed="false">
      <c r="A22" s="18" t="s">
        <v>58</v>
      </c>
    </row>
    <row r="23" customFormat="false" ht="15" hidden="false" customHeight="false" outlineLevel="0" collapsed="false">
      <c r="A23" s="19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2026-09-17T05:13:46Z</dcterms:created>
  <dc:creator>openpyxl</dc:creator>
  <dc:description/>
  <dc:language>en-US</dc:language>
  <cp:lastModifiedBy/>
  <dcterms:modified xsi:type="dcterms:W3CDTF">2026-09-17T05:13:46Z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