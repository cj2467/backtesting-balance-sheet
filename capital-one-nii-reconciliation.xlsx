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gment NII Recon" sheetId="1" state="visible" r:id="rId1"/>
    <sheet xmlns:r="http://schemas.openxmlformats.org/officeDocument/2006/relationships" name="Avg Bal &amp; Yield" sheetId="2" state="visible" r:id="rId2"/>
    <sheet xmlns:r="http://schemas.openxmlformats.org/officeDocument/2006/relationships" name="Rate-Volume" sheetId="3" state="visible" r:id="rId3"/>
    <sheet xmlns:r="http://schemas.openxmlformats.org/officeDocument/2006/relationships" name="Notes &amp; Sources" sheetId="4" state="visible" r:id="rId4"/>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00%);-"/>
  </numFmts>
  <fonts count="7">
    <font>
      <name val="Calibri"/>
      <family val="2"/>
      <color theme="1"/>
      <sz val="11"/>
      <scheme val="minor"/>
    </font>
    <font>
      <name val="Arial"/>
      <b val="1"/>
      <sz val="12"/>
    </font>
    <font>
      <name val="Arial"/>
      <i val="1"/>
      <color rgb="00595959"/>
      <sz val="9"/>
    </font>
    <font>
      <name val="Arial"/>
      <b val="1"/>
      <sz val="10"/>
    </font>
    <font>
      <name val="Arial"/>
      <b val="1"/>
      <sz val="10"/>
      <u val="single"/>
    </font>
    <font>
      <name val="Arial"/>
      <sz val="10"/>
    </font>
    <font>
      <name val="Arial"/>
      <color rgb="000000FF"/>
      <sz val="10"/>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top style="thin">
        <color rgb="00BFBFBF"/>
      </top>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applyAlignment="1" pivotButton="0" quotePrefix="0" xfId="0">
      <alignment horizontal="center"/>
    </xf>
    <xf numFmtId="0" fontId="4" fillId="0" borderId="0" pivotButton="0" quotePrefix="0" xfId="0"/>
    <xf numFmtId="0" fontId="5" fillId="0" borderId="0" pivotButton="0" quotePrefix="0" xfId="0"/>
    <xf numFmtId="164" fontId="6" fillId="0" borderId="0" pivotButton="0" quotePrefix="0" xfId="0"/>
    <xf numFmtId="164" fontId="3" fillId="0" borderId="1" pivotButton="0" quotePrefix="0" xfId="0"/>
    <xf numFmtId="165" fontId="3" fillId="3" borderId="0" pivotButton="0" quotePrefix="0" xfId="0"/>
    <xf numFmtId="166" fontId="6" fillId="0" borderId="0" pivotButton="0" quotePrefix="0" xfId="0"/>
    <xf numFmtId="165" fontId="5" fillId="3"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Capital One — Net Interest Income by Segment, and Reconciliation</t>
        </is>
      </c>
    </row>
    <row r="2">
      <c r="A2" s="2" t="inlineStr">
        <is>
          <t>Source: COF 10-Q/10-K, Segment Results and Reconciliation note. (D) = Q4 derived as FY − 9M; no 3-month Q4 segment table is reported.</t>
        </is>
      </c>
    </row>
    <row r="4">
      <c r="A4" s="3" t="inlineStr">
        <is>
          <t>($ in millions)</t>
        </is>
      </c>
      <c r="B4" s="4" t="inlineStr">
        <is>
          <t>2023Q1</t>
        </is>
      </c>
      <c r="C4" s="4" t="inlineStr">
        <is>
          <t>2023Q2</t>
        </is>
      </c>
      <c r="D4" s="4" t="inlineStr">
        <is>
          <t>2023Q3</t>
        </is>
      </c>
      <c r="E4" s="4" t="inlineStr">
        <is>
          <t>2023Q4 (D)</t>
        </is>
      </c>
      <c r="F4" s="4" t="inlineStr">
        <is>
          <t>2024Q1</t>
        </is>
      </c>
      <c r="G4" s="4" t="inlineStr">
        <is>
          <t>2024Q2</t>
        </is>
      </c>
      <c r="H4" s="4" t="inlineStr">
        <is>
          <t>2024Q3</t>
        </is>
      </c>
      <c r="I4" s="4" t="inlineStr">
        <is>
          <t>2024Q4 (D)</t>
        </is>
      </c>
      <c r="J4" s="4" t="inlineStr">
        <is>
          <t>2025Q1</t>
        </is>
      </c>
      <c r="K4" s="4" t="inlineStr">
        <is>
          <t>2025Q2</t>
        </is>
      </c>
      <c r="L4" s="4" t="inlineStr">
        <is>
          <t>2025Q3</t>
        </is>
      </c>
      <c r="M4" s="4" t="inlineStr">
        <is>
          <t>2025Q4 (D)</t>
        </is>
      </c>
      <c r="N4" s="4" t="inlineStr">
        <is>
          <t>2026Q1</t>
        </is>
      </c>
      <c r="O4" s="4" t="inlineStr">
        <is>
          <t>2026Q2</t>
        </is>
      </c>
    </row>
    <row r="5">
      <c r="A5" s="5" t="inlineStr">
        <is>
          <t>Net interest income by segment</t>
        </is>
      </c>
    </row>
    <row r="6">
      <c r="A6" s="6" t="inlineStr">
        <is>
          <t xml:space="preserve">  Credit Card</t>
        </is>
      </c>
      <c r="B6" s="7" t="n">
        <v>4657</v>
      </c>
      <c r="C6" s="7" t="n">
        <v>4727</v>
      </c>
      <c r="D6" s="7" t="n">
        <v>5114</v>
      </c>
      <c r="E6" s="7" t="n">
        <v>5231</v>
      </c>
      <c r="F6" s="7" t="n">
        <v>5272</v>
      </c>
      <c r="G6" s="7" t="n">
        <v>5294</v>
      </c>
      <c r="H6" s="7" t="n">
        <v>5743</v>
      </c>
      <c r="I6" s="7" t="n">
        <v>5779</v>
      </c>
      <c r="J6" s="7" t="n">
        <v>5654</v>
      </c>
      <c r="K6" s="7" t="n">
        <v>7293</v>
      </c>
      <c r="L6" s="7" t="n">
        <v>9396</v>
      </c>
      <c r="M6" s="7" t="n">
        <v>9479</v>
      </c>
      <c r="N6" s="7" t="n">
        <v>9236</v>
      </c>
      <c r="O6" s="7" t="n">
        <v>9252</v>
      </c>
    </row>
    <row r="7">
      <c r="A7" s="6" t="inlineStr">
        <is>
          <t xml:space="preserve">  Consumer Banking</t>
        </is>
      </c>
      <c r="B7" s="7" t="n">
        <v>2360</v>
      </c>
      <c r="C7" s="7" t="n">
        <v>2269</v>
      </c>
      <c r="D7" s="7" t="n">
        <v>2133</v>
      </c>
      <c r="E7" s="7" t="n">
        <v>1951</v>
      </c>
      <c r="F7" s="7" t="n">
        <v>2011</v>
      </c>
      <c r="G7" s="7" t="n">
        <v>2025</v>
      </c>
      <c r="H7" s="7" t="n">
        <v>2028</v>
      </c>
      <c r="I7" s="7" t="n">
        <v>1959</v>
      </c>
      <c r="J7" s="7" t="n">
        <v>1943</v>
      </c>
      <c r="K7" s="7" t="n">
        <v>2162</v>
      </c>
      <c r="L7" s="7" t="n">
        <v>2357</v>
      </c>
      <c r="M7" s="7" t="n">
        <v>2296</v>
      </c>
      <c r="N7" s="7" t="n">
        <v>2229</v>
      </c>
      <c r="O7" s="7" t="n">
        <v>2431</v>
      </c>
    </row>
    <row r="8">
      <c r="A8" s="6" t="inlineStr">
        <is>
          <t xml:space="preserve">  Commercial Banking</t>
        </is>
      </c>
      <c r="B8" s="7" t="n">
        <v>648</v>
      </c>
      <c r="C8" s="7" t="n">
        <v>632</v>
      </c>
      <c r="D8" s="7" t="n">
        <v>621</v>
      </c>
      <c r="E8" s="7" t="n">
        <v>617</v>
      </c>
      <c r="F8" s="7" t="n">
        <v>599</v>
      </c>
      <c r="G8" s="7" t="n">
        <v>609</v>
      </c>
      <c r="H8" s="7" t="n">
        <v>596</v>
      </c>
      <c r="I8" s="7" t="n">
        <v>587</v>
      </c>
      <c r="J8" s="7" t="n">
        <v>572</v>
      </c>
      <c r="K8" s="7" t="n">
        <v>602</v>
      </c>
      <c r="L8" s="7" t="n">
        <v>586</v>
      </c>
      <c r="M8" s="7" t="n">
        <v>574</v>
      </c>
      <c r="N8" s="7" t="n">
        <v>581</v>
      </c>
      <c r="O8" s="7" t="n">
        <v>585</v>
      </c>
    </row>
    <row r="9">
      <c r="A9" s="6" t="inlineStr">
        <is>
          <t xml:space="preserve">  Other</t>
        </is>
      </c>
      <c r="B9" s="7" t="n">
        <v>-479</v>
      </c>
      <c r="C9" s="7" t="n">
        <v>-515</v>
      </c>
      <c r="D9" s="7" t="n">
        <v>-445</v>
      </c>
      <c r="E9" s="7" t="n">
        <v>-280</v>
      </c>
      <c r="F9" s="7" t="n">
        <v>-394</v>
      </c>
      <c r="G9" s="7" t="n">
        <v>-382</v>
      </c>
      <c r="H9" s="7" t="n">
        <v>-291</v>
      </c>
      <c r="I9" s="7" t="n">
        <v>-227</v>
      </c>
      <c r="J9" s="7" t="n">
        <v>-156</v>
      </c>
      <c r="K9" s="7" t="n">
        <v>-62</v>
      </c>
      <c r="L9" s="7" t="n">
        <v>65</v>
      </c>
      <c r="M9" s="7" t="n">
        <v>117</v>
      </c>
      <c r="N9" s="7" t="n">
        <v>99</v>
      </c>
      <c r="O9" s="7" t="n">
        <v>106</v>
      </c>
    </row>
    <row r="10">
      <c r="A10" s="3" t="inlineStr">
        <is>
          <t>Sum of segments</t>
        </is>
      </c>
      <c r="B10" s="8">
        <f>SUM(B6:B9)</f>
        <v/>
      </c>
      <c r="C10" s="8">
        <f>SUM(C6:C9)</f>
        <v/>
      </c>
      <c r="D10" s="8">
        <f>SUM(D6:D9)</f>
        <v/>
      </c>
      <c r="E10" s="8">
        <f>SUM(E6:E9)</f>
        <v/>
      </c>
      <c r="F10" s="8">
        <f>SUM(F6:F9)</f>
        <v/>
      </c>
      <c r="G10" s="8">
        <f>SUM(G6:G9)</f>
        <v/>
      </c>
      <c r="H10" s="8">
        <f>SUM(H6:H9)</f>
        <v/>
      </c>
      <c r="I10" s="8">
        <f>SUM(I6:I9)</f>
        <v/>
      </c>
      <c r="J10" s="8">
        <f>SUM(J6:J9)</f>
        <v/>
      </c>
      <c r="K10" s="8">
        <f>SUM(K6:K9)</f>
        <v/>
      </c>
      <c r="L10" s="8">
        <f>SUM(L6:L9)</f>
        <v/>
      </c>
      <c r="M10" s="8">
        <f>SUM(M6:M9)</f>
        <v/>
      </c>
      <c r="N10" s="8">
        <f>SUM(N6:N9)</f>
        <v/>
      </c>
      <c r="O10" s="8">
        <f>SUM(O6:O9)</f>
        <v/>
      </c>
    </row>
    <row r="11">
      <c r="A11" s="3" t="inlineStr">
        <is>
          <t>Consolidated total (as reported)</t>
        </is>
      </c>
      <c r="B11" s="7" t="n">
        <v>7186</v>
      </c>
      <c r="C11" s="7" t="n">
        <v>7113</v>
      </c>
      <c r="D11" s="7" t="n">
        <v>7423</v>
      </c>
      <c r="E11" s="7" t="n">
        <v>7519</v>
      </c>
      <c r="F11" s="7" t="n">
        <v>7488</v>
      </c>
      <c r="G11" s="7" t="n">
        <v>7546</v>
      </c>
      <c r="H11" s="7" t="n">
        <v>8076</v>
      </c>
      <c r="I11" s="7" t="n">
        <v>8098</v>
      </c>
      <c r="J11" s="7" t="n">
        <v>8013</v>
      </c>
      <c r="K11" s="7" t="n">
        <v>9995</v>
      </c>
      <c r="L11" s="7" t="n">
        <v>12404</v>
      </c>
      <c r="M11" s="7" t="n">
        <v>12466</v>
      </c>
      <c r="N11" s="7" t="n">
        <v>12145</v>
      </c>
      <c r="O11" s="7" t="n">
        <v>12374</v>
      </c>
    </row>
    <row r="13">
      <c r="A13" s="3" t="inlineStr">
        <is>
          <t>CHECK: sum of segments − consolidated</t>
        </is>
      </c>
      <c r="B13" s="9">
        <f>B10-B11</f>
        <v/>
      </c>
      <c r="C13" s="9">
        <f>C10-C11</f>
        <v/>
      </c>
      <c r="D13" s="9">
        <f>D10-D11</f>
        <v/>
      </c>
      <c r="E13" s="9">
        <f>E10-E11</f>
        <v/>
      </c>
      <c r="F13" s="9">
        <f>F10-F11</f>
        <v/>
      </c>
      <c r="G13" s="9">
        <f>G10-G11</f>
        <v/>
      </c>
      <c r="H13" s="9">
        <f>H10-H11</f>
        <v/>
      </c>
      <c r="I13" s="9">
        <f>I10-I11</f>
        <v/>
      </c>
      <c r="J13" s="9">
        <f>J10-J11</f>
        <v/>
      </c>
      <c r="K13" s="9">
        <f>K10-K11</f>
        <v/>
      </c>
      <c r="L13" s="9">
        <f>L10-L11</f>
        <v/>
      </c>
      <c r="M13" s="9">
        <f>M10-M11</f>
        <v/>
      </c>
      <c r="N13" s="9">
        <f>N10-N11</f>
        <v/>
      </c>
      <c r="O13" s="9">
        <f>O10-O11</f>
        <v/>
      </c>
    </row>
    <row r="15">
      <c r="A15" s="5" t="inlineStr">
        <is>
          <t>Non-interest income</t>
        </is>
      </c>
    </row>
    <row r="16">
      <c r="A16" s="6" t="inlineStr">
        <is>
          <t xml:space="preserve">  Credit Card</t>
        </is>
      </c>
      <c r="B16" s="7" t="n">
        <v>1363</v>
      </c>
      <c r="C16" s="7" t="n"/>
      <c r="D16" s="7" t="n">
        <v>1513</v>
      </c>
      <c r="E16" s="7" t="n">
        <v>1565</v>
      </c>
      <c r="F16" s="7" t="n"/>
      <c r="G16" s="7" t="n">
        <v>1506</v>
      </c>
      <c r="H16" s="7" t="n">
        <v>1509</v>
      </c>
      <c r="I16" s="7" t="n">
        <v>1585</v>
      </c>
      <c r="J16" s="7" t="n">
        <v>1511</v>
      </c>
      <c r="K16" s="7" t="n">
        <v>1802</v>
      </c>
      <c r="L16" s="7" t="n">
        <v>2211</v>
      </c>
      <c r="M16" s="7" t="n">
        <v>2214</v>
      </c>
      <c r="N16" s="7" t="n">
        <v>2153</v>
      </c>
      <c r="O16" s="7" t="n">
        <v>2513</v>
      </c>
    </row>
    <row r="17">
      <c r="A17" s="6" t="inlineStr">
        <is>
          <t xml:space="preserve">  Consumer Banking</t>
        </is>
      </c>
      <c r="B17" s="7" t="n">
        <v>135</v>
      </c>
      <c r="C17" s="7" t="n"/>
      <c r="D17" s="7" t="n">
        <v>142</v>
      </c>
      <c r="E17" s="7" t="n">
        <v>163</v>
      </c>
      <c r="F17" s="7" t="n"/>
      <c r="G17" s="7" t="n">
        <v>172</v>
      </c>
      <c r="H17" s="7" t="n">
        <v>182</v>
      </c>
      <c r="I17" s="7" t="n">
        <v>182</v>
      </c>
      <c r="J17" s="7" t="n">
        <v>183</v>
      </c>
      <c r="K17" s="7" t="n">
        <v>394</v>
      </c>
      <c r="L17" s="7" t="n">
        <v>475</v>
      </c>
      <c r="M17" s="7" t="n">
        <v>623</v>
      </c>
      <c r="N17" s="7" t="n">
        <v>683</v>
      </c>
      <c r="O17" s="7" t="n">
        <v>778</v>
      </c>
    </row>
    <row r="18">
      <c r="A18" s="6" t="inlineStr">
        <is>
          <t xml:space="preserve">  Commercial Banking</t>
        </is>
      </c>
      <c r="B18" s="7" t="n">
        <v>212</v>
      </c>
      <c r="C18" s="7" t="n"/>
      <c r="D18" s="7" t="n">
        <v>288</v>
      </c>
      <c r="E18" s="7" t="n">
        <v>245</v>
      </c>
      <c r="F18" s="7" t="n"/>
      <c r="G18" s="7" t="n">
        <v>271</v>
      </c>
      <c r="H18" s="7" t="n">
        <v>292</v>
      </c>
      <c r="I18" s="7" t="n">
        <v>366</v>
      </c>
      <c r="J18" s="7" t="n">
        <v>312</v>
      </c>
      <c r="K18" s="7" t="n">
        <v>335</v>
      </c>
      <c r="L18" s="7" t="n">
        <v>318</v>
      </c>
      <c r="M18" s="7" t="n">
        <v>356</v>
      </c>
      <c r="N18" s="7" t="n">
        <v>328</v>
      </c>
      <c r="O18" s="7" t="n">
        <v>265</v>
      </c>
    </row>
    <row r="19">
      <c r="A19" s="6" t="inlineStr">
        <is>
          <t xml:space="preserve">  Other</t>
        </is>
      </c>
      <c r="B19" s="7" t="n">
        <v>7</v>
      </c>
      <c r="C19" s="7" t="n"/>
      <c r="D19" s="7" t="n">
        <v>0</v>
      </c>
      <c r="E19" s="7" t="n">
        <v>14</v>
      </c>
      <c r="F19" s="7" t="n"/>
      <c r="G19" s="7" t="n">
        <v>11</v>
      </c>
      <c r="H19" s="7" t="n">
        <v>-45</v>
      </c>
      <c r="I19" s="7" t="n">
        <v>-41</v>
      </c>
      <c r="J19" s="7" t="n">
        <v>-19</v>
      </c>
      <c r="K19" s="7" t="n">
        <v>-34</v>
      </c>
      <c r="L19" s="7" t="n">
        <v>-49</v>
      </c>
      <c r="M19" s="7" t="n">
        <v>-76</v>
      </c>
      <c r="N19" s="7" t="n">
        <v>-78</v>
      </c>
      <c r="O19" s="7" t="n">
        <v>-80</v>
      </c>
    </row>
    <row r="20">
      <c r="A20" s="3" t="inlineStr">
        <is>
          <t xml:space="preserve">  Sum of segments</t>
        </is>
      </c>
      <c r="B20" s="8">
        <f>SUM(B16:B19)</f>
        <v/>
      </c>
      <c r="C20" s="8">
        <f>SUM(C16:C19)</f>
        <v/>
      </c>
      <c r="D20" s="8">
        <f>SUM(D16:D19)</f>
        <v/>
      </c>
      <c r="E20" s="8">
        <f>SUM(E16:E19)</f>
        <v/>
      </c>
      <c r="F20" s="8">
        <f>SUM(F16:F19)</f>
        <v/>
      </c>
      <c r="G20" s="8">
        <f>SUM(G16:G19)</f>
        <v/>
      </c>
      <c r="H20" s="8">
        <f>SUM(H16:H19)</f>
        <v/>
      </c>
      <c r="I20" s="8">
        <f>SUM(I16:I19)</f>
        <v/>
      </c>
      <c r="J20" s="8">
        <f>SUM(J16:J19)</f>
        <v/>
      </c>
      <c r="K20" s="8">
        <f>SUM(K16:K19)</f>
        <v/>
      </c>
      <c r="L20" s="8">
        <f>SUM(L16:L19)</f>
        <v/>
      </c>
      <c r="M20" s="8">
        <f>SUM(M16:M19)</f>
        <v/>
      </c>
      <c r="N20" s="8">
        <f>SUM(N16:N19)</f>
        <v/>
      </c>
      <c r="O20" s="8">
        <f>SUM(O16:O19)</f>
        <v/>
      </c>
    </row>
    <row r="21">
      <c r="A21" s="6" t="inlineStr">
        <is>
          <t xml:space="preserve">  Consolidated (as reported)</t>
        </is>
      </c>
      <c r="B21" s="7" t="n">
        <v>1717</v>
      </c>
      <c r="C21" s="7" t="n"/>
      <c r="D21" s="7" t="n">
        <v>1943</v>
      </c>
      <c r="E21" s="7" t="n">
        <v>1987</v>
      </c>
      <c r="F21" s="7" t="n"/>
      <c r="G21" s="7" t="n">
        <v>1960</v>
      </c>
      <c r="H21" s="7" t="n">
        <v>1938</v>
      </c>
      <c r="I21" s="7" t="n">
        <v>2092</v>
      </c>
      <c r="J21" s="7" t="n">
        <v>1987</v>
      </c>
      <c r="K21" s="7" t="n">
        <v>2497</v>
      </c>
      <c r="L21" s="7" t="n">
        <v>2955</v>
      </c>
      <c r="M21" s="7" t="n">
        <v>3117</v>
      </c>
      <c r="N21" s="7" t="n">
        <v>3086</v>
      </c>
      <c r="O21" s="7" t="n">
        <v>3476</v>
      </c>
    </row>
    <row r="22">
      <c r="A22" s="3" t="inlineStr">
        <is>
          <t xml:space="preserve">  CHECK</t>
        </is>
      </c>
      <c r="B22" s="9">
        <f>B20-B21</f>
        <v/>
      </c>
      <c r="C22" s="9">
        <f>C20-C21</f>
        <v/>
      </c>
      <c r="D22" s="9">
        <f>D20-D21</f>
        <v/>
      </c>
      <c r="E22" s="9">
        <f>E20-E21</f>
        <v/>
      </c>
      <c r="F22" s="9">
        <f>F20-F21</f>
        <v/>
      </c>
      <c r="G22" s="9">
        <f>G20-G21</f>
        <v/>
      </c>
      <c r="H22" s="9">
        <f>H20-H21</f>
        <v/>
      </c>
      <c r="I22" s="9">
        <f>I20-I21</f>
        <v/>
      </c>
      <c r="J22" s="9">
        <f>J20-J21</f>
        <v/>
      </c>
      <c r="K22" s="9">
        <f>K20-K21</f>
        <v/>
      </c>
      <c r="L22" s="9">
        <f>L20-L21</f>
        <v/>
      </c>
      <c r="M22" s="9">
        <f>M20-M21</f>
        <v/>
      </c>
      <c r="N22" s="9">
        <f>N20-N21</f>
        <v/>
      </c>
      <c r="O22" s="9">
        <f>O20-O21</f>
        <v/>
      </c>
    </row>
    <row r="24">
      <c r="A24" s="5" t="inlineStr">
        <is>
          <t>Total net revenue</t>
        </is>
      </c>
    </row>
    <row r="25">
      <c r="A25" s="6" t="inlineStr">
        <is>
          <t xml:space="preserve">  Credit Card</t>
        </is>
      </c>
      <c r="B25" s="7" t="n">
        <v>6020</v>
      </c>
      <c r="C25" s="7" t="n">
        <v>6226</v>
      </c>
      <c r="D25" s="7" t="n">
        <v>6627</v>
      </c>
      <c r="E25" s="7" t="n">
        <v>6796</v>
      </c>
      <c r="F25" s="7" t="n">
        <v>6748</v>
      </c>
      <c r="G25" s="7" t="n">
        <v>6800</v>
      </c>
      <c r="H25" s="7" t="n">
        <v>7252</v>
      </c>
      <c r="I25" s="7" t="n">
        <v>7364</v>
      </c>
      <c r="J25" s="7" t="n">
        <v>7165</v>
      </c>
      <c r="K25" s="7" t="n">
        <v>9095</v>
      </c>
      <c r="L25" s="7" t="n">
        <v>11607</v>
      </c>
      <c r="M25" s="7" t="n">
        <v>11693</v>
      </c>
      <c r="N25" s="7" t="n">
        <v>11389</v>
      </c>
      <c r="O25" s="7" t="n">
        <v>11765</v>
      </c>
    </row>
    <row r="26">
      <c r="A26" s="6" t="inlineStr">
        <is>
          <t xml:space="preserve">  Consumer Banking</t>
        </is>
      </c>
      <c r="B26" s="7" t="n">
        <v>2495</v>
      </c>
      <c r="C26" s="7" t="n">
        <v>2418</v>
      </c>
      <c r="D26" s="7" t="n">
        <v>2275</v>
      </c>
      <c r="E26" s="7" t="n">
        <v>2114</v>
      </c>
      <c r="F26" s="7" t="n">
        <v>2170</v>
      </c>
      <c r="G26" s="7" t="n">
        <v>2197</v>
      </c>
      <c r="H26" s="7" t="n">
        <v>2210</v>
      </c>
      <c r="I26" s="7" t="n">
        <v>2141</v>
      </c>
      <c r="J26" s="7" t="n">
        <v>2126</v>
      </c>
      <c r="K26" s="7" t="n">
        <v>2556</v>
      </c>
      <c r="L26" s="7" t="n">
        <v>2832</v>
      </c>
      <c r="M26" s="7" t="n">
        <v>2919</v>
      </c>
      <c r="N26" s="7" t="n">
        <v>2912</v>
      </c>
      <c r="O26" s="7" t="n">
        <v>3209</v>
      </c>
    </row>
    <row r="27">
      <c r="A27" s="6" t="inlineStr">
        <is>
          <t xml:space="preserve">  Commercial Banking</t>
        </is>
      </c>
      <c r="B27" s="7" t="n">
        <v>860</v>
      </c>
      <c r="C27" s="7" t="n">
        <v>889</v>
      </c>
      <c r="D27" s="7" t="n">
        <v>909</v>
      </c>
      <c r="E27" s="7" t="n">
        <v>862</v>
      </c>
      <c r="F27" s="7" t="n">
        <v>880</v>
      </c>
      <c r="G27" s="7" t="n">
        <v>880</v>
      </c>
      <c r="H27" s="7" t="n">
        <v>888</v>
      </c>
      <c r="I27" s="7" t="n">
        <v>953</v>
      </c>
      <c r="J27" s="7" t="n">
        <v>884</v>
      </c>
      <c r="K27" s="7" t="n">
        <v>937</v>
      </c>
      <c r="L27" s="7" t="n">
        <v>904</v>
      </c>
      <c r="M27" s="7" t="n">
        <v>930</v>
      </c>
      <c r="N27" s="7" t="n">
        <v>909</v>
      </c>
      <c r="O27" s="7" t="n">
        <v>850</v>
      </c>
    </row>
    <row r="28">
      <c r="A28" s="6" t="inlineStr">
        <is>
          <t xml:space="preserve">  Other</t>
        </is>
      </c>
      <c r="B28" s="7" t="n">
        <v>-472</v>
      </c>
      <c r="C28" s="7" t="n">
        <v>-521</v>
      </c>
      <c r="D28" s="7" t="n">
        <v>-445</v>
      </c>
      <c r="E28" s="7" t="n">
        <v>-266</v>
      </c>
      <c r="F28" s="7" t="n">
        <v>-396</v>
      </c>
      <c r="G28" s="7" t="n">
        <v>-371</v>
      </c>
      <c r="H28" s="7" t="n">
        <v>-336</v>
      </c>
      <c r="I28" s="7" t="n">
        <v>-268</v>
      </c>
      <c r="J28" s="7" t="n">
        <v>-175</v>
      </c>
      <c r="K28" s="7" t="n">
        <v>-96</v>
      </c>
      <c r="L28" s="7" t="n">
        <v>16</v>
      </c>
      <c r="M28" s="7" t="n">
        <v>41</v>
      </c>
      <c r="N28" s="7" t="n">
        <v>21</v>
      </c>
      <c r="O28" s="7" t="n">
        <v>26</v>
      </c>
    </row>
    <row r="29">
      <c r="A29" s="3" t="inlineStr">
        <is>
          <t xml:space="preserve">  Sum of segments</t>
        </is>
      </c>
      <c r="B29" s="8">
        <f>SUM(B25:B28)</f>
        <v/>
      </c>
      <c r="C29" s="8">
        <f>SUM(C25:C28)</f>
        <v/>
      </c>
      <c r="D29" s="8">
        <f>SUM(D25:D28)</f>
        <v/>
      </c>
      <c r="E29" s="8">
        <f>SUM(E25:E28)</f>
        <v/>
      </c>
      <c r="F29" s="8">
        <f>SUM(F25:F28)</f>
        <v/>
      </c>
      <c r="G29" s="8">
        <f>SUM(G25:G28)</f>
        <v/>
      </c>
      <c r="H29" s="8">
        <f>SUM(H25:H28)</f>
        <v/>
      </c>
      <c r="I29" s="8">
        <f>SUM(I25:I28)</f>
        <v/>
      </c>
      <c r="J29" s="8">
        <f>SUM(J25:J28)</f>
        <v/>
      </c>
      <c r="K29" s="8">
        <f>SUM(K25:K28)</f>
        <v/>
      </c>
      <c r="L29" s="8">
        <f>SUM(L25:L28)</f>
        <v/>
      </c>
      <c r="M29" s="8">
        <f>SUM(M25:M28)</f>
        <v/>
      </c>
      <c r="N29" s="8">
        <f>SUM(N25:N28)</f>
        <v/>
      </c>
      <c r="O29" s="8">
        <f>SUM(O25:O28)</f>
        <v/>
      </c>
    </row>
    <row r="30">
      <c r="A30" s="6" t="inlineStr">
        <is>
          <t xml:space="preserve">  Consolidated (as reported)</t>
        </is>
      </c>
      <c r="B30" s="7" t="n">
        <v>8903</v>
      </c>
      <c r="C30" s="7" t="n">
        <v>9012</v>
      </c>
      <c r="D30" s="7" t="n">
        <v>9366</v>
      </c>
      <c r="E30" s="7" t="n">
        <v>9506</v>
      </c>
      <c r="F30" s="7" t="n">
        <v>9402</v>
      </c>
      <c r="G30" s="7" t="n">
        <v>9506</v>
      </c>
      <c r="H30" s="7" t="n">
        <v>10014</v>
      </c>
      <c r="I30" s="7" t="n">
        <v>10190</v>
      </c>
      <c r="J30" s="7" t="n">
        <v>10000</v>
      </c>
      <c r="K30" s="7" t="n">
        <v>12492</v>
      </c>
      <c r="L30" s="7" t="n">
        <v>15359</v>
      </c>
      <c r="M30" s="7" t="n">
        <v>15583</v>
      </c>
      <c r="N30" s="7" t="n">
        <v>15231</v>
      </c>
      <c r="O30" s="7" t="n">
        <v>15850</v>
      </c>
    </row>
    <row r="31">
      <c r="A31" s="3" t="inlineStr">
        <is>
          <t xml:space="preserve">  CHECK</t>
        </is>
      </c>
      <c r="B31" s="9">
        <f>B29-B30</f>
        <v/>
      </c>
      <c r="C31" s="9">
        <f>C29-C30</f>
        <v/>
      </c>
      <c r="D31" s="9">
        <f>D29-D30</f>
        <v/>
      </c>
      <c r="E31" s="9">
        <f>E29-E30</f>
        <v/>
      </c>
      <c r="F31" s="9">
        <f>F29-F30</f>
        <v/>
      </c>
      <c r="G31" s="9">
        <f>G29-G30</f>
        <v/>
      </c>
      <c r="H31" s="9">
        <f>H29-H30</f>
        <v/>
      </c>
      <c r="I31" s="9">
        <f>I29-I30</f>
        <v/>
      </c>
      <c r="J31" s="9">
        <f>J29-J30</f>
        <v/>
      </c>
      <c r="K31" s="9">
        <f>K29-K30</f>
        <v/>
      </c>
      <c r="L31" s="9">
        <f>L29-L30</f>
        <v/>
      </c>
      <c r="M31" s="9">
        <f>M29-M30</f>
        <v/>
      </c>
      <c r="N31" s="9">
        <f>N29-N30</f>
        <v/>
      </c>
      <c r="O31" s="9">
        <f>O29-O30</f>
        <v/>
      </c>
    </row>
    <row r="33">
      <c r="A33" s="5" t="inlineStr">
        <is>
          <t>Provision for credit losses</t>
        </is>
      </c>
    </row>
    <row r="34">
      <c r="A34" s="6" t="inlineStr">
        <is>
          <t xml:space="preserve">  Credit Card</t>
        </is>
      </c>
      <c r="B34" s="7" t="n">
        <v>2261</v>
      </c>
      <c r="C34" s="7" t="n">
        <v>2084</v>
      </c>
      <c r="D34" s="7" t="n">
        <v>1953</v>
      </c>
      <c r="E34" s="7" t="n">
        <v>2353</v>
      </c>
      <c r="F34" s="7" t="n"/>
      <c r="G34" s="7" t="n">
        <v>3545</v>
      </c>
      <c r="H34" s="7" t="n"/>
      <c r="I34" s="7" t="n"/>
      <c r="J34" s="7" t="n">
        <v>1926</v>
      </c>
      <c r="K34" s="7" t="n"/>
      <c r="L34" s="7" t="n">
        <v>2364</v>
      </c>
      <c r="M34" s="7" t="n">
        <v>3678</v>
      </c>
      <c r="N34" s="7" t="n">
        <v>3411</v>
      </c>
      <c r="O34" s="7" t="n"/>
    </row>
    <row r="35">
      <c r="A35" s="6" t="inlineStr">
        <is>
          <t xml:space="preserve">  Consumer Banking</t>
        </is>
      </c>
      <c r="B35" s="7" t="n">
        <v>275</v>
      </c>
      <c r="C35" s="7" t="n">
        <v>259</v>
      </c>
      <c r="D35" s="7" t="n">
        <v>213</v>
      </c>
      <c r="E35" s="7" t="n">
        <v>422</v>
      </c>
      <c r="F35" s="7" t="n"/>
      <c r="G35" s="7" t="n">
        <v>330</v>
      </c>
      <c r="H35" s="7" t="n"/>
      <c r="I35" s="7" t="n"/>
      <c r="J35" s="7" t="n">
        <v>301</v>
      </c>
      <c r="K35" s="7" t="n"/>
      <c r="L35" s="7" t="n">
        <v>340</v>
      </c>
      <c r="M35" s="7" t="n">
        <v>409</v>
      </c>
      <c r="N35" s="7" t="n">
        <v>519</v>
      </c>
      <c r="O35" s="7" t="n"/>
    </row>
    <row r="36">
      <c r="A36" s="6" t="inlineStr">
        <is>
          <t xml:space="preserve">  Commercial Banking</t>
        </is>
      </c>
      <c r="B36" s="7" t="n">
        <v>259</v>
      </c>
      <c r="C36" s="7" t="n">
        <v>146</v>
      </c>
      <c r="D36" s="7" t="n">
        <v>116</v>
      </c>
      <c r="E36" s="7" t="n">
        <v>84</v>
      </c>
      <c r="F36" s="7" t="n"/>
      <c r="G36" s="7" t="n">
        <v>34</v>
      </c>
      <c r="H36" s="7" t="n"/>
      <c r="I36" s="7" t="n"/>
      <c r="J36" s="7" t="n">
        <v>142</v>
      </c>
      <c r="K36" s="7" t="n"/>
      <c r="L36" s="7" t="n">
        <v>9</v>
      </c>
      <c r="M36" s="7" t="n">
        <v>55</v>
      </c>
      <c r="N36" s="7" t="n">
        <v>138</v>
      </c>
      <c r="O36" s="7" t="n"/>
    </row>
    <row r="37">
      <c r="A37" s="6" t="inlineStr">
        <is>
          <t xml:space="preserve">  Other</t>
        </is>
      </c>
      <c r="B37" s="7" t="n">
        <v>0</v>
      </c>
      <c r="C37" s="7" t="n">
        <v>1</v>
      </c>
      <c r="D37" s="7" t="n">
        <v>2</v>
      </c>
      <c r="E37" s="7" t="n">
        <v>-2</v>
      </c>
      <c r="F37" s="7" t="n"/>
      <c r="G37" s="7" t="n">
        <v>0</v>
      </c>
      <c r="H37" s="7" t="n"/>
      <c r="I37" s="7" t="n"/>
      <c r="J37" s="7" t="n">
        <v>0</v>
      </c>
      <c r="K37" s="7" t="n"/>
      <c r="L37" s="7" t="n">
        <v>1</v>
      </c>
      <c r="M37" s="7" t="n">
        <v>0</v>
      </c>
      <c r="N37" s="7" t="n">
        <v>0</v>
      </c>
      <c r="O37" s="7" t="n"/>
    </row>
    <row r="38">
      <c r="A38" s="3" t="inlineStr">
        <is>
          <t xml:space="preserve">  Sum of segments</t>
        </is>
      </c>
      <c r="B38" s="8">
        <f>SUM(B34:B37)</f>
        <v/>
      </c>
      <c r="C38" s="8">
        <f>SUM(C34:C37)</f>
        <v/>
      </c>
      <c r="D38" s="8">
        <f>SUM(D34:D37)</f>
        <v/>
      </c>
      <c r="E38" s="8">
        <f>SUM(E34:E37)</f>
        <v/>
      </c>
      <c r="F38" s="8">
        <f>SUM(F34:F37)</f>
        <v/>
      </c>
      <c r="G38" s="8">
        <f>SUM(G34:G37)</f>
        <v/>
      </c>
      <c r="H38" s="8">
        <f>SUM(H34:H37)</f>
        <v/>
      </c>
      <c r="I38" s="8">
        <f>SUM(I34:I37)</f>
        <v/>
      </c>
      <c r="J38" s="8">
        <f>SUM(J34:J37)</f>
        <v/>
      </c>
      <c r="K38" s="8">
        <f>SUM(K34:K37)</f>
        <v/>
      </c>
      <c r="L38" s="8">
        <f>SUM(L34:L37)</f>
        <v/>
      </c>
      <c r="M38" s="8">
        <f>SUM(M34:M37)</f>
        <v/>
      </c>
      <c r="N38" s="8">
        <f>SUM(N34:N37)</f>
        <v/>
      </c>
      <c r="O38" s="8">
        <f>SUM(O34:O37)</f>
        <v/>
      </c>
    </row>
    <row r="39">
      <c r="A39" s="6" t="inlineStr">
        <is>
          <t xml:space="preserve">  Consolidated (as reported)</t>
        </is>
      </c>
      <c r="B39" s="7" t="n">
        <v>2795</v>
      </c>
      <c r="C39" s="7" t="n">
        <v>2490</v>
      </c>
      <c r="D39" s="7" t="n">
        <v>2284</v>
      </c>
      <c r="E39" s="7" t="n">
        <v>2857</v>
      </c>
      <c r="F39" s="7" t="n"/>
      <c r="G39" s="7" t="n">
        <v>3909</v>
      </c>
      <c r="H39" s="7" t="n"/>
      <c r="I39" s="7" t="n"/>
      <c r="J39" s="7" t="n">
        <v>2369</v>
      </c>
      <c r="K39" s="7" t="n"/>
      <c r="L39" s="7" t="n">
        <v>2714</v>
      </c>
      <c r="M39" s="7" t="n">
        <v>4142</v>
      </c>
      <c r="N39" s="7" t="n">
        <v>4068</v>
      </c>
      <c r="O39" s="7" t="n"/>
    </row>
    <row r="40">
      <c r="A40" s="3" t="inlineStr">
        <is>
          <t xml:space="preserve">  CHECK</t>
        </is>
      </c>
      <c r="B40" s="9">
        <f>B38-B39</f>
        <v/>
      </c>
      <c r="C40" s="9">
        <f>C38-C39</f>
        <v/>
      </c>
      <c r="D40" s="9">
        <f>D38-D39</f>
        <v/>
      </c>
      <c r="E40" s="9">
        <f>E38-E39</f>
        <v/>
      </c>
      <c r="F40" s="9">
        <f>F38-F39</f>
        <v/>
      </c>
      <c r="G40" s="9">
        <f>G38-G39</f>
        <v/>
      </c>
      <c r="H40" s="9">
        <f>H38-H39</f>
        <v/>
      </c>
      <c r="I40" s="9">
        <f>I38-I39</f>
        <v/>
      </c>
      <c r="J40" s="9">
        <f>J38-J39</f>
        <v/>
      </c>
      <c r="K40" s="9">
        <f>K38-K39</f>
        <v/>
      </c>
      <c r="L40" s="9">
        <f>L38-L39</f>
        <v/>
      </c>
      <c r="M40" s="9">
        <f>M38-M39</f>
        <v/>
      </c>
      <c r="N40" s="9">
        <f>N38-N39</f>
        <v/>
      </c>
      <c r="O40" s="9">
        <f>O38-O39</f>
        <v/>
      </c>
    </row>
    <row r="42">
      <c r="A42" s="5" t="inlineStr">
        <is>
          <t>Non-interest expense</t>
        </is>
      </c>
    </row>
    <row r="43">
      <c r="A43" s="6" t="inlineStr">
        <is>
          <t xml:space="preserve">  Credit Card</t>
        </is>
      </c>
      <c r="B43" s="7" t="n">
        <v>3038</v>
      </c>
      <c r="C43" s="7" t="n">
        <v>3020</v>
      </c>
      <c r="D43" s="7" t="n">
        <v>3015</v>
      </c>
      <c r="E43" s="7" t="n">
        <v>3417</v>
      </c>
      <c r="F43" s="7" t="n">
        <v>3229</v>
      </c>
      <c r="G43" s="7" t="n">
        <v>3134</v>
      </c>
      <c r="H43" s="7" t="n">
        <v>3367</v>
      </c>
      <c r="I43" s="7" t="n">
        <v>3846</v>
      </c>
      <c r="J43" s="7" t="n">
        <v>3638</v>
      </c>
      <c r="K43" s="7" t="n">
        <v>4447</v>
      </c>
      <c r="L43" s="7" t="n">
        <v>5409</v>
      </c>
      <c r="M43" s="7" t="n">
        <v>6147</v>
      </c>
      <c r="N43" s="7" t="n">
        <v>5501</v>
      </c>
      <c r="O43" s="7" t="n">
        <v>6098</v>
      </c>
    </row>
    <row r="44">
      <c r="A44" s="6" t="inlineStr">
        <is>
          <t xml:space="preserve">  Consumer Banking</t>
        </is>
      </c>
      <c r="B44" s="7" t="n">
        <v>1283</v>
      </c>
      <c r="C44" s="7" t="n">
        <v>1231</v>
      </c>
      <c r="D44" s="7" t="n">
        <v>1262</v>
      </c>
      <c r="E44" s="7" t="n">
        <v>1402</v>
      </c>
      <c r="F44" s="7" t="n">
        <v>1246</v>
      </c>
      <c r="G44" s="7" t="n">
        <v>1250</v>
      </c>
      <c r="H44" s="7" t="n">
        <v>1331</v>
      </c>
      <c r="I44" s="7" t="n">
        <v>1545</v>
      </c>
      <c r="J44" s="7" t="n">
        <v>1581</v>
      </c>
      <c r="K44" s="7" t="n">
        <v>1713</v>
      </c>
      <c r="L44" s="7" t="n">
        <v>1941</v>
      </c>
      <c r="M44" s="7" t="n">
        <v>2289</v>
      </c>
      <c r="N44" s="7" t="n">
        <v>1998</v>
      </c>
      <c r="O44" s="7" t="n">
        <v>2121</v>
      </c>
    </row>
    <row r="45">
      <c r="A45" s="6" t="inlineStr">
        <is>
          <t xml:space="preserve">  Commercial Banking</t>
        </is>
      </c>
      <c r="B45" s="7" t="n">
        <v>530</v>
      </c>
      <c r="C45" s="7" t="n">
        <v>482</v>
      </c>
      <c r="D45" s="7" t="n">
        <v>512</v>
      </c>
      <c r="E45" s="7" t="n">
        <v>487</v>
      </c>
      <c r="F45" s="7" t="n">
        <v>515</v>
      </c>
      <c r="G45" s="7" t="n">
        <v>483</v>
      </c>
      <c r="H45" s="7" t="n">
        <v>495</v>
      </c>
      <c r="I45" s="7" t="n">
        <v>518</v>
      </c>
      <c r="J45" s="7" t="n">
        <v>486</v>
      </c>
      <c r="K45" s="7" t="n">
        <v>489</v>
      </c>
      <c r="L45" s="7" t="n">
        <v>520</v>
      </c>
      <c r="M45" s="7" t="n">
        <v>504</v>
      </c>
      <c r="N45" s="7" t="n">
        <v>498</v>
      </c>
      <c r="O45" s="7" t="n">
        <v>462</v>
      </c>
    </row>
    <row r="46">
      <c r="A46" s="6" t="inlineStr">
        <is>
          <t xml:space="preserve">  Other</t>
        </is>
      </c>
      <c r="B46" s="7" t="n">
        <v>94</v>
      </c>
      <c r="C46" s="7" t="n">
        <v>61</v>
      </c>
      <c r="D46" s="7" t="n">
        <v>71</v>
      </c>
      <c r="E46" s="7" t="n">
        <v>411</v>
      </c>
      <c r="F46" s="7" t="n">
        <v>147</v>
      </c>
      <c r="G46" s="7" t="n">
        <v>79</v>
      </c>
      <c r="H46" s="7" t="n">
        <v>121</v>
      </c>
      <c r="I46" s="7" t="n">
        <v>180</v>
      </c>
      <c r="J46" s="7" t="n">
        <v>197</v>
      </c>
      <c r="K46" s="7" t="n">
        <v>342</v>
      </c>
      <c r="L46" s="7" t="n">
        <v>393</v>
      </c>
      <c r="M46" s="7" t="n">
        <v>402</v>
      </c>
      <c r="N46" s="7" t="n">
        <v>467</v>
      </c>
      <c r="O46" s="7" t="n">
        <v>362</v>
      </c>
    </row>
    <row r="47">
      <c r="A47" s="3" t="inlineStr">
        <is>
          <t xml:space="preserve">  Sum of segments</t>
        </is>
      </c>
      <c r="B47" s="8">
        <f>SUM(B43:B46)</f>
        <v/>
      </c>
      <c r="C47" s="8">
        <f>SUM(C43:C46)</f>
        <v/>
      </c>
      <c r="D47" s="8">
        <f>SUM(D43:D46)</f>
        <v/>
      </c>
      <c r="E47" s="8">
        <f>SUM(E43:E46)</f>
        <v/>
      </c>
      <c r="F47" s="8">
        <f>SUM(F43:F46)</f>
        <v/>
      </c>
      <c r="G47" s="8">
        <f>SUM(G43:G46)</f>
        <v/>
      </c>
      <c r="H47" s="8">
        <f>SUM(H43:H46)</f>
        <v/>
      </c>
      <c r="I47" s="8">
        <f>SUM(I43:I46)</f>
        <v/>
      </c>
      <c r="J47" s="8">
        <f>SUM(J43:J46)</f>
        <v/>
      </c>
      <c r="K47" s="8">
        <f>SUM(K43:K46)</f>
        <v/>
      </c>
      <c r="L47" s="8">
        <f>SUM(L43:L46)</f>
        <v/>
      </c>
      <c r="M47" s="8">
        <f>SUM(M43:M46)</f>
        <v/>
      </c>
      <c r="N47" s="8">
        <f>SUM(N43:N46)</f>
        <v/>
      </c>
      <c r="O47" s="8">
        <f>SUM(O43:O46)</f>
        <v/>
      </c>
    </row>
    <row r="48">
      <c r="A48" s="6" t="inlineStr">
        <is>
          <t xml:space="preserve">  Consolidated (as reported)</t>
        </is>
      </c>
      <c r="B48" s="7" t="n">
        <v>4945</v>
      </c>
      <c r="C48" s="7" t="n">
        <v>4794</v>
      </c>
      <c r="D48" s="7" t="n">
        <v>4860</v>
      </c>
      <c r="E48" s="7" t="n">
        <v>5717</v>
      </c>
      <c r="F48" s="7" t="n">
        <v>5137</v>
      </c>
      <c r="G48" s="7" t="n">
        <v>4946</v>
      </c>
      <c r="H48" s="7" t="n">
        <v>5314</v>
      </c>
      <c r="I48" s="7" t="n">
        <v>6089</v>
      </c>
      <c r="J48" s="7" t="n">
        <v>5902</v>
      </c>
      <c r="K48" s="7" t="n">
        <v>6991</v>
      </c>
      <c r="L48" s="7" t="n">
        <v>8263</v>
      </c>
      <c r="M48" s="7" t="n">
        <v>9342</v>
      </c>
      <c r="N48" s="7" t="n">
        <v>8464</v>
      </c>
      <c r="O48" s="7" t="n">
        <v>9043</v>
      </c>
    </row>
    <row r="49">
      <c r="A49" s="3" t="inlineStr">
        <is>
          <t xml:space="preserve">  CHECK</t>
        </is>
      </c>
      <c r="B49" s="9">
        <f>B47-B48</f>
        <v/>
      </c>
      <c r="C49" s="9">
        <f>C47-C48</f>
        <v/>
      </c>
      <c r="D49" s="9">
        <f>D47-D48</f>
        <v/>
      </c>
      <c r="E49" s="9">
        <f>E47-E48</f>
        <v/>
      </c>
      <c r="F49" s="9">
        <f>F47-F48</f>
        <v/>
      </c>
      <c r="G49" s="9">
        <f>G47-G48</f>
        <v/>
      </c>
      <c r="H49" s="9">
        <f>H47-H48</f>
        <v/>
      </c>
      <c r="I49" s="9">
        <f>I47-I48</f>
        <v/>
      </c>
      <c r="J49" s="9">
        <f>J47-J48</f>
        <v/>
      </c>
      <c r="K49" s="9">
        <f>K47-K48</f>
        <v/>
      </c>
      <c r="L49" s="9">
        <f>L47-L48</f>
        <v/>
      </c>
      <c r="M49" s="9">
        <f>M47-M48</f>
        <v/>
      </c>
      <c r="N49" s="9">
        <f>N47-N48</f>
        <v/>
      </c>
      <c r="O49" s="9">
        <f>O47-O48</f>
        <v/>
      </c>
    </row>
    <row r="51">
      <c r="A51" s="5" t="inlineStr">
        <is>
          <t>Pre-tax income from continuing ops</t>
        </is>
      </c>
    </row>
    <row r="52">
      <c r="A52" s="6" t="inlineStr">
        <is>
          <t xml:space="preserve">  Credit Card</t>
        </is>
      </c>
      <c r="B52" s="7" t="n">
        <v>549</v>
      </c>
      <c r="C52" s="7" t="n">
        <v>857</v>
      </c>
      <c r="D52" s="7" t="n">
        <v>1266</v>
      </c>
      <c r="E52" s="7" t="n">
        <v>785</v>
      </c>
      <c r="F52" s="7" t="n">
        <v>961</v>
      </c>
      <c r="G52" s="7" t="n">
        <v>91</v>
      </c>
      <c r="H52" s="7" t="n">
        <v>1374</v>
      </c>
      <c r="I52" s="7" t="n">
        <v>866</v>
      </c>
      <c r="J52" s="7" t="n">
        <v>1219</v>
      </c>
      <c r="K52" s="7" t="n">
        <v>-4917</v>
      </c>
      <c r="L52" s="7" t="n">
        <v>2920</v>
      </c>
      <c r="M52" s="7" t="n">
        <v>1423</v>
      </c>
      <c r="N52" s="7" t="n">
        <v>1869</v>
      </c>
      <c r="O52" s="7" t="n">
        <v>2411</v>
      </c>
    </row>
    <row r="53">
      <c r="A53" s="6" t="inlineStr">
        <is>
          <t xml:space="preserve">  Consumer Banking</t>
        </is>
      </c>
      <c r="B53" s="7" t="n">
        <v>716</v>
      </c>
      <c r="C53" s="7" t="n">
        <v>709</v>
      </c>
      <c r="D53" s="7" t="n">
        <v>611</v>
      </c>
      <c r="E53" s="7" t="n">
        <v>222</v>
      </c>
      <c r="F53" s="7" t="n">
        <v>381</v>
      </c>
      <c r="G53" s="7" t="n">
        <v>471</v>
      </c>
      <c r="H53" s="7" t="n">
        <v>403</v>
      </c>
      <c r="I53" s="7" t="n">
        <v>205</v>
      </c>
      <c r="J53" s="7" t="n">
        <v>186</v>
      </c>
      <c r="K53" s="7" t="n">
        <v>450</v>
      </c>
      <c r="L53" s="7" t="n">
        <v>420</v>
      </c>
      <c r="M53" s="7" t="n">
        <v>169</v>
      </c>
      <c r="N53" s="7" t="n">
        <v>298</v>
      </c>
      <c r="O53" s="7" t="n">
        <v>486</v>
      </c>
    </row>
    <row r="54">
      <c r="A54" s="6" t="inlineStr">
        <is>
          <t xml:space="preserve">  Commercial Banking</t>
        </is>
      </c>
      <c r="B54" s="7" t="n">
        <v>54</v>
      </c>
      <c r="C54" s="7" t="n">
        <v>200</v>
      </c>
      <c r="D54" s="7" t="n">
        <v>214</v>
      </c>
      <c r="E54" s="7" t="n">
        <v>223</v>
      </c>
      <c r="F54" s="7" t="n">
        <v>280</v>
      </c>
      <c r="G54" s="7" t="n">
        <v>278</v>
      </c>
      <c r="H54" s="7" t="n">
        <v>263</v>
      </c>
      <c r="I54" s="7" t="n">
        <v>388</v>
      </c>
      <c r="J54" s="7" t="n">
        <v>195</v>
      </c>
      <c r="K54" s="7" t="n">
        <v>280</v>
      </c>
      <c r="L54" s="7" t="n">
        <v>286</v>
      </c>
      <c r="M54" s="7" t="n">
        <v>282</v>
      </c>
      <c r="N54" s="7" t="n">
        <v>206</v>
      </c>
      <c r="O54" s="7" t="n">
        <v>239</v>
      </c>
    </row>
    <row r="55">
      <c r="A55" s="6" t="inlineStr">
        <is>
          <t xml:space="preserve">  Other</t>
        </is>
      </c>
      <c r="B55" s="7" t="n">
        <v>-359</v>
      </c>
      <c r="C55" s="7" t="n">
        <v>-335</v>
      </c>
      <c r="D55" s="7" t="n">
        <v>-301</v>
      </c>
      <c r="E55" s="7" t="n">
        <v>-524</v>
      </c>
      <c r="F55" s="7" t="n">
        <v>-342</v>
      </c>
      <c r="G55" s="7" t="n">
        <v>-243</v>
      </c>
      <c r="H55" s="7" t="n">
        <v>-263</v>
      </c>
      <c r="I55" s="7" t="n">
        <v>-366</v>
      </c>
      <c r="J55" s="7" t="n">
        <v>-196</v>
      </c>
      <c r="K55" s="7" t="n">
        <v>-76</v>
      </c>
      <c r="L55" s="7" t="n">
        <v>-433</v>
      </c>
      <c r="M55" s="7" t="n">
        <v>-120</v>
      </c>
      <c r="N55" s="7" t="n">
        <v>-192</v>
      </c>
      <c r="O55" s="7" t="n">
        <v>-116</v>
      </c>
    </row>
    <row r="56">
      <c r="A56" s="3" t="inlineStr">
        <is>
          <t xml:space="preserve">  Sum of segments</t>
        </is>
      </c>
      <c r="B56" s="8">
        <f>SUM(B52:B55)</f>
        <v/>
      </c>
      <c r="C56" s="8">
        <f>SUM(C52:C55)</f>
        <v/>
      </c>
      <c r="D56" s="8">
        <f>SUM(D52:D55)</f>
        <v/>
      </c>
      <c r="E56" s="8">
        <f>SUM(E52:E55)</f>
        <v/>
      </c>
      <c r="F56" s="8">
        <f>SUM(F52:F55)</f>
        <v/>
      </c>
      <c r="G56" s="8">
        <f>SUM(G52:G55)</f>
        <v/>
      </c>
      <c r="H56" s="8">
        <f>SUM(H52:H55)</f>
        <v/>
      </c>
      <c r="I56" s="8">
        <f>SUM(I52:I55)</f>
        <v/>
      </c>
      <c r="J56" s="8">
        <f>SUM(J52:J55)</f>
        <v/>
      </c>
      <c r="K56" s="8">
        <f>SUM(K52:K55)</f>
        <v/>
      </c>
      <c r="L56" s="8">
        <f>SUM(L52:L55)</f>
        <v/>
      </c>
      <c r="M56" s="8">
        <f>SUM(M52:M55)</f>
        <v/>
      </c>
      <c r="N56" s="8">
        <f>SUM(N52:N55)</f>
        <v/>
      </c>
      <c r="O56" s="8">
        <f>SUM(O52:O55)</f>
        <v/>
      </c>
    </row>
    <row r="57">
      <c r="A57" s="6" t="inlineStr">
        <is>
          <t xml:space="preserve">  Consolidated (as reported)</t>
        </is>
      </c>
      <c r="B57" s="7" t="n">
        <v>960</v>
      </c>
      <c r="C57" s="7" t="n">
        <v>1431</v>
      </c>
      <c r="D57" s="7" t="n">
        <v>1790</v>
      </c>
      <c r="E57" s="7" t="n">
        <v>706</v>
      </c>
      <c r="F57" s="7" t="n">
        <v>1280</v>
      </c>
      <c r="G57" s="7" t="n">
        <v>597</v>
      </c>
      <c r="H57" s="7" t="n">
        <v>1777</v>
      </c>
      <c r="I57" s="7" t="n">
        <v>1093</v>
      </c>
      <c r="J57" s="7" t="n">
        <v>1404</v>
      </c>
      <c r="K57" s="7" t="n">
        <v>-4263</v>
      </c>
      <c r="L57" s="7" t="n">
        <v>3193</v>
      </c>
      <c r="M57" s="7" t="n">
        <v>1754</v>
      </c>
      <c r="N57" s="7" t="n">
        <v>2181</v>
      </c>
      <c r="O57" s="7" t="n">
        <v>3020</v>
      </c>
    </row>
    <row r="58">
      <c r="A58" s="3" t="inlineStr">
        <is>
          <t xml:space="preserve">  CHECK</t>
        </is>
      </c>
      <c r="B58" s="9">
        <f>B56-B57</f>
        <v/>
      </c>
      <c r="C58" s="9">
        <f>C56-C57</f>
        <v/>
      </c>
      <c r="D58" s="9">
        <f>D56-D57</f>
        <v/>
      </c>
      <c r="E58" s="9">
        <f>E56-E57</f>
        <v/>
      </c>
      <c r="F58" s="9">
        <f>F56-F57</f>
        <v/>
      </c>
      <c r="G58" s="9">
        <f>G56-G57</f>
        <v/>
      </c>
      <c r="H58" s="9">
        <f>H56-H57</f>
        <v/>
      </c>
      <c r="I58" s="9">
        <f>I56-I57</f>
        <v/>
      </c>
      <c r="J58" s="9">
        <f>J56-J57</f>
        <v/>
      </c>
      <c r="K58" s="9">
        <f>K56-K57</f>
        <v/>
      </c>
      <c r="L58" s="9">
        <f>L56-L57</f>
        <v/>
      </c>
      <c r="M58" s="9">
        <f>M56-M57</f>
        <v/>
      </c>
      <c r="N58" s="9">
        <f>N56-N57</f>
        <v/>
      </c>
      <c r="O58" s="9">
        <f>O56-O57</f>
        <v/>
      </c>
    </row>
    <row r="60">
      <c r="A60" s="5" t="inlineStr">
        <is>
          <t>Income tax provision</t>
        </is>
      </c>
    </row>
    <row r="61">
      <c r="A61" s="6" t="inlineStr">
        <is>
          <t xml:space="preserve">  Credit Card</t>
        </is>
      </c>
      <c r="B61" s="7" t="n">
        <v>172</v>
      </c>
      <c r="C61" s="7" t="n">
        <v>265</v>
      </c>
      <c r="D61" s="7" t="n">
        <v>393</v>
      </c>
      <c r="E61" s="7" t="n">
        <v>241</v>
      </c>
      <c r="F61" s="7" t="n">
        <v>299</v>
      </c>
      <c r="G61" s="7" t="n">
        <v>30</v>
      </c>
      <c r="H61" s="7" t="n">
        <v>427</v>
      </c>
      <c r="I61" s="7" t="n">
        <v>268</v>
      </c>
      <c r="J61" s="7" t="n">
        <v>382</v>
      </c>
      <c r="K61" s="7" t="n">
        <v>-1533</v>
      </c>
      <c r="L61" s="7" t="n">
        <v>914</v>
      </c>
      <c r="M61" s="7" t="n">
        <v>445</v>
      </c>
      <c r="N61" s="7" t="n">
        <v>608</v>
      </c>
      <c r="O61" s="7" t="n">
        <v>782</v>
      </c>
    </row>
    <row r="62">
      <c r="A62" s="6" t="inlineStr">
        <is>
          <t xml:space="preserve">  Consumer Banking</t>
        </is>
      </c>
      <c r="B62" s="7" t="n">
        <v>221</v>
      </c>
      <c r="C62" s="7" t="n">
        <v>219</v>
      </c>
      <c r="D62" s="7" t="n">
        <v>189</v>
      </c>
      <c r="E62" s="7" t="n">
        <v>68</v>
      </c>
      <c r="F62" s="7" t="n">
        <v>117</v>
      </c>
      <c r="G62" s="7" t="n">
        <v>146</v>
      </c>
      <c r="H62" s="7" t="n">
        <v>125</v>
      </c>
      <c r="I62" s="7" t="n">
        <v>63</v>
      </c>
      <c r="J62" s="7" t="n">
        <v>58</v>
      </c>
      <c r="K62" s="7" t="n">
        <v>141</v>
      </c>
      <c r="L62" s="7" t="n">
        <v>131</v>
      </c>
      <c r="M62" s="7" t="n">
        <v>52</v>
      </c>
      <c r="N62" s="7" t="n">
        <v>97</v>
      </c>
      <c r="O62" s="7" t="n">
        <v>158</v>
      </c>
    </row>
    <row r="63">
      <c r="A63" s="6" t="inlineStr">
        <is>
          <t xml:space="preserve">  Commercial Banking</t>
        </is>
      </c>
      <c r="B63" s="7" t="n">
        <v>17</v>
      </c>
      <c r="C63" s="7" t="n">
        <v>61</v>
      </c>
      <c r="D63" s="7" t="n">
        <v>67</v>
      </c>
      <c r="E63" s="7" t="n">
        <v>68</v>
      </c>
      <c r="F63" s="7" t="n">
        <v>87</v>
      </c>
      <c r="G63" s="7" t="n">
        <v>85</v>
      </c>
      <c r="H63" s="7" t="n">
        <v>82</v>
      </c>
      <c r="I63" s="7" t="n">
        <v>119</v>
      </c>
      <c r="J63" s="7" t="n">
        <v>61</v>
      </c>
      <c r="K63" s="7" t="n">
        <v>87</v>
      </c>
      <c r="L63" s="7" t="n">
        <v>89</v>
      </c>
      <c r="M63" s="7" t="n">
        <v>89</v>
      </c>
      <c r="N63" s="7" t="n">
        <v>67</v>
      </c>
      <c r="O63" s="7" t="n">
        <v>78</v>
      </c>
    </row>
    <row r="64">
      <c r="A64" s="6" t="inlineStr">
        <is>
          <t xml:space="preserve">  Other</t>
        </is>
      </c>
      <c r="B64" s="7" t="n">
        <v>-207</v>
      </c>
      <c r="C64" s="7" t="n">
        <v>-248</v>
      </c>
      <c r="D64" s="7" t="n">
        <v>-217</v>
      </c>
      <c r="E64" s="7" t="n">
        <v>-151</v>
      </c>
      <c r="F64" s="7" t="n">
        <v>-201</v>
      </c>
      <c r="G64" s="7" t="n">
        <v>-207</v>
      </c>
      <c r="H64" s="7" t="n">
        <v>-193</v>
      </c>
      <c r="I64" s="7" t="n">
        <v>-84</v>
      </c>
      <c r="J64" s="7" t="n">
        <v>-176</v>
      </c>
      <c r="K64" s="7" t="n">
        <v>-361</v>
      </c>
      <c r="L64" s="7" t="n">
        <v>55</v>
      </c>
      <c r="M64" s="7" t="n">
        <v>-241</v>
      </c>
      <c r="N64" s="7" t="n">
        <v>-254</v>
      </c>
      <c r="O64" s="7" t="n">
        <v>-220</v>
      </c>
    </row>
    <row r="65">
      <c r="A65" s="3" t="inlineStr">
        <is>
          <t xml:space="preserve">  Sum of segments</t>
        </is>
      </c>
      <c r="B65" s="8">
        <f>SUM(B61:B64)</f>
        <v/>
      </c>
      <c r="C65" s="8">
        <f>SUM(C61:C64)</f>
        <v/>
      </c>
      <c r="D65" s="8">
        <f>SUM(D61:D64)</f>
        <v/>
      </c>
      <c r="E65" s="8">
        <f>SUM(E61:E64)</f>
        <v/>
      </c>
      <c r="F65" s="8">
        <f>SUM(F61:F64)</f>
        <v/>
      </c>
      <c r="G65" s="8">
        <f>SUM(G61:G64)</f>
        <v/>
      </c>
      <c r="H65" s="8">
        <f>SUM(H61:H64)</f>
        <v/>
      </c>
      <c r="I65" s="8">
        <f>SUM(I61:I64)</f>
        <v/>
      </c>
      <c r="J65" s="8">
        <f>SUM(J61:J64)</f>
        <v/>
      </c>
      <c r="K65" s="8">
        <f>SUM(K61:K64)</f>
        <v/>
      </c>
      <c r="L65" s="8">
        <f>SUM(L61:L64)</f>
        <v/>
      </c>
      <c r="M65" s="8">
        <f>SUM(M61:M64)</f>
        <v/>
      </c>
      <c r="N65" s="8">
        <f>SUM(N61:N64)</f>
        <v/>
      </c>
      <c r="O65" s="8">
        <f>SUM(O61:O64)</f>
        <v/>
      </c>
    </row>
    <row r="66">
      <c r="A66" s="6" t="inlineStr">
        <is>
          <t xml:space="preserve">  Consolidated (as reported)</t>
        </is>
      </c>
      <c r="B66" s="7" t="n">
        <v>203</v>
      </c>
      <c r="C66" s="7" t="n">
        <v>297</v>
      </c>
      <c r="D66" s="7" t="n">
        <v>432</v>
      </c>
      <c r="E66" s="7" t="n">
        <v>226</v>
      </c>
      <c r="F66" s="7" t="n">
        <v>302</v>
      </c>
      <c r="G66" s="7" t="n">
        <v>54</v>
      </c>
      <c r="H66" s="7" t="n">
        <v>441</v>
      </c>
      <c r="I66" s="7" t="n">
        <v>366</v>
      </c>
      <c r="J66" s="7" t="n">
        <v>325</v>
      </c>
      <c r="K66" s="7" t="n">
        <v>-1666</v>
      </c>
      <c r="L66" s="7" t="n">
        <v>1189</v>
      </c>
      <c r="M66" s="7" t="n">
        <v>345</v>
      </c>
      <c r="N66" s="7" t="n">
        <v>518</v>
      </c>
      <c r="O66" s="7" t="n">
        <v>798</v>
      </c>
    </row>
    <row r="67">
      <c r="A67" s="3" t="inlineStr">
        <is>
          <t xml:space="preserve">  CHECK</t>
        </is>
      </c>
      <c r="B67" s="9">
        <f>B65-B66</f>
        <v/>
      </c>
      <c r="C67" s="9">
        <f>C65-C66</f>
        <v/>
      </c>
      <c r="D67" s="9">
        <f>D65-D66</f>
        <v/>
      </c>
      <c r="E67" s="9">
        <f>E65-E66</f>
        <v/>
      </c>
      <c r="F67" s="9">
        <f>F65-F66</f>
        <v/>
      </c>
      <c r="G67" s="9">
        <f>G65-G66</f>
        <v/>
      </c>
      <c r="H67" s="9">
        <f>H65-H66</f>
        <v/>
      </c>
      <c r="I67" s="9">
        <f>I65-I66</f>
        <v/>
      </c>
      <c r="J67" s="9">
        <f>J65-J66</f>
        <v/>
      </c>
      <c r="K67" s="9">
        <f>K65-K66</f>
        <v/>
      </c>
      <c r="L67" s="9">
        <f>L65-L66</f>
        <v/>
      </c>
      <c r="M67" s="9">
        <f>M65-M66</f>
        <v/>
      </c>
      <c r="N67" s="9">
        <f>N65-N66</f>
        <v/>
      </c>
      <c r="O67" s="9">
        <f>O65-O66</f>
        <v/>
      </c>
    </row>
    <row r="69">
      <c r="A69" s="2" t="inlineStr">
        <is>
          <t>Blue = as reported in the filing. Black = formula. Every CHECK row should read zero.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1" t="inlineStr">
        <is>
          <t>Capital One — Average Balances, Interest and Yield (quarterly)</t>
        </is>
      </c>
    </row>
    <row r="2">
      <c r="A2" s="2" t="inlineStr">
        <is>
          <t>Source: COF 10-Q, 'Average Balances, Net Interest Income and Net Interest Margin'. AVERAGE balances, not period-end — these will not tie to the balance sheet. Yields are annualised. Not XBRL-tagged; parsed from the rendered table.</t>
        </is>
      </c>
    </row>
    <row r="4">
      <c r="A4" s="3" t="inlineStr">
        <is>
          <t>($ in millions)</t>
        </is>
      </c>
      <c r="B4" s="4" t="inlineStr">
        <is>
          <t>2023Q1</t>
        </is>
      </c>
      <c r="C4" s="4" t="inlineStr">
        <is>
          <t>2023Q2</t>
        </is>
      </c>
      <c r="D4" s="4" t="inlineStr">
        <is>
          <t>2023Q3</t>
        </is>
      </c>
      <c r="E4" s="4" t="inlineStr">
        <is>
          <t>2024Q1</t>
        </is>
      </c>
      <c r="F4" s="4" t="inlineStr">
        <is>
          <t>2024Q2</t>
        </is>
      </c>
      <c r="G4" s="4" t="inlineStr">
        <is>
          <t>2024Q3</t>
        </is>
      </c>
      <c r="H4" s="4" t="inlineStr">
        <is>
          <t>2025Q1</t>
        </is>
      </c>
      <c r="I4" s="4" t="inlineStr">
        <is>
          <t>2025Q2</t>
        </is>
      </c>
      <c r="J4" s="4" t="inlineStr">
        <is>
          <t>2025Q3</t>
        </is>
      </c>
      <c r="K4" s="4" t="inlineStr">
        <is>
          <t>2026Q1</t>
        </is>
      </c>
      <c r="L4" s="4" t="inlineStr">
        <is>
          <t>2026Q2</t>
        </is>
      </c>
    </row>
    <row r="5">
      <c r="A5" s="5" t="inlineStr">
        <is>
          <t>Average balance</t>
        </is>
      </c>
    </row>
    <row r="6">
      <c r="A6" s="6" t="inlineStr">
        <is>
          <t xml:space="preserve">  Cash equivalents and other interest-earning assets</t>
        </is>
      </c>
      <c r="B6" s="7" t="n">
        <v>37124</v>
      </c>
      <c r="C6" s="7" t="n">
        <v>38810</v>
      </c>
      <c r="D6" s="7" t="n">
        <v>42226</v>
      </c>
      <c r="E6" s="7" t="n">
        <v>43659</v>
      </c>
      <c r="F6" s="7" t="n">
        <v>45584</v>
      </c>
      <c r="G6" s="7" t="n">
        <v>45125</v>
      </c>
      <c r="H6" s="7" t="n">
        <v>47340</v>
      </c>
      <c r="I6" s="7" t="n">
        <v>53368</v>
      </c>
      <c r="J6" s="7" t="n">
        <v>56687</v>
      </c>
      <c r="K6" s="7" t="n">
        <v>72630</v>
      </c>
      <c r="L6" s="7" t="n">
        <v>67382</v>
      </c>
    </row>
    <row r="7">
      <c r="A7" s="6" t="inlineStr">
        <is>
          <t xml:space="preserve">  Commercial banking</t>
        </is>
      </c>
      <c r="B7" s="7" t="n">
        <v>94446</v>
      </c>
      <c r="C7" s="7" t="n">
        <v>93874</v>
      </c>
      <c r="D7" s="7" t="n">
        <v>92254</v>
      </c>
      <c r="E7" s="7" t="n">
        <v>90423</v>
      </c>
      <c r="F7" s="7" t="n">
        <v>89571</v>
      </c>
      <c r="G7" s="7" t="n">
        <v>88373</v>
      </c>
      <c r="H7" s="7" t="n">
        <v>87884</v>
      </c>
      <c r="I7" s="7" t="n">
        <v>88749</v>
      </c>
      <c r="J7" s="7" t="n">
        <v>88904</v>
      </c>
      <c r="K7" s="7" t="n">
        <v>90064</v>
      </c>
      <c r="L7" s="7" t="n">
        <v>91082</v>
      </c>
    </row>
    <row r="8">
      <c r="A8" s="6" t="inlineStr">
        <is>
          <t xml:space="preserve">  Consumer banking</t>
        </is>
      </c>
      <c r="B8" s="7" t="n">
        <v>79000</v>
      </c>
      <c r="C8" s="7" t="n">
        <v>77699</v>
      </c>
      <c r="D8" s="7" t="n">
        <v>77154</v>
      </c>
      <c r="E8" s="7" t="n">
        <v>75091</v>
      </c>
      <c r="F8" s="7" t="n">
        <v>75386</v>
      </c>
      <c r="G8" s="7" t="n">
        <v>76182</v>
      </c>
      <c r="H8" s="7" t="n">
        <v>78480</v>
      </c>
      <c r="I8" s="7" t="n">
        <v>80095</v>
      </c>
      <c r="J8" s="7" t="n">
        <v>82295</v>
      </c>
      <c r="K8" s="7" t="n">
        <v>85701</v>
      </c>
      <c r="L8" s="7" t="n">
        <v>88583</v>
      </c>
    </row>
    <row r="9">
      <c r="A9" s="6" t="inlineStr">
        <is>
          <t xml:space="preserve">  Credit card</t>
        </is>
      </c>
      <c r="B9" s="7" t="n">
        <v>134669</v>
      </c>
      <c r="C9" s="7" t="n">
        <v>138762</v>
      </c>
      <c r="D9" s="7" t="n">
        <v>144053</v>
      </c>
      <c r="E9" s="7" t="n">
        <v>150049</v>
      </c>
      <c r="F9" s="7" t="n">
        <v>150866</v>
      </c>
      <c r="G9" s="7" t="n">
        <v>154160</v>
      </c>
      <c r="H9" s="7" t="n">
        <v>156408</v>
      </c>
      <c r="I9" s="7" t="n">
        <v>209693</v>
      </c>
      <c r="J9" s="7" t="n">
        <v>269175</v>
      </c>
      <c r="K9" s="7" t="n">
        <v>270975</v>
      </c>
      <c r="L9" s="7" t="n">
        <v>271197</v>
      </c>
    </row>
    <row r="10">
      <c r="A10" s="6" t="inlineStr">
        <is>
          <t xml:space="preserve">  Interest-bearing deposits</t>
        </is>
      </c>
      <c r="B10" s="7" t="n">
        <v>308788</v>
      </c>
      <c r="C10" s="7" t="n">
        <v>313207</v>
      </c>
      <c r="D10" s="7" t="n">
        <v>316032</v>
      </c>
      <c r="E10" s="7" t="n">
        <v>318450</v>
      </c>
      <c r="F10" s="7" t="n">
        <v>322581</v>
      </c>
      <c r="G10" s="7" t="n">
        <v>324509</v>
      </c>
      <c r="H10" s="7" t="n">
        <v>337840</v>
      </c>
      <c r="I10" s="7" t="n">
        <v>387139</v>
      </c>
      <c r="J10" s="7" t="n">
        <v>439527</v>
      </c>
      <c r="K10" s="7" t="n">
        <v>451957</v>
      </c>
      <c r="L10" s="7" t="n">
        <v>458130</v>
      </c>
    </row>
    <row r="11">
      <c r="A11" s="6" t="inlineStr">
        <is>
          <t xml:space="preserve">  Investment securities</t>
        </is>
      </c>
      <c r="B11" s="7" t="n">
        <v>89960</v>
      </c>
      <c r="C11" s="7" t="n">
        <v>89994</v>
      </c>
      <c r="D11" s="7" t="n">
        <v>87845</v>
      </c>
      <c r="E11" s="7" t="n">
        <v>88581</v>
      </c>
      <c r="F11" s="7" t="n">
        <v>89501</v>
      </c>
      <c r="G11" s="7" t="n">
        <v>90644</v>
      </c>
      <c r="H11" s="7" t="n">
        <v>92659</v>
      </c>
      <c r="I11" s="7" t="n">
        <v>93024</v>
      </c>
      <c r="J11" s="7" t="n">
        <v>96186</v>
      </c>
      <c r="K11" s="7" t="n">
        <v>97803</v>
      </c>
      <c r="L11" s="7" t="n">
        <v>99339</v>
      </c>
    </row>
    <row r="12">
      <c r="A12" s="6" t="inlineStr">
        <is>
          <t xml:space="preserve">  Other borrowings and interest-bearing liabilities</t>
        </is>
      </c>
      <c r="B12" s="7" t="n">
        <v>2335</v>
      </c>
      <c r="C12" s="7" t="n">
        <v>2419</v>
      </c>
      <c r="D12" s="7" t="n">
        <v>2473</v>
      </c>
      <c r="E12" s="7" t="n">
        <v>2373</v>
      </c>
      <c r="F12" s="7" t="n">
        <v>2502</v>
      </c>
      <c r="G12" s="7" t="n">
        <v>2389</v>
      </c>
      <c r="H12" s="7" t="n">
        <v>2312</v>
      </c>
      <c r="I12" s="7" t="n">
        <v>2872</v>
      </c>
      <c r="J12" s="7" t="n">
        <v>3120</v>
      </c>
      <c r="K12" s="7" t="n">
        <v>4238</v>
      </c>
      <c r="L12" s="7" t="n">
        <v>3838</v>
      </c>
    </row>
    <row r="13">
      <c r="A13" s="6" t="inlineStr">
        <is>
          <t xml:space="preserve">  Securitized debt obligations</t>
        </is>
      </c>
      <c r="B13" s="7" t="n">
        <v>17251</v>
      </c>
      <c r="C13" s="7" t="n">
        <v>17771</v>
      </c>
      <c r="D13" s="7" t="n">
        <v>17649</v>
      </c>
      <c r="E13" s="7" t="n">
        <v>17836</v>
      </c>
      <c r="F13" s="7" t="n">
        <v>17452</v>
      </c>
      <c r="G13" s="7" t="n">
        <v>15833</v>
      </c>
      <c r="H13" s="7" t="n">
        <v>13731</v>
      </c>
      <c r="I13" s="7" t="n">
        <v>13043</v>
      </c>
      <c r="J13" s="7" t="n">
        <v>12919</v>
      </c>
      <c r="K13" s="7" t="n">
        <v>12476</v>
      </c>
      <c r="L13" s="7" t="n">
        <v>10190</v>
      </c>
    </row>
    <row r="14">
      <c r="A14" s="6" t="inlineStr">
        <is>
          <t xml:space="preserve">  Senior and subordinated notes</t>
        </is>
      </c>
      <c r="B14" s="7" t="n">
        <v>30136</v>
      </c>
      <c r="C14" s="7" t="n">
        <v>30161</v>
      </c>
      <c r="D14" s="7" t="n">
        <v>31522</v>
      </c>
      <c r="E14" s="7" t="n">
        <v>32211</v>
      </c>
      <c r="F14" s="7" t="n">
        <v>30978</v>
      </c>
      <c r="G14" s="7" t="n">
        <v>32041</v>
      </c>
      <c r="H14" s="7" t="n">
        <v>30331</v>
      </c>
      <c r="I14" s="7" t="n">
        <v>32872</v>
      </c>
      <c r="J14" s="7" t="n">
        <v>36272</v>
      </c>
      <c r="K14" s="7" t="n">
        <v>37846</v>
      </c>
      <c r="L14" s="7" t="n">
        <v>37498</v>
      </c>
    </row>
    <row r="15">
      <c r="A15" s="6" t="inlineStr">
        <is>
          <t xml:space="preserve">  Total interest-bearing liabilities</t>
        </is>
      </c>
      <c r="B15" s="7" t="n">
        <v>358510</v>
      </c>
      <c r="C15" s="7" t="n">
        <v>363558</v>
      </c>
      <c r="D15" s="7" t="n">
        <v>367676</v>
      </c>
      <c r="E15" s="7" t="n">
        <v>370870</v>
      </c>
      <c r="F15" s="7" t="n">
        <v>373513</v>
      </c>
      <c r="G15" s="7" t="n">
        <v>374772</v>
      </c>
      <c r="H15" s="7" t="n">
        <v>384214</v>
      </c>
      <c r="I15" s="7" t="n">
        <v>435926</v>
      </c>
      <c r="J15" s="7" t="n">
        <v>491838</v>
      </c>
      <c r="K15" s="7" t="n">
        <v>506517</v>
      </c>
      <c r="L15" s="7" t="n">
        <v>509656</v>
      </c>
    </row>
    <row r="16">
      <c r="A16" s="6" t="inlineStr">
        <is>
          <t xml:space="preserve">  Total interest-earning assets</t>
        </is>
      </c>
      <c r="B16" s="7" t="n">
        <v>435199</v>
      </c>
      <c r="C16" s="7" t="n">
        <v>439139</v>
      </c>
      <c r="D16" s="7" t="n">
        <v>443532</v>
      </c>
      <c r="E16" s="7" t="n">
        <v>447803</v>
      </c>
      <c r="F16" s="7" t="n">
        <v>450908</v>
      </c>
      <c r="G16" s="7" t="n">
        <v>454484</v>
      </c>
      <c r="H16" s="7" t="n">
        <v>462771</v>
      </c>
      <c r="I16" s="7" t="n">
        <v>524929</v>
      </c>
      <c r="J16" s="7" t="n">
        <v>593247</v>
      </c>
      <c r="K16" s="7" t="n">
        <v>617173</v>
      </c>
      <c r="L16" s="7" t="n">
        <v>617583</v>
      </c>
    </row>
    <row r="17">
      <c r="A17" s="6" t="inlineStr">
        <is>
          <t xml:space="preserve">  Total loans, including loans held for sale</t>
        </is>
      </c>
      <c r="B17" s="7" t="n">
        <v>308115</v>
      </c>
      <c r="C17" s="7" t="n">
        <v>310335</v>
      </c>
      <c r="D17" s="7" t="n">
        <v>313461</v>
      </c>
      <c r="E17" s="7" t="n">
        <v>315563</v>
      </c>
      <c r="F17" s="7" t="n">
        <v>315823</v>
      </c>
      <c r="G17" s="7" t="n">
        <v>318715</v>
      </c>
      <c r="H17" s="7" t="n">
        <v>322772</v>
      </c>
      <c r="I17" s="7" t="n">
        <v>378537</v>
      </c>
      <c r="J17" s="7" t="n">
        <v>440374</v>
      </c>
      <c r="K17" s="7" t="n">
        <v>446740</v>
      </c>
      <c r="L17" s="7" t="n">
        <v>450862</v>
      </c>
    </row>
    <row r="19">
      <c r="A19" s="5" t="inlineStr">
        <is>
          <t>Interest income / expense</t>
        </is>
      </c>
    </row>
    <row r="20">
      <c r="A20" s="6" t="inlineStr">
        <is>
          <t xml:space="preserve">  Cash equivalents and other interest-earning assets</t>
        </is>
      </c>
      <c r="B20" s="7" t="n">
        <v>416</v>
      </c>
      <c r="C20" s="7" t="n">
        <v>470</v>
      </c>
      <c r="D20" s="7" t="n">
        <v>550</v>
      </c>
      <c r="E20" s="7" t="n">
        <v>570</v>
      </c>
      <c r="F20" s="7" t="n">
        <v>587</v>
      </c>
      <c r="G20" s="7" t="n">
        <v>580</v>
      </c>
      <c r="H20" s="7" t="n">
        <v>491</v>
      </c>
      <c r="I20" s="7" t="n">
        <v>595</v>
      </c>
      <c r="J20" s="7" t="n">
        <v>711</v>
      </c>
      <c r="K20" s="7" t="n">
        <v>664</v>
      </c>
      <c r="L20" s="7" t="n">
        <v>624</v>
      </c>
    </row>
    <row r="21">
      <c r="A21" s="6" t="inlineStr">
        <is>
          <t xml:space="preserve">  Commercial banking</t>
        </is>
      </c>
      <c r="B21" s="7" t="n">
        <v>1488</v>
      </c>
      <c r="C21" s="7" t="n">
        <v>1580</v>
      </c>
      <c r="D21" s="7" t="n">
        <v>1642</v>
      </c>
      <c r="E21" s="7" t="n">
        <v>1612</v>
      </c>
      <c r="F21" s="7" t="n">
        <v>1616</v>
      </c>
      <c r="G21" s="7" t="n">
        <v>1601</v>
      </c>
      <c r="H21" s="7" t="n">
        <v>1382</v>
      </c>
      <c r="I21" s="7" t="n">
        <v>1421</v>
      </c>
      <c r="J21" s="7" t="n">
        <v>1426</v>
      </c>
      <c r="K21" s="7" t="n">
        <v>1278</v>
      </c>
      <c r="L21" s="7" t="n">
        <v>1308</v>
      </c>
    </row>
    <row r="22">
      <c r="A22" s="6" t="inlineStr">
        <is>
          <t xml:space="preserve">  Consumer banking</t>
        </is>
      </c>
      <c r="B22" s="7" t="n">
        <v>1461</v>
      </c>
      <c r="C22" s="7" t="n">
        <v>1486</v>
      </c>
      <c r="D22" s="7" t="n">
        <v>1537</v>
      </c>
      <c r="E22" s="7" t="n">
        <v>1564</v>
      </c>
      <c r="F22" s="7" t="n">
        <v>1611</v>
      </c>
      <c r="G22" s="7" t="n">
        <v>1692</v>
      </c>
      <c r="H22" s="7" t="n">
        <v>1773</v>
      </c>
      <c r="I22" s="7" t="n">
        <v>1861</v>
      </c>
      <c r="J22" s="7" t="n">
        <v>1958</v>
      </c>
      <c r="K22" s="7" t="n">
        <v>2020</v>
      </c>
      <c r="L22" s="7" t="n">
        <v>2121</v>
      </c>
    </row>
    <row r="23">
      <c r="A23" s="6" t="inlineStr">
        <is>
          <t xml:space="preserve">  Credit card</t>
        </is>
      </c>
      <c r="B23" s="7" t="n">
        <v>6053</v>
      </c>
      <c r="C23" s="7" t="n">
        <v>6302</v>
      </c>
      <c r="D23" s="7" t="n">
        <v>6850</v>
      </c>
      <c r="E23" s="7" t="n">
        <v>7067</v>
      </c>
      <c r="F23" s="7" t="n">
        <v>7088</v>
      </c>
      <c r="G23" s="7" t="n">
        <v>7578</v>
      </c>
      <c r="H23" s="7" t="n">
        <v>7248</v>
      </c>
      <c r="I23" s="7" t="n">
        <v>9407</v>
      </c>
      <c r="J23" s="7" t="n">
        <v>12109</v>
      </c>
      <c r="K23" s="7" t="n">
        <v>11633</v>
      </c>
      <c r="L23" s="7" t="n">
        <v>11670</v>
      </c>
    </row>
    <row r="24">
      <c r="A24" s="6" t="inlineStr">
        <is>
          <t xml:space="preserve">  Interest-bearing deposits</t>
        </is>
      </c>
      <c r="B24" s="7" t="n">
        <v>1856</v>
      </c>
      <c r="C24" s="7" t="n">
        <v>2277</v>
      </c>
      <c r="D24" s="7" t="n">
        <v>2611</v>
      </c>
      <c r="E24" s="7" t="n">
        <v>2812</v>
      </c>
      <c r="F24" s="7" t="n">
        <v>2874</v>
      </c>
      <c r="G24" s="7" t="n">
        <v>2945</v>
      </c>
      <c r="H24" s="7" t="n">
        <v>2715</v>
      </c>
      <c r="I24" s="7" t="n">
        <v>3120</v>
      </c>
      <c r="J24" s="7" t="n">
        <v>3597</v>
      </c>
      <c r="K24" s="7" t="n">
        <v>3387</v>
      </c>
      <c r="L24" s="7" t="n">
        <v>3338</v>
      </c>
    </row>
    <row r="25">
      <c r="A25" s="6" t="inlineStr">
        <is>
          <t xml:space="preserve">  Investment securities</t>
        </is>
      </c>
      <c r="B25" s="7" t="n">
        <v>615</v>
      </c>
      <c r="C25" s="7" t="n">
        <v>639</v>
      </c>
      <c r="D25" s="7" t="n">
        <v>627</v>
      </c>
      <c r="E25" s="7" t="n">
        <v>687</v>
      </c>
      <c r="F25" s="7" t="n">
        <v>700</v>
      </c>
      <c r="G25" s="7" t="n">
        <v>733</v>
      </c>
      <c r="H25" s="7" t="n">
        <v>770</v>
      </c>
      <c r="I25" s="7" t="n">
        <v>784</v>
      </c>
      <c r="J25" s="7" t="n">
        <v>823</v>
      </c>
      <c r="K25" s="7" t="n">
        <v>832</v>
      </c>
      <c r="L25" s="7" t="n">
        <v>850</v>
      </c>
    </row>
    <row r="26">
      <c r="A26" s="6" t="inlineStr">
        <is>
          <t xml:space="preserve">  Other borrowings and interest-bearing liabilities</t>
        </is>
      </c>
      <c r="B26" s="7" t="n">
        <v>12</v>
      </c>
      <c r="C26" s="7" t="n">
        <v>12</v>
      </c>
      <c r="D26" s="7" t="n">
        <v>11</v>
      </c>
      <c r="E26" s="7" t="n">
        <v>10</v>
      </c>
      <c r="F26" s="7" t="n">
        <v>11</v>
      </c>
      <c r="G26" s="7" t="n">
        <v>9</v>
      </c>
      <c r="H26" s="7" t="n">
        <v>9</v>
      </c>
      <c r="I26" s="7" t="n">
        <v>14</v>
      </c>
      <c r="J26" s="7" t="n">
        <v>15</v>
      </c>
      <c r="K26" s="7" t="n">
        <v>26</v>
      </c>
      <c r="L26" s="7" t="n">
        <v>21</v>
      </c>
    </row>
    <row r="27">
      <c r="A27" s="6" t="inlineStr">
        <is>
          <t xml:space="preserve">  Securitized debt obligations</t>
        </is>
      </c>
      <c r="B27" s="7" t="n">
        <v>211</v>
      </c>
      <c r="C27" s="7" t="n">
        <v>236</v>
      </c>
      <c r="D27" s="7" t="n">
        <v>249</v>
      </c>
      <c r="E27" s="7" t="n">
        <v>261</v>
      </c>
      <c r="F27" s="7" t="n">
        <v>258</v>
      </c>
      <c r="G27" s="7" t="n">
        <v>234</v>
      </c>
      <c r="H27" s="7" t="n">
        <v>176</v>
      </c>
      <c r="I27" s="7" t="n">
        <v>164</v>
      </c>
      <c r="J27" s="7" t="n">
        <v>165</v>
      </c>
      <c r="K27" s="7" t="n">
        <v>141</v>
      </c>
      <c r="L27" s="7" t="n">
        <v>117</v>
      </c>
    </row>
    <row r="28">
      <c r="A28" s="6" t="inlineStr">
        <is>
          <t xml:space="preserve">  Senior and subordinated notes</t>
        </is>
      </c>
      <c r="B28" s="7" t="n">
        <v>489</v>
      </c>
      <c r="C28" s="7" t="n">
        <v>528</v>
      </c>
      <c r="D28" s="7" t="n">
        <v>579</v>
      </c>
      <c r="E28" s="7" t="n">
        <v>606</v>
      </c>
      <c r="F28" s="7" t="n">
        <v>591</v>
      </c>
      <c r="G28" s="7" t="n">
        <v>596</v>
      </c>
      <c r="H28" s="7" t="n">
        <v>505</v>
      </c>
      <c r="I28" s="7" t="n">
        <v>535</v>
      </c>
      <c r="J28" s="7" t="n">
        <v>582</v>
      </c>
      <c r="K28" s="7" t="n">
        <v>532</v>
      </c>
      <c r="L28" s="7" t="n">
        <v>535</v>
      </c>
    </row>
    <row r="29">
      <c r="A29" s="6" t="inlineStr">
        <is>
          <t xml:space="preserve">  Total interest-bearing liabilities</t>
        </is>
      </c>
      <c r="B29" s="7" t="n">
        <v>2568</v>
      </c>
      <c r="C29" s="7" t="n">
        <v>3053</v>
      </c>
      <c r="D29" s="7" t="n">
        <v>3450</v>
      </c>
      <c r="E29" s="7" t="n">
        <v>3689</v>
      </c>
      <c r="F29" s="7" t="n">
        <v>3734</v>
      </c>
      <c r="G29" s="7" t="n">
        <v>3784</v>
      </c>
      <c r="H29" s="7" t="n">
        <v>3405</v>
      </c>
      <c r="I29" s="7" t="n">
        <v>3833</v>
      </c>
      <c r="J29" s="7" t="n">
        <v>4359</v>
      </c>
      <c r="K29" s="7" t="n">
        <v>4086</v>
      </c>
      <c r="L29" s="7" t="n">
        <v>4011</v>
      </c>
    </row>
    <row r="30">
      <c r="A30" s="6" t="inlineStr">
        <is>
          <t xml:space="preserve">  Total interest-earning assets</t>
        </is>
      </c>
      <c r="B30" s="7" t="n">
        <v>9754</v>
      </c>
      <c r="C30" s="7" t="n">
        <v>10166</v>
      </c>
      <c r="D30" s="7" t="n">
        <v>10873</v>
      </c>
      <c r="E30" s="7" t="n">
        <v>11177</v>
      </c>
      <c r="F30" s="7" t="n">
        <v>11280</v>
      </c>
      <c r="G30" s="7" t="n">
        <v>11860</v>
      </c>
      <c r="H30" s="7" t="n">
        <v>11418</v>
      </c>
      <c r="I30" s="7" t="n">
        <v>13828</v>
      </c>
      <c r="J30" s="7" t="n">
        <v>16763</v>
      </c>
      <c r="K30" s="7" t="n">
        <v>16231</v>
      </c>
      <c r="L30" s="7" t="n">
        <v>16385</v>
      </c>
    </row>
    <row r="31">
      <c r="A31" s="6" t="inlineStr">
        <is>
          <t xml:space="preserve">  Total loans, including loans held for sale</t>
        </is>
      </c>
      <c r="B31" s="7" t="n">
        <v>8723</v>
      </c>
      <c r="C31" s="7" t="n">
        <v>9057</v>
      </c>
      <c r="D31" s="7" t="n">
        <v>9696</v>
      </c>
      <c r="E31" s="7" t="n">
        <v>9920</v>
      </c>
      <c r="F31" s="7" t="n">
        <v>9993</v>
      </c>
      <c r="G31" s="7" t="n">
        <v>10547</v>
      </c>
      <c r="H31" s="7" t="n">
        <v>10157</v>
      </c>
      <c r="I31" s="7" t="n">
        <v>12449</v>
      </c>
      <c r="J31" s="7" t="n">
        <v>15229</v>
      </c>
      <c r="K31" s="7" t="n">
        <v>14735</v>
      </c>
      <c r="L31" s="7" t="n">
        <v>14911</v>
      </c>
    </row>
    <row r="33">
      <c r="A33" s="5" t="inlineStr">
        <is>
          <t>Average yield / rate</t>
        </is>
      </c>
    </row>
    <row r="34">
      <c r="A34" s="6" t="inlineStr">
        <is>
          <t xml:space="preserve">  Cash equivalents and other interest-earning assets</t>
        </is>
      </c>
      <c r="B34" s="10" t="n">
        <v>0.0449</v>
      </c>
      <c r="C34" s="10" t="n">
        <v>0.0484</v>
      </c>
      <c r="D34" s="10" t="n">
        <v>0.0521</v>
      </c>
      <c r="E34" s="10" t="n">
        <v>0.0521</v>
      </c>
      <c r="F34" s="10" t="n">
        <v>0.0516</v>
      </c>
      <c r="G34" s="10" t="n">
        <v>0.05139999999999999</v>
      </c>
      <c r="H34" s="10" t="n">
        <v>0.0414</v>
      </c>
      <c r="I34" s="10" t="n">
        <v>0.0446</v>
      </c>
      <c r="J34" s="10" t="n">
        <v>0.05019999999999999</v>
      </c>
      <c r="K34" s="10" t="n">
        <v>0.0366</v>
      </c>
      <c r="L34" s="10" t="n">
        <v>0.03700000000000001</v>
      </c>
    </row>
    <row r="35">
      <c r="A35" s="6" t="inlineStr">
        <is>
          <t xml:space="preserve">  Commercial banking</t>
        </is>
      </c>
      <c r="B35" s="10" t="n">
        <v>0.063</v>
      </c>
      <c r="C35" s="10" t="n">
        <v>0.0674</v>
      </c>
      <c r="D35" s="10" t="n">
        <v>0.0712</v>
      </c>
      <c r="E35" s="10" t="n">
        <v>0.0713</v>
      </c>
      <c r="F35" s="10" t="n">
        <v>0.0722</v>
      </c>
      <c r="G35" s="10" t="n">
        <v>0.07240000000000001</v>
      </c>
      <c r="H35" s="10" t="n">
        <v>0.0629</v>
      </c>
      <c r="I35" s="10" t="n">
        <v>0.064</v>
      </c>
      <c r="J35" s="10" t="n">
        <v>0.06419999999999999</v>
      </c>
      <c r="K35" s="10" t="n">
        <v>0.0568</v>
      </c>
      <c r="L35" s="10" t="n">
        <v>0.0575</v>
      </c>
    </row>
    <row r="36">
      <c r="A36" s="6" t="inlineStr">
        <is>
          <t xml:space="preserve">  Consumer banking</t>
        </is>
      </c>
      <c r="B36" s="10" t="n">
        <v>0.07400000000000001</v>
      </c>
      <c r="C36" s="10" t="n">
        <v>0.0765</v>
      </c>
      <c r="D36" s="10" t="n">
        <v>0.07969999999999999</v>
      </c>
      <c r="E36" s="10" t="n">
        <v>0.0833</v>
      </c>
      <c r="F36" s="10" t="n">
        <v>0.08539999999999999</v>
      </c>
      <c r="G36" s="10" t="n">
        <v>0.0888</v>
      </c>
      <c r="H36" s="10" t="n">
        <v>0.09029999999999999</v>
      </c>
      <c r="I36" s="10" t="n">
        <v>0.09300000000000001</v>
      </c>
      <c r="J36" s="10" t="n">
        <v>0.09519999999999999</v>
      </c>
      <c r="K36" s="10" t="n">
        <v>0.09429999999999999</v>
      </c>
      <c r="L36" s="10" t="n">
        <v>0.09570000000000001</v>
      </c>
    </row>
    <row r="37">
      <c r="A37" s="6" t="inlineStr">
        <is>
          <t xml:space="preserve">  Credit card</t>
        </is>
      </c>
      <c r="B37" s="10" t="n">
        <v>0.1798</v>
      </c>
      <c r="C37" s="10" t="n">
        <v>0.1817</v>
      </c>
      <c r="D37" s="10" t="n">
        <v>0.1902</v>
      </c>
      <c r="E37" s="10" t="n">
        <v>0.1884</v>
      </c>
      <c r="F37" s="10" t="n">
        <v>0.1879</v>
      </c>
      <c r="G37" s="10" t="n">
        <v>0.1966</v>
      </c>
      <c r="H37" s="10" t="n">
        <v>0.1854</v>
      </c>
      <c r="I37" s="10" t="n">
        <v>0.1794</v>
      </c>
      <c r="J37" s="10" t="n">
        <v>0.1799</v>
      </c>
      <c r="K37" s="10" t="n">
        <v>0.1717</v>
      </c>
      <c r="L37" s="10" t="n">
        <v>0.1721</v>
      </c>
    </row>
    <row r="38">
      <c r="A38" s="6" t="inlineStr">
        <is>
          <t xml:space="preserve">  Interest-bearing deposits</t>
        </is>
      </c>
      <c r="B38" s="10" t="n">
        <v>0.024</v>
      </c>
      <c r="C38" s="10" t="n">
        <v>0.0291</v>
      </c>
      <c r="D38" s="10" t="n">
        <v>0.033</v>
      </c>
      <c r="E38" s="10" t="n">
        <v>0.0353</v>
      </c>
      <c r="F38" s="10" t="n">
        <v>0.0356</v>
      </c>
      <c r="G38" s="10" t="n">
        <v>0.0363</v>
      </c>
      <c r="H38" s="10" t="n">
        <v>0.0322</v>
      </c>
      <c r="I38" s="10" t="n">
        <v>0.0322</v>
      </c>
      <c r="J38" s="10" t="n">
        <v>0.0327</v>
      </c>
      <c r="K38" s="10" t="n">
        <v>0.03</v>
      </c>
      <c r="L38" s="10" t="n">
        <v>0.0291</v>
      </c>
    </row>
    <row r="39">
      <c r="A39" s="6" t="inlineStr">
        <is>
          <t xml:space="preserve">  Investment securities</t>
        </is>
      </c>
      <c r="B39" s="10" t="n">
        <v>0.0273</v>
      </c>
      <c r="C39" s="10" t="n">
        <v>0.0284</v>
      </c>
      <c r="D39" s="10" t="n">
        <v>0.0286</v>
      </c>
      <c r="E39" s="10" t="n">
        <v>0.031</v>
      </c>
      <c r="F39" s="10" t="n">
        <v>0.0313</v>
      </c>
      <c r="G39" s="10" t="n">
        <v>0.03240000000000001</v>
      </c>
      <c r="H39" s="10" t="n">
        <v>0.0332</v>
      </c>
      <c r="I39" s="10" t="n">
        <v>0.0337</v>
      </c>
      <c r="J39" s="10" t="n">
        <v>0.0342</v>
      </c>
      <c r="K39" s="10" t="n">
        <v>0.034</v>
      </c>
      <c r="L39" s="10" t="n">
        <v>0.0342</v>
      </c>
    </row>
    <row r="40">
      <c r="A40" s="6" t="inlineStr">
        <is>
          <t xml:space="preserve">  Other borrowings and interest-bearing liabilities</t>
        </is>
      </c>
      <c r="B40" s="10" t="n">
        <v>0.0208</v>
      </c>
      <c r="C40" s="10" t="n">
        <v>0.0195</v>
      </c>
      <c r="D40" s="10" t="n">
        <v>0.0179</v>
      </c>
      <c r="E40" s="10" t="n">
        <v>0.0178</v>
      </c>
      <c r="F40" s="10" t="n">
        <v>0.0173</v>
      </c>
      <c r="G40" s="10" t="n">
        <v>0.015</v>
      </c>
      <c r="H40" s="10" t="n">
        <v>0.0157</v>
      </c>
      <c r="I40" s="10" t="n">
        <v>0.0185</v>
      </c>
      <c r="J40" s="10" t="n">
        <v>0.0204</v>
      </c>
      <c r="K40" s="10" t="n">
        <v>0.0244</v>
      </c>
      <c r="L40" s="10" t="n">
        <v>0.023</v>
      </c>
    </row>
    <row r="41">
      <c r="A41" s="6" t="inlineStr">
        <is>
          <t xml:space="preserve">  Securitized debt obligations</t>
        </is>
      </c>
      <c r="B41" s="10" t="n">
        <v>0.049</v>
      </c>
      <c r="C41" s="10" t="n">
        <v>0.05309999999999999</v>
      </c>
      <c r="D41" s="10" t="n">
        <v>0.0563</v>
      </c>
      <c r="E41" s="10" t="n">
        <v>0.0585</v>
      </c>
      <c r="F41" s="10" t="n">
        <v>0.0591</v>
      </c>
      <c r="G41" s="10" t="n">
        <v>0.0593</v>
      </c>
      <c r="H41" s="10" t="n">
        <v>0.05110000000000001</v>
      </c>
      <c r="I41" s="10" t="n">
        <v>0.0506</v>
      </c>
      <c r="J41" s="10" t="n">
        <v>0.05110000000000001</v>
      </c>
      <c r="K41" s="10" t="n">
        <v>0.0452</v>
      </c>
      <c r="L41" s="10" t="n">
        <v>0.0459</v>
      </c>
    </row>
    <row r="42">
      <c r="A42" s="6" t="inlineStr">
        <is>
          <t xml:space="preserve">  Senior and subordinated notes</t>
        </is>
      </c>
      <c r="B42" s="10" t="n">
        <v>0.0649</v>
      </c>
      <c r="C42" s="10" t="n">
        <v>0.07000000000000001</v>
      </c>
      <c r="D42" s="10" t="n">
        <v>0.0736</v>
      </c>
      <c r="E42" s="10" t="n">
        <v>0.07519999999999999</v>
      </c>
      <c r="F42" s="10" t="n">
        <v>0.0764</v>
      </c>
      <c r="G42" s="10" t="n">
        <v>0.07429999999999999</v>
      </c>
      <c r="H42" s="10" t="n">
        <v>0.06660000000000001</v>
      </c>
      <c r="I42" s="10" t="n">
        <v>0.06509999999999999</v>
      </c>
      <c r="J42" s="10" t="n">
        <v>0.0641</v>
      </c>
      <c r="K42" s="10" t="n">
        <v>0.0563</v>
      </c>
      <c r="L42" s="10" t="n">
        <v>0.057</v>
      </c>
    </row>
    <row r="43">
      <c r="A43" s="6" t="inlineStr">
        <is>
          <t xml:space="preserve">  Total interest-bearing liabilities</t>
        </is>
      </c>
      <c r="B43" s="10" t="n">
        <v>0.0287</v>
      </c>
      <c r="C43" s="10" t="n">
        <v>0.0336</v>
      </c>
      <c r="D43" s="10" t="n">
        <v>0.0375</v>
      </c>
      <c r="E43" s="10" t="n">
        <v>0.0398</v>
      </c>
      <c r="F43" s="10" t="n">
        <v>0.04</v>
      </c>
      <c r="G43" s="10" t="n">
        <v>0.0404</v>
      </c>
      <c r="H43" s="10" t="n">
        <v>0.0354</v>
      </c>
      <c r="I43" s="10" t="n">
        <v>0.0352</v>
      </c>
      <c r="J43" s="10" t="n">
        <v>0.0355</v>
      </c>
      <c r="K43" s="10" t="n">
        <v>0.0323</v>
      </c>
      <c r="L43" s="10" t="n">
        <v>0.0315</v>
      </c>
    </row>
    <row r="44">
      <c r="A44" s="6" t="inlineStr">
        <is>
          <t xml:space="preserve">  Total interest-earning assets</t>
        </is>
      </c>
      <c r="B44" s="10" t="n">
        <v>0.08960000000000001</v>
      </c>
      <c r="C44" s="10" t="n">
        <v>0.0926</v>
      </c>
      <c r="D44" s="10" t="n">
        <v>0.09810000000000001</v>
      </c>
      <c r="E44" s="10" t="n">
        <v>0.0998</v>
      </c>
      <c r="F44" s="10" t="n">
        <v>0.1001</v>
      </c>
      <c r="G44" s="10" t="n">
        <v>0.1044</v>
      </c>
      <c r="H44" s="10" t="n">
        <v>0.0987</v>
      </c>
      <c r="I44" s="10" t="n">
        <v>0.1054</v>
      </c>
      <c r="J44" s="10" t="n">
        <v>0.113</v>
      </c>
      <c r="K44" s="10" t="n">
        <v>0.1052</v>
      </c>
      <c r="L44" s="10" t="n">
        <v>0.1061</v>
      </c>
    </row>
    <row r="45">
      <c r="A45" s="6" t="inlineStr">
        <is>
          <t xml:space="preserve">  Total loans, including loans held for sale</t>
        </is>
      </c>
      <c r="B45" s="10" t="n">
        <v>0.1132</v>
      </c>
      <c r="C45" s="10" t="n">
        <v>0.1167</v>
      </c>
      <c r="D45" s="10" t="n">
        <v>0.1237</v>
      </c>
      <c r="E45" s="10" t="n">
        <v>0.1257</v>
      </c>
      <c r="F45" s="10" t="n">
        <v>0.1266</v>
      </c>
      <c r="G45" s="10" t="n">
        <v>0.1324</v>
      </c>
      <c r="H45" s="10" t="n">
        <v>0.1259</v>
      </c>
      <c r="I45" s="10" t="n">
        <v>0.1315</v>
      </c>
      <c r="J45" s="10" t="n">
        <v>0.1383</v>
      </c>
      <c r="K45" s="10" t="n">
        <v>0.1319</v>
      </c>
      <c r="L45" s="10" t="n">
        <v>0.1323</v>
      </c>
    </row>
    <row r="47">
      <c r="A47" s="2" t="inlineStr">
        <is>
          <t>All figures as reported. Yields stored as fractions and displayed as percentages.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Capital One — Rate/Volume Analysis of Net Interest Income</t>
        </is>
      </c>
    </row>
    <row r="2">
      <c r="A2" s="2" t="inlineStr">
        <is>
          <t>Source: COF 10-Q, 'Rate/Volume Analysis of Net Interest Income'. Each column compares against the PRIOR-YEAR quarter, so these do not chain across consecutive quarters. Total variance = volume + rate.</t>
        </is>
      </c>
    </row>
    <row r="4">
      <c r="A4" s="3" t="inlineStr">
        <is>
          <t>($ in millions)</t>
        </is>
      </c>
      <c r="B4" s="4" t="inlineStr">
        <is>
          <t>2024Q1 vs 2023</t>
        </is>
      </c>
      <c r="C4" s="4" t="inlineStr">
        <is>
          <t>2024Q2 vs 2023</t>
        </is>
      </c>
      <c r="D4" s="4" t="inlineStr">
        <is>
          <t>2024Q3 vs 2023</t>
        </is>
      </c>
      <c r="E4" s="4" t="inlineStr">
        <is>
          <t>2025Q1 vs 2024</t>
        </is>
      </c>
      <c r="F4" s="4" t="inlineStr">
        <is>
          <t>2025Q2 vs 2024</t>
        </is>
      </c>
      <c r="G4" s="4" t="inlineStr">
        <is>
          <t>2025Q3 vs 2024</t>
        </is>
      </c>
      <c r="H4" s="4" t="inlineStr">
        <is>
          <t>2026Q1 vs 2025</t>
        </is>
      </c>
      <c r="I4" s="4" t="inlineStr">
        <is>
          <t>2026Q2 vs 2025</t>
        </is>
      </c>
    </row>
    <row r="5">
      <c r="A5" s="5" t="inlineStr">
        <is>
          <t>Total variance</t>
        </is>
      </c>
    </row>
    <row r="6">
      <c r="A6" s="6" t="inlineStr">
        <is>
          <t xml:space="preserve">  Cash equivalents and other interest-earning assets</t>
        </is>
      </c>
      <c r="B6" s="7" t="n">
        <v>154</v>
      </c>
      <c r="C6" s="7" t="n">
        <v>117</v>
      </c>
      <c r="D6" s="7" t="n"/>
      <c r="E6" s="7" t="n">
        <v>-79</v>
      </c>
      <c r="F6" s="7" t="n">
        <v>8</v>
      </c>
      <c r="G6" s="7" t="n">
        <v>131</v>
      </c>
      <c r="H6" s="7" t="n">
        <v>173</v>
      </c>
      <c r="I6" s="7" t="n">
        <v>29</v>
      </c>
    </row>
    <row r="7">
      <c r="A7" s="6" t="inlineStr">
        <is>
          <t xml:space="preserve">  Commercial banking</t>
        </is>
      </c>
      <c r="B7" s="7" t="n">
        <v>124</v>
      </c>
      <c r="C7" s="7" t="n">
        <v>36</v>
      </c>
      <c r="D7" s="7" t="n">
        <v>-41</v>
      </c>
      <c r="E7" s="7" t="n">
        <v>-230</v>
      </c>
      <c r="F7" s="7" t="n">
        <v>-195</v>
      </c>
      <c r="G7" s="7" t="n">
        <v>-175</v>
      </c>
      <c r="H7" s="7" t="n">
        <v>-104</v>
      </c>
      <c r="I7" s="7" t="n">
        <v>-113</v>
      </c>
    </row>
    <row r="8">
      <c r="A8" s="6" t="inlineStr">
        <is>
          <t xml:space="preserve">  Consumer banking</t>
        </is>
      </c>
      <c r="B8" s="7" t="n">
        <v>103</v>
      </c>
      <c r="C8" s="7" t="n">
        <v>125</v>
      </c>
      <c r="D8" s="7" t="n">
        <v>155</v>
      </c>
      <c r="E8" s="7" t="n">
        <v>209</v>
      </c>
      <c r="F8" s="7" t="n">
        <v>250</v>
      </c>
      <c r="G8" s="7" t="n">
        <v>266</v>
      </c>
      <c r="H8" s="7" t="n">
        <v>247</v>
      </c>
      <c r="I8" s="7" t="n">
        <v>260</v>
      </c>
    </row>
    <row r="9">
      <c r="A9" s="6" t="inlineStr">
        <is>
          <t xml:space="preserve">  Credit card</t>
        </is>
      </c>
      <c r="B9" s="7" t="n">
        <v>1014</v>
      </c>
      <c r="C9" s="7" t="n">
        <v>786</v>
      </c>
      <c r="D9" s="7" t="n">
        <v>728</v>
      </c>
      <c r="E9" s="7" t="n">
        <v>181</v>
      </c>
      <c r="F9" s="7" t="n">
        <v>2319</v>
      </c>
      <c r="G9" s="7" t="n">
        <v>4531</v>
      </c>
      <c r="H9" s="7" t="n">
        <v>4385</v>
      </c>
      <c r="I9" s="7" t="n">
        <v>2263</v>
      </c>
    </row>
    <row r="10">
      <c r="A10" s="6" t="inlineStr">
        <is>
          <t xml:space="preserve">  Interest-bearing deposits</t>
        </is>
      </c>
      <c r="B10" s="7" t="n">
        <v>956</v>
      </c>
      <c r="C10" s="7" t="n">
        <v>597</v>
      </c>
      <c r="D10" s="7" t="n">
        <v>334</v>
      </c>
      <c r="E10" s="7" t="n">
        <v>-97</v>
      </c>
      <c r="F10" s="7" t="n">
        <v>246</v>
      </c>
      <c r="G10" s="7" t="n">
        <v>652</v>
      </c>
      <c r="H10" s="7" t="n">
        <v>672</v>
      </c>
      <c r="I10" s="7" t="n">
        <v>218</v>
      </c>
    </row>
    <row r="11">
      <c r="A11" s="6" t="inlineStr">
        <is>
          <t xml:space="preserve">  Net interest income</t>
        </is>
      </c>
      <c r="B11" s="7" t="n">
        <v>302</v>
      </c>
      <c r="C11" s="7" t="n">
        <v>433</v>
      </c>
      <c r="D11" s="7" t="n"/>
      <c r="E11" s="7" t="n">
        <v>525</v>
      </c>
      <c r="F11" s="7" t="n">
        <v>2449</v>
      </c>
      <c r="G11" s="7" t="n">
        <v>4328</v>
      </c>
      <c r="H11" s="7" t="n">
        <v>4132</v>
      </c>
      <c r="I11" s="7" t="n">
        <v>2379</v>
      </c>
    </row>
    <row r="12">
      <c r="A12" s="6" t="inlineStr">
        <is>
          <t xml:space="preserve">  Securitized debt obligations</t>
        </is>
      </c>
      <c r="B12" s="7" t="n">
        <v>50</v>
      </c>
      <c r="C12" s="7" t="n"/>
      <c r="D12" s="7" t="n">
        <v>-15</v>
      </c>
      <c r="E12" s="7" t="n">
        <v>-85</v>
      </c>
      <c r="F12" s="7" t="n">
        <v>-94</v>
      </c>
      <c r="G12" s="7" t="n">
        <v>-69</v>
      </c>
      <c r="H12" s="7" t="n">
        <v>-35</v>
      </c>
      <c r="I12" s="7" t="n">
        <v>-47</v>
      </c>
    </row>
    <row r="13">
      <c r="A13" s="6" t="inlineStr">
        <is>
          <t xml:space="preserve">  Senior and subordinated notes</t>
        </is>
      </c>
      <c r="B13" s="7" t="n">
        <v>117</v>
      </c>
      <c r="C13" s="7" t="n">
        <v>63</v>
      </c>
      <c r="D13" s="7" t="n">
        <v>17</v>
      </c>
      <c r="E13" s="7" t="n">
        <v>-101</v>
      </c>
      <c r="F13" s="7" t="n"/>
      <c r="G13" s="7" t="n">
        <v>-14</v>
      </c>
      <c r="H13" s="7" t="n">
        <v>27</v>
      </c>
      <c r="I13" s="7" t="n"/>
    </row>
    <row r="14">
      <c r="A14" s="6" t="inlineStr">
        <is>
          <t xml:space="preserve">  Total interest expense</t>
        </is>
      </c>
      <c r="B14" s="7" t="n">
        <v>1121</v>
      </c>
      <c r="C14" s="7" t="n">
        <v>681</v>
      </c>
      <c r="D14" s="7" t="n">
        <v>334</v>
      </c>
      <c r="E14" s="7" t="n">
        <v>-284</v>
      </c>
      <c r="F14" s="7" t="n">
        <v>99</v>
      </c>
      <c r="G14" s="7" t="n">
        <v>575</v>
      </c>
      <c r="H14" s="7" t="n">
        <v>681</v>
      </c>
      <c r="I14" s="7" t="n">
        <v>178</v>
      </c>
    </row>
    <row r="15">
      <c r="A15" s="6" t="inlineStr">
        <is>
          <t xml:space="preserve">  Total interest income</t>
        </is>
      </c>
      <c r="B15" s="7" t="n">
        <v>1423</v>
      </c>
      <c r="C15" s="7" t="n">
        <v>1114</v>
      </c>
      <c r="D15" s="7" t="n">
        <v>987</v>
      </c>
      <c r="E15" s="7" t="n">
        <v>241</v>
      </c>
      <c r="F15" s="7" t="n">
        <v>2548</v>
      </c>
      <c r="G15" s="7" t="n">
        <v>4903</v>
      </c>
      <c r="H15" s="7" t="n">
        <v>4813</v>
      </c>
      <c r="I15" s="7" t="n">
        <v>2557</v>
      </c>
    </row>
    <row r="16">
      <c r="A16" s="6" t="inlineStr">
        <is>
          <t xml:space="preserve">  Total loans, including loans held for sale</t>
        </is>
      </c>
      <c r="B16" s="7" t="n">
        <v>1197</v>
      </c>
      <c r="C16" s="7" t="n">
        <v>936</v>
      </c>
      <c r="D16" s="7" t="n">
        <v>851</v>
      </c>
      <c r="E16" s="7" t="n">
        <v>237</v>
      </c>
      <c r="F16" s="7" t="n">
        <v>2456</v>
      </c>
      <c r="G16" s="7" t="n">
        <v>4682</v>
      </c>
      <c r="H16" s="7" t="n">
        <v>4578</v>
      </c>
      <c r="I16" s="7" t="n">
        <v>2462</v>
      </c>
    </row>
    <row r="17">
      <c r="A17" s="6" t="inlineStr">
        <is>
          <t xml:space="preserve">  Investment securities</t>
        </is>
      </c>
      <c r="B17" s="7" t="n"/>
      <c r="C17" s="7" t="n"/>
      <c r="D17" s="7" t="n">
        <v>106</v>
      </c>
      <c r="E17" s="7" t="n">
        <v>83</v>
      </c>
      <c r="F17" s="7" t="n">
        <v>84</v>
      </c>
      <c r="G17" s="7" t="n">
        <v>90</v>
      </c>
      <c r="H17" s="7" t="n">
        <v>62</v>
      </c>
      <c r="I17" s="7" t="n">
        <v>66</v>
      </c>
    </row>
    <row r="18">
      <c r="A18" s="6" t="inlineStr">
        <is>
          <t xml:space="preserve">  Other</t>
        </is>
      </c>
      <c r="B18" s="7" t="n"/>
      <c r="C18" s="7" t="n"/>
      <c r="D18" s="7" t="n"/>
      <c r="E18" s="7" t="n"/>
      <c r="F18" s="7" t="n">
        <v>82</v>
      </c>
      <c r="G18" s="7" t="n">
        <v>60</v>
      </c>
      <c r="H18" s="7" t="n"/>
      <c r="I18" s="7" t="n"/>
    </row>
    <row r="19">
      <c r="A19" s="6" t="inlineStr">
        <is>
          <t xml:space="preserve">  Other borrowings and liabilities</t>
        </is>
      </c>
      <c r="B19" s="7" t="n"/>
      <c r="C19" s="7" t="n"/>
      <c r="D19" s="7" t="n"/>
      <c r="E19" s="7" t="n"/>
      <c r="F19" s="7" t="n">
        <v>3</v>
      </c>
      <c r="G19" s="7" t="n">
        <v>6</v>
      </c>
      <c r="H19" s="7" t="n">
        <v>17</v>
      </c>
      <c r="I19" s="7" t="n">
        <v>7</v>
      </c>
    </row>
    <row r="21">
      <c r="A21" s="5" t="inlineStr">
        <is>
          <t>Volume effect</t>
        </is>
      </c>
    </row>
    <row r="22">
      <c r="A22" s="6" t="inlineStr">
        <is>
          <t xml:space="preserve">  Cash equivalents and other interest-earning assets</t>
        </is>
      </c>
      <c r="B22" s="7" t="n">
        <v>79</v>
      </c>
      <c r="C22" s="7" t="n">
        <v>86</v>
      </c>
      <c r="D22" s="7" t="n"/>
      <c r="E22" s="7" t="n">
        <v>38</v>
      </c>
      <c r="F22" s="7" t="n">
        <v>87</v>
      </c>
      <c r="G22" s="7" t="n">
        <v>145</v>
      </c>
      <c r="H22" s="7" t="n">
        <v>232</v>
      </c>
      <c r="I22" s="7" t="n">
        <v>130</v>
      </c>
    </row>
    <row r="23">
      <c r="A23" s="6" t="inlineStr">
        <is>
          <t xml:space="preserve">  Commercial banking</t>
        </is>
      </c>
      <c r="B23" s="7" t="n">
        <v>-63</v>
      </c>
      <c r="C23" s="7" t="n">
        <v>-72</v>
      </c>
      <c r="D23" s="7" t="n">
        <v>-69</v>
      </c>
      <c r="E23" s="7" t="n">
        <v>-44</v>
      </c>
      <c r="F23" s="7" t="n">
        <v>-15</v>
      </c>
      <c r="G23" s="7" t="n">
        <v>9</v>
      </c>
      <c r="H23" s="7" t="n">
        <v>31</v>
      </c>
      <c r="I23" s="7" t="n">
        <v>34</v>
      </c>
    </row>
    <row r="24">
      <c r="A24" s="6" t="inlineStr">
        <is>
          <t xml:space="preserve">  Consumer banking</t>
        </is>
      </c>
      <c r="B24" s="7" t="n">
        <v>-72</v>
      </c>
      <c r="C24" s="7" t="n">
        <v>-44</v>
      </c>
      <c r="D24" s="7" t="n">
        <v>-19</v>
      </c>
      <c r="E24" s="7" t="n">
        <v>73</v>
      </c>
      <c r="F24" s="7" t="n">
        <v>104</v>
      </c>
      <c r="G24" s="7" t="n">
        <v>140</v>
      </c>
      <c r="H24" s="7" t="n">
        <v>168</v>
      </c>
      <c r="I24" s="7" t="n">
        <v>202</v>
      </c>
    </row>
    <row r="25">
      <c r="A25" s="6" t="inlineStr">
        <is>
          <t xml:space="preserve">  Credit card</t>
        </is>
      </c>
      <c r="B25" s="7" t="n">
        <v>713</v>
      </c>
      <c r="C25" s="7" t="n">
        <v>563</v>
      </c>
      <c r="D25" s="7" t="n">
        <v>491</v>
      </c>
      <c r="E25" s="7" t="n">
        <v>295</v>
      </c>
      <c r="F25" s="7" t="n">
        <v>2639</v>
      </c>
      <c r="G25" s="7" t="n">
        <v>5174</v>
      </c>
      <c r="H25" s="7" t="n">
        <v>4918</v>
      </c>
      <c r="I25" s="7" t="n">
        <v>2646</v>
      </c>
    </row>
    <row r="26">
      <c r="A26" s="6" t="inlineStr">
        <is>
          <t xml:space="preserve">  Interest-bearing deposits</t>
        </is>
      </c>
      <c r="B26" s="7" t="n">
        <v>60</v>
      </c>
      <c r="C26" s="7" t="n">
        <v>70</v>
      </c>
      <c r="D26" s="7" t="n">
        <v>71</v>
      </c>
      <c r="E26" s="7" t="n">
        <v>156</v>
      </c>
      <c r="F26" s="7" t="n">
        <v>519</v>
      </c>
      <c r="G26" s="7" t="n">
        <v>941</v>
      </c>
      <c r="H26" s="7" t="n">
        <v>855</v>
      </c>
      <c r="I26" s="7" t="n">
        <v>517</v>
      </c>
    </row>
    <row r="27">
      <c r="A27" s="6" t="inlineStr">
        <is>
          <t xml:space="preserve">  Net interest income</t>
        </is>
      </c>
      <c r="B27" s="7" t="n">
        <v>546</v>
      </c>
      <c r="C27" s="7" t="n">
        <v>448</v>
      </c>
      <c r="D27" s="7" t="n"/>
      <c r="E27" s="7" t="n">
        <v>327</v>
      </c>
      <c r="F27" s="7" t="n">
        <v>2385</v>
      </c>
      <c r="G27" s="7" t="n">
        <v>4621</v>
      </c>
      <c r="H27" s="7" t="n">
        <v>4437</v>
      </c>
      <c r="I27" s="7" t="n">
        <v>2511</v>
      </c>
    </row>
    <row r="28">
      <c r="A28" s="6" t="inlineStr">
        <is>
          <t xml:space="preserve">  Securitized debt obligations</t>
        </is>
      </c>
      <c r="B28" s="7" t="n">
        <v>7</v>
      </c>
      <c r="C28" s="7" t="n"/>
      <c r="D28" s="7" t="n">
        <v>-26</v>
      </c>
      <c r="E28" s="7" t="n">
        <v>-55</v>
      </c>
      <c r="F28" s="7" t="n">
        <v>-58</v>
      </c>
      <c r="G28" s="7" t="n">
        <v>-39</v>
      </c>
      <c r="H28" s="7" t="n">
        <v>-15</v>
      </c>
      <c r="I28" s="7" t="n">
        <v>-33</v>
      </c>
    </row>
    <row r="29">
      <c r="A29" s="6" t="inlineStr">
        <is>
          <t xml:space="preserve">  Senior and subordinated notes</t>
        </is>
      </c>
      <c r="B29" s="7" t="n">
        <v>35</v>
      </c>
      <c r="C29" s="7" t="n">
        <v>15</v>
      </c>
      <c r="D29" s="7" t="n">
        <v>10</v>
      </c>
      <c r="E29" s="7" t="n">
        <v>-34</v>
      </c>
      <c r="F29" s="7" t="n"/>
      <c r="G29" s="7" t="n">
        <v>68</v>
      </c>
      <c r="H29" s="7" t="n">
        <v>106</v>
      </c>
      <c r="I29" s="7" t="n"/>
    </row>
    <row r="30">
      <c r="A30" s="6" t="inlineStr">
        <is>
          <t xml:space="preserve">  Total interest expense</t>
        </is>
      </c>
      <c r="B30" s="7" t="n">
        <v>102</v>
      </c>
      <c r="C30" s="7" t="n">
        <v>81</v>
      </c>
      <c r="D30" s="7" t="n">
        <v>55</v>
      </c>
      <c r="E30" s="7" t="n">
        <v>67</v>
      </c>
      <c r="F30" s="7" t="n">
        <v>494</v>
      </c>
      <c r="G30" s="7" t="n">
        <v>973</v>
      </c>
      <c r="H30" s="7" t="n">
        <v>955</v>
      </c>
      <c r="I30" s="7" t="n">
        <v>555</v>
      </c>
    </row>
    <row r="31">
      <c r="A31" s="6" t="inlineStr">
        <is>
          <t xml:space="preserve">  Total interest income</t>
        </is>
      </c>
      <c r="B31" s="7" t="n">
        <v>648</v>
      </c>
      <c r="C31" s="7" t="n">
        <v>529</v>
      </c>
      <c r="D31" s="7" t="n">
        <v>460</v>
      </c>
      <c r="E31" s="7" t="n">
        <v>394</v>
      </c>
      <c r="F31" s="7" t="n">
        <v>2879</v>
      </c>
      <c r="G31" s="7" t="n">
        <v>5594</v>
      </c>
      <c r="H31" s="7" t="n">
        <v>5392</v>
      </c>
      <c r="I31" s="7" t="n">
        <v>3066</v>
      </c>
    </row>
    <row r="32">
      <c r="A32" s="6" t="inlineStr">
        <is>
          <t xml:space="preserve">  Total loans, including loans held for sale</t>
        </is>
      </c>
      <c r="B32" s="7" t="n">
        <v>578</v>
      </c>
      <c r="C32" s="7" t="n">
        <v>447</v>
      </c>
      <c r="D32" s="7" t="n">
        <v>403</v>
      </c>
      <c r="E32" s="7" t="n">
        <v>324</v>
      </c>
      <c r="F32" s="7" t="n">
        <v>2764</v>
      </c>
      <c r="G32" s="7" t="n">
        <v>5403</v>
      </c>
      <c r="H32" s="7" t="n">
        <v>5117</v>
      </c>
      <c r="I32" s="7" t="n">
        <v>2882</v>
      </c>
    </row>
    <row r="33">
      <c r="A33" s="6" t="inlineStr">
        <is>
          <t xml:space="preserve">  Investment securities</t>
        </is>
      </c>
      <c r="B33" s="7" t="n"/>
      <c r="C33" s="7" t="n"/>
      <c r="D33" s="7" t="n">
        <v>20</v>
      </c>
      <c r="E33" s="7" t="n">
        <v>32</v>
      </c>
      <c r="F33" s="7" t="n">
        <v>28</v>
      </c>
      <c r="G33" s="7" t="n">
        <v>46</v>
      </c>
      <c r="H33" s="7" t="n">
        <v>43</v>
      </c>
      <c r="I33" s="7" t="n">
        <v>54</v>
      </c>
    </row>
    <row r="34">
      <c r="A34" s="6" t="inlineStr">
        <is>
          <t xml:space="preserve">  Other</t>
        </is>
      </c>
      <c r="B34" s="7" t="n"/>
      <c r="C34" s="7" t="n"/>
      <c r="D34" s="7" t="n"/>
      <c r="E34" s="7" t="n"/>
      <c r="F34" s="7" t="n">
        <v>36</v>
      </c>
      <c r="G34" s="7" t="n">
        <v>80</v>
      </c>
      <c r="H34" s="7" t="n"/>
      <c r="I34" s="7" t="n"/>
    </row>
    <row r="35">
      <c r="A35" s="6" t="inlineStr">
        <is>
          <t xml:space="preserve">  Other borrowings and liabilities</t>
        </is>
      </c>
      <c r="B35" s="7" t="n"/>
      <c r="C35" s="7" t="n"/>
      <c r="D35" s="7" t="n"/>
      <c r="E35" s="7" t="n"/>
      <c r="F35" s="7" t="n">
        <v>2</v>
      </c>
      <c r="G35" s="7" t="n">
        <v>3</v>
      </c>
      <c r="H35" s="7" t="n">
        <v>9</v>
      </c>
      <c r="I35" s="7" t="n">
        <v>5</v>
      </c>
    </row>
    <row r="37">
      <c r="A37" s="5" t="inlineStr">
        <is>
          <t>Rate effect</t>
        </is>
      </c>
    </row>
    <row r="38">
      <c r="A38" s="6" t="inlineStr">
        <is>
          <t xml:space="preserve">  Cash equivalents and other interest-earning assets</t>
        </is>
      </c>
      <c r="B38" s="7" t="n">
        <v>75</v>
      </c>
      <c r="C38" s="7" t="n">
        <v>31</v>
      </c>
      <c r="D38" s="7" t="n"/>
      <c r="E38" s="7" t="n">
        <v>-117</v>
      </c>
      <c r="F38" s="7" t="n">
        <v>-79</v>
      </c>
      <c r="G38" s="7" t="n">
        <v>-14</v>
      </c>
      <c r="H38" s="7" t="n">
        <v>-59</v>
      </c>
      <c r="I38" s="7" t="n">
        <v>-101</v>
      </c>
    </row>
    <row r="39">
      <c r="A39" s="6" t="inlineStr">
        <is>
          <t xml:space="preserve">  Commercial banking</t>
        </is>
      </c>
      <c r="B39" s="7" t="n">
        <v>187</v>
      </c>
      <c r="C39" s="7" t="n">
        <v>108</v>
      </c>
      <c r="D39" s="7" t="n">
        <v>28</v>
      </c>
      <c r="E39" s="7" t="n">
        <v>-186</v>
      </c>
      <c r="F39" s="7" t="n">
        <v>-180</v>
      </c>
      <c r="G39" s="7" t="n">
        <v>-184</v>
      </c>
      <c r="H39" s="7" t="n">
        <v>-135</v>
      </c>
      <c r="I39" s="7" t="n">
        <v>-147</v>
      </c>
    </row>
    <row r="40">
      <c r="A40" s="6" t="inlineStr">
        <is>
          <t xml:space="preserve">  Consumer banking</t>
        </is>
      </c>
      <c r="B40" s="7" t="n">
        <v>175</v>
      </c>
      <c r="C40" s="7" t="n">
        <v>169</v>
      </c>
      <c r="D40" s="7" t="n">
        <v>174</v>
      </c>
      <c r="E40" s="7" t="n">
        <v>136</v>
      </c>
      <c r="F40" s="7" t="n">
        <v>146</v>
      </c>
      <c r="G40" s="7" t="n">
        <v>126</v>
      </c>
      <c r="H40" s="7" t="n">
        <v>79</v>
      </c>
      <c r="I40" s="7" t="n">
        <v>58</v>
      </c>
    </row>
    <row r="41">
      <c r="A41" s="6" t="inlineStr">
        <is>
          <t xml:space="preserve">  Credit card</t>
        </is>
      </c>
      <c r="B41" s="7" t="n">
        <v>301</v>
      </c>
      <c r="C41" s="7" t="n">
        <v>223</v>
      </c>
      <c r="D41" s="7" t="n">
        <v>237</v>
      </c>
      <c r="E41" s="7" t="n">
        <v>-114</v>
      </c>
      <c r="F41" s="7" t="n">
        <v>-320</v>
      </c>
      <c r="G41" s="7" t="n">
        <v>-643</v>
      </c>
      <c r="H41" s="7" t="n">
        <v>-533</v>
      </c>
      <c r="I41" s="7" t="n">
        <v>-383</v>
      </c>
    </row>
    <row r="42">
      <c r="A42" s="6" t="inlineStr">
        <is>
          <t xml:space="preserve">  Interest-bearing deposits</t>
        </is>
      </c>
      <c r="B42" s="7" t="n">
        <v>896</v>
      </c>
      <c r="C42" s="7" t="n">
        <v>527</v>
      </c>
      <c r="D42" s="7" t="n">
        <v>263</v>
      </c>
      <c r="E42" s="7" t="n">
        <v>-253</v>
      </c>
      <c r="F42" s="7" t="n">
        <v>-273</v>
      </c>
      <c r="G42" s="7" t="n">
        <v>-289</v>
      </c>
      <c r="H42" s="7" t="n">
        <v>-183</v>
      </c>
      <c r="I42" s="7" t="n">
        <v>-299</v>
      </c>
    </row>
    <row r="43">
      <c r="A43" s="6" t="inlineStr">
        <is>
          <t xml:space="preserve">  Net interest income</t>
        </is>
      </c>
      <c r="B43" s="7" t="n">
        <v>-244</v>
      </c>
      <c r="C43" s="7" t="n">
        <v>-15</v>
      </c>
      <c r="D43" s="7" t="n"/>
      <c r="E43" s="7" t="n">
        <v>198</v>
      </c>
      <c r="F43" s="7" t="n">
        <v>64</v>
      </c>
      <c r="G43" s="7" t="n">
        <v>-293</v>
      </c>
      <c r="H43" s="7" t="n">
        <v>-305</v>
      </c>
      <c r="I43" s="7" t="n">
        <v>-132</v>
      </c>
    </row>
    <row r="44">
      <c r="A44" s="6" t="inlineStr">
        <is>
          <t xml:space="preserve">  Securitized debt obligations</t>
        </is>
      </c>
      <c r="B44" s="7" t="n">
        <v>43</v>
      </c>
      <c r="C44" s="7" t="n"/>
      <c r="D44" s="7" t="n">
        <v>11</v>
      </c>
      <c r="E44" s="7" t="n">
        <v>-30</v>
      </c>
      <c r="F44" s="7" t="n">
        <v>-36</v>
      </c>
      <c r="G44" s="7" t="n">
        <v>-30</v>
      </c>
      <c r="H44" s="7" t="n">
        <v>-20</v>
      </c>
      <c r="I44" s="7" t="n">
        <v>-14</v>
      </c>
    </row>
    <row r="45">
      <c r="A45" s="6" t="inlineStr">
        <is>
          <t xml:space="preserve">  Senior and subordinated notes</t>
        </is>
      </c>
      <c r="B45" s="7" t="n">
        <v>82</v>
      </c>
      <c r="C45" s="7" t="n">
        <v>48</v>
      </c>
      <c r="D45" s="7" t="n">
        <v>7</v>
      </c>
      <c r="E45" s="7" t="n">
        <v>-67</v>
      </c>
      <c r="F45" s="7" t="n"/>
      <c r="G45" s="7" t="n">
        <v>-82</v>
      </c>
      <c r="H45" s="7" t="n">
        <v>-79</v>
      </c>
      <c r="I45" s="7" t="n"/>
    </row>
    <row r="46">
      <c r="A46" s="6" t="inlineStr">
        <is>
          <t xml:space="preserve">  Total interest expense</t>
        </is>
      </c>
      <c r="B46" s="7" t="n">
        <v>1019</v>
      </c>
      <c r="C46" s="7" t="n">
        <v>600</v>
      </c>
      <c r="D46" s="7" t="n">
        <v>279</v>
      </c>
      <c r="E46" s="7" t="n">
        <v>-351</v>
      </c>
      <c r="F46" s="7" t="n">
        <v>-395</v>
      </c>
      <c r="G46" s="7" t="n">
        <v>-398</v>
      </c>
      <c r="H46" s="7" t="n">
        <v>-274</v>
      </c>
      <c r="I46" s="7" t="n">
        <v>-377</v>
      </c>
    </row>
    <row r="47">
      <c r="A47" s="6" t="inlineStr">
        <is>
          <t xml:space="preserve">  Total interest income</t>
        </is>
      </c>
      <c r="B47" s="7" t="n">
        <v>775</v>
      </c>
      <c r="C47" s="7" t="n">
        <v>585</v>
      </c>
      <c r="D47" s="7" t="n">
        <v>527</v>
      </c>
      <c r="E47" s="7" t="n">
        <v>-153</v>
      </c>
      <c r="F47" s="7" t="n">
        <v>-331</v>
      </c>
      <c r="G47" s="7" t="n">
        <v>-691</v>
      </c>
      <c r="H47" s="7" t="n">
        <v>-579</v>
      </c>
      <c r="I47" s="7" t="n">
        <v>-509</v>
      </c>
    </row>
    <row r="48">
      <c r="A48" s="6" t="inlineStr">
        <is>
          <t xml:space="preserve">  Total loans, including loans held for sale</t>
        </is>
      </c>
      <c r="B48" s="7" t="n">
        <v>619</v>
      </c>
      <c r="C48" s="7" t="n">
        <v>489</v>
      </c>
      <c r="D48" s="7" t="n">
        <v>448</v>
      </c>
      <c r="E48" s="7" t="n">
        <v>-87</v>
      </c>
      <c r="F48" s="7" t="n">
        <v>-308</v>
      </c>
      <c r="G48" s="7" t="n">
        <v>-721</v>
      </c>
      <c r="H48" s="7" t="n">
        <v>-539</v>
      </c>
      <c r="I48" s="7" t="n">
        <v>-420</v>
      </c>
    </row>
    <row r="49">
      <c r="A49" s="6" t="inlineStr">
        <is>
          <t xml:space="preserve">  Investment securities</t>
        </is>
      </c>
      <c r="B49" s="7" t="n"/>
      <c r="C49" s="7" t="n"/>
      <c r="D49" s="7" t="n">
        <v>86</v>
      </c>
      <c r="E49" s="7" t="n">
        <v>51</v>
      </c>
      <c r="F49" s="7" t="n">
        <v>56</v>
      </c>
      <c r="G49" s="7" t="n">
        <v>44</v>
      </c>
      <c r="H49" s="7" t="n">
        <v>19</v>
      </c>
      <c r="I49" s="7" t="n">
        <v>12</v>
      </c>
    </row>
    <row r="50">
      <c r="A50" s="6" t="inlineStr">
        <is>
          <t xml:space="preserve">  Other</t>
        </is>
      </c>
      <c r="B50" s="7" t="n"/>
      <c r="C50" s="7" t="n"/>
      <c r="D50" s="7" t="n"/>
      <c r="E50" s="7" t="n"/>
      <c r="F50" s="7" t="n">
        <v>46</v>
      </c>
      <c r="G50" s="7" t="n">
        <v>-20</v>
      </c>
      <c r="H50" s="7" t="n"/>
      <c r="I50" s="7" t="n"/>
    </row>
    <row r="51">
      <c r="A51" s="6" t="inlineStr">
        <is>
          <t xml:space="preserve">  Other borrowings and liabilities</t>
        </is>
      </c>
      <c r="B51" s="7" t="n"/>
      <c r="C51" s="7" t="n"/>
      <c r="D51" s="7" t="n"/>
      <c r="E51" s="7" t="n"/>
      <c r="F51" s="7" t="n">
        <v>1</v>
      </c>
      <c r="G51" s="7" t="n">
        <v>3</v>
      </c>
      <c r="H51" s="7" t="n">
        <v>8</v>
      </c>
      <c r="I51" s="7" t="n">
        <v>2</v>
      </c>
    </row>
    <row r="53">
      <c r="A53" s="5" t="inlineStr">
        <is>
          <t>CHECK: volume + rate − total variance</t>
        </is>
      </c>
    </row>
    <row r="54">
      <c r="A54" s="6" t="inlineStr">
        <is>
          <t xml:space="preserve">  Cash equivalents and other interest-earning assets</t>
        </is>
      </c>
      <c r="B54" s="11">
        <f>B22+B38-B6</f>
        <v/>
      </c>
      <c r="C54" s="11">
        <f>C22+C38-C6</f>
        <v/>
      </c>
      <c r="D54" s="11">
        <f>D22+D38-D6</f>
        <v/>
      </c>
      <c r="E54" s="11">
        <f>E22+E38-E6</f>
        <v/>
      </c>
      <c r="F54" s="11">
        <f>F22+F38-F6</f>
        <v/>
      </c>
      <c r="G54" s="11">
        <f>G22+G38-G6</f>
        <v/>
      </c>
      <c r="H54" s="11">
        <f>H22+H38-H6</f>
        <v/>
      </c>
      <c r="I54" s="11">
        <f>I22+I38-I6</f>
        <v/>
      </c>
    </row>
    <row r="55">
      <c r="A55" s="6" t="inlineStr">
        <is>
          <t xml:space="preserve">  Commercial banking</t>
        </is>
      </c>
      <c r="B55" s="11">
        <f>B23+B39-B7</f>
        <v/>
      </c>
      <c r="C55" s="11">
        <f>C23+C39-C7</f>
        <v/>
      </c>
      <c r="D55" s="11">
        <f>D23+D39-D7</f>
        <v/>
      </c>
      <c r="E55" s="11">
        <f>E23+E39-E7</f>
        <v/>
      </c>
      <c r="F55" s="11">
        <f>F23+F39-F7</f>
        <v/>
      </c>
      <c r="G55" s="11">
        <f>G23+G39-G7</f>
        <v/>
      </c>
      <c r="H55" s="11">
        <f>H23+H39-H7</f>
        <v/>
      </c>
      <c r="I55" s="11">
        <f>I23+I39-I7</f>
        <v/>
      </c>
    </row>
    <row r="56">
      <c r="A56" s="6" t="inlineStr">
        <is>
          <t xml:space="preserve">  Consumer banking</t>
        </is>
      </c>
      <c r="B56" s="11">
        <f>B24+B40-B8</f>
        <v/>
      </c>
      <c r="C56" s="11">
        <f>C24+C40-C8</f>
        <v/>
      </c>
      <c r="D56" s="11">
        <f>D24+D40-D8</f>
        <v/>
      </c>
      <c r="E56" s="11">
        <f>E24+E40-E8</f>
        <v/>
      </c>
      <c r="F56" s="11">
        <f>F24+F40-F8</f>
        <v/>
      </c>
      <c r="G56" s="11">
        <f>G24+G40-G8</f>
        <v/>
      </c>
      <c r="H56" s="11">
        <f>H24+H40-H8</f>
        <v/>
      </c>
      <c r="I56" s="11">
        <f>I24+I40-I8</f>
        <v/>
      </c>
    </row>
    <row r="57">
      <c r="A57" s="6" t="inlineStr">
        <is>
          <t xml:space="preserve">  Credit card</t>
        </is>
      </c>
      <c r="B57" s="11">
        <f>B25+B41-B9</f>
        <v/>
      </c>
      <c r="C57" s="11">
        <f>C25+C41-C9</f>
        <v/>
      </c>
      <c r="D57" s="11">
        <f>D25+D41-D9</f>
        <v/>
      </c>
      <c r="E57" s="11">
        <f>E25+E41-E9</f>
        <v/>
      </c>
      <c r="F57" s="11">
        <f>F25+F41-F9</f>
        <v/>
      </c>
      <c r="G57" s="11">
        <f>G25+G41-G9</f>
        <v/>
      </c>
      <c r="H57" s="11">
        <f>H25+H41-H9</f>
        <v/>
      </c>
      <c r="I57" s="11">
        <f>I25+I41-I9</f>
        <v/>
      </c>
    </row>
    <row r="58">
      <c r="A58" s="6" t="inlineStr">
        <is>
          <t xml:space="preserve">  Interest-bearing deposits</t>
        </is>
      </c>
      <c r="B58" s="11">
        <f>B26+B42-B10</f>
        <v/>
      </c>
      <c r="C58" s="11">
        <f>C26+C42-C10</f>
        <v/>
      </c>
      <c r="D58" s="11">
        <f>D26+D42-D10</f>
        <v/>
      </c>
      <c r="E58" s="11">
        <f>E26+E42-E10</f>
        <v/>
      </c>
      <c r="F58" s="11">
        <f>F26+F42-F10</f>
        <v/>
      </c>
      <c r="G58" s="11">
        <f>G26+G42-G10</f>
        <v/>
      </c>
      <c r="H58" s="11">
        <f>H26+H42-H10</f>
        <v/>
      </c>
      <c r="I58" s="11">
        <f>I26+I42-I10</f>
        <v/>
      </c>
    </row>
    <row r="59">
      <c r="A59" s="6" t="inlineStr">
        <is>
          <t xml:space="preserve">  Net interest income</t>
        </is>
      </c>
      <c r="B59" s="11">
        <f>B27+B43-B11</f>
        <v/>
      </c>
      <c r="C59" s="11">
        <f>C27+C43-C11</f>
        <v/>
      </c>
      <c r="D59" s="11">
        <f>D27+D43-D11</f>
        <v/>
      </c>
      <c r="E59" s="11">
        <f>E27+E43-E11</f>
        <v/>
      </c>
      <c r="F59" s="11">
        <f>F27+F43-F11</f>
        <v/>
      </c>
      <c r="G59" s="11">
        <f>G27+G43-G11</f>
        <v/>
      </c>
      <c r="H59" s="11">
        <f>H27+H43-H11</f>
        <v/>
      </c>
      <c r="I59" s="11">
        <f>I27+I43-I11</f>
        <v/>
      </c>
    </row>
    <row r="60">
      <c r="A60" s="6" t="inlineStr">
        <is>
          <t xml:space="preserve">  Securitized debt obligations</t>
        </is>
      </c>
      <c r="B60" s="11">
        <f>B28+B44-B12</f>
        <v/>
      </c>
      <c r="C60" s="11">
        <f>C28+C44-C12</f>
        <v/>
      </c>
      <c r="D60" s="11">
        <f>D28+D44-D12</f>
        <v/>
      </c>
      <c r="E60" s="11">
        <f>E28+E44-E12</f>
        <v/>
      </c>
      <c r="F60" s="11">
        <f>F28+F44-F12</f>
        <v/>
      </c>
      <c r="G60" s="11">
        <f>G28+G44-G12</f>
        <v/>
      </c>
      <c r="H60" s="11">
        <f>H28+H44-H12</f>
        <v/>
      </c>
      <c r="I60" s="11">
        <f>I28+I44-I12</f>
        <v/>
      </c>
    </row>
    <row r="61">
      <c r="A61" s="6" t="inlineStr">
        <is>
          <t xml:space="preserve">  Senior and subordinated notes</t>
        </is>
      </c>
      <c r="B61" s="11">
        <f>B29+B45-B13</f>
        <v/>
      </c>
      <c r="C61" s="11">
        <f>C29+C45-C13</f>
        <v/>
      </c>
      <c r="D61" s="11">
        <f>D29+D45-D13</f>
        <v/>
      </c>
      <c r="E61" s="11">
        <f>E29+E45-E13</f>
        <v/>
      </c>
      <c r="F61" s="11">
        <f>F29+F45-F13</f>
        <v/>
      </c>
      <c r="G61" s="11">
        <f>G29+G45-G13</f>
        <v/>
      </c>
      <c r="H61" s="11">
        <f>H29+H45-H13</f>
        <v/>
      </c>
      <c r="I61" s="11">
        <f>I29+I45-I13</f>
        <v/>
      </c>
    </row>
    <row r="62">
      <c r="A62" s="6" t="inlineStr">
        <is>
          <t xml:space="preserve">  Total interest expense</t>
        </is>
      </c>
      <c r="B62" s="11">
        <f>B30+B46-B14</f>
        <v/>
      </c>
      <c r="C62" s="11">
        <f>C30+C46-C14</f>
        <v/>
      </c>
      <c r="D62" s="11">
        <f>D30+D46-D14</f>
        <v/>
      </c>
      <c r="E62" s="11">
        <f>E30+E46-E14</f>
        <v/>
      </c>
      <c r="F62" s="11">
        <f>F30+F46-F14</f>
        <v/>
      </c>
      <c r="G62" s="11">
        <f>G30+G46-G14</f>
        <v/>
      </c>
      <c r="H62" s="11">
        <f>H30+H46-H14</f>
        <v/>
      </c>
      <c r="I62" s="11">
        <f>I30+I46-I14</f>
        <v/>
      </c>
    </row>
    <row r="63">
      <c r="A63" s="6" t="inlineStr">
        <is>
          <t xml:space="preserve">  Total interest income</t>
        </is>
      </c>
      <c r="B63" s="11">
        <f>B31+B47-B15</f>
        <v/>
      </c>
      <c r="C63" s="11">
        <f>C31+C47-C15</f>
        <v/>
      </c>
      <c r="D63" s="11">
        <f>D31+D47-D15</f>
        <v/>
      </c>
      <c r="E63" s="11">
        <f>E31+E47-E15</f>
        <v/>
      </c>
      <c r="F63" s="11">
        <f>F31+F47-F15</f>
        <v/>
      </c>
      <c r="G63" s="11">
        <f>G31+G47-G15</f>
        <v/>
      </c>
      <c r="H63" s="11">
        <f>H31+H47-H15</f>
        <v/>
      </c>
      <c r="I63" s="11">
        <f>I31+I47-I15</f>
        <v/>
      </c>
    </row>
    <row r="64">
      <c r="A64" s="6" t="inlineStr">
        <is>
          <t xml:space="preserve">  Total loans, including loans held for sale</t>
        </is>
      </c>
      <c r="B64" s="11">
        <f>B32+B48-B16</f>
        <v/>
      </c>
      <c r="C64" s="11">
        <f>C32+C48-C16</f>
        <v/>
      </c>
      <c r="D64" s="11">
        <f>D32+D48-D16</f>
        <v/>
      </c>
      <c r="E64" s="11">
        <f>E32+E48-E16</f>
        <v/>
      </c>
      <c r="F64" s="11">
        <f>F32+F48-F16</f>
        <v/>
      </c>
      <c r="G64" s="11">
        <f>G32+G48-G16</f>
        <v/>
      </c>
      <c r="H64" s="11">
        <f>H32+H48-H16</f>
        <v/>
      </c>
      <c r="I64" s="11">
        <f>I32+I48-I16</f>
        <v/>
      </c>
    </row>
    <row r="65">
      <c r="A65" s="6" t="inlineStr">
        <is>
          <t xml:space="preserve">  Investment securities</t>
        </is>
      </c>
      <c r="B65" s="11">
        <f>B33+B49-B17</f>
        <v/>
      </c>
      <c r="C65" s="11">
        <f>C33+C49-C17</f>
        <v/>
      </c>
      <c r="D65" s="11">
        <f>D33+D49-D17</f>
        <v/>
      </c>
      <c r="E65" s="11">
        <f>E33+E49-E17</f>
        <v/>
      </c>
      <c r="F65" s="11">
        <f>F33+F49-F17</f>
        <v/>
      </c>
      <c r="G65" s="11">
        <f>G33+G49-G17</f>
        <v/>
      </c>
      <c r="H65" s="11">
        <f>H33+H49-H17</f>
        <v/>
      </c>
      <c r="I65" s="11">
        <f>I33+I49-I17</f>
        <v/>
      </c>
    </row>
    <row r="66">
      <c r="A66" s="6" t="inlineStr">
        <is>
          <t xml:space="preserve">  Other</t>
        </is>
      </c>
      <c r="B66" s="11">
        <f>B34+B50-B18</f>
        <v/>
      </c>
      <c r="C66" s="11">
        <f>C34+C50-C18</f>
        <v/>
      </c>
      <c r="D66" s="11">
        <f>D34+D50-D18</f>
        <v/>
      </c>
      <c r="E66" s="11">
        <f>E34+E50-E18</f>
        <v/>
      </c>
      <c r="F66" s="11">
        <f>F34+F50-F18</f>
        <v/>
      </c>
      <c r="G66" s="11">
        <f>G34+G50-G18</f>
        <v/>
      </c>
      <c r="H66" s="11">
        <f>H34+H50-H18</f>
        <v/>
      </c>
      <c r="I66" s="11">
        <f>I34+I50-I18</f>
        <v/>
      </c>
    </row>
    <row r="67">
      <c r="A67" s="6" t="inlineStr">
        <is>
          <t xml:space="preserve">  Other borrowings and liabilities</t>
        </is>
      </c>
      <c r="B67" s="11">
        <f>B35+B51-B19</f>
        <v/>
      </c>
      <c r="C67" s="11">
        <f>C35+C51-C19</f>
        <v/>
      </c>
      <c r="D67" s="11">
        <f>D35+D51-D19</f>
        <v/>
      </c>
      <c r="E67" s="11">
        <f>E35+E51-E19</f>
        <v/>
      </c>
      <c r="F67" s="11">
        <f>F35+F51-F19</f>
        <v/>
      </c>
      <c r="G67" s="11">
        <f>G35+G51-G19</f>
        <v/>
      </c>
      <c r="H67" s="11">
        <f>H35+H51-H19</f>
        <v/>
      </c>
      <c r="I67" s="11">
        <f>I35+I51-I19</f>
        <v/>
      </c>
    </row>
    <row r="69">
      <c r="A69" s="2" t="inlineStr">
        <is>
          <t>Every CHECK cell should read zero: the issuer's volume and rate effects must sum to the reported total variance.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10" customWidth="1" min="1" max="1"/>
  </cols>
  <sheetData>
    <row r="1">
      <c r="A1" s="12" t="inlineStr">
        <is>
          <t>Capital One — NII reconciliation workbook</t>
        </is>
      </c>
    </row>
    <row r="2">
      <c r="A2" s="13" t="inlineStr"/>
    </row>
    <row r="3">
      <c r="A3" s="14" t="inlineStr">
        <is>
          <t>WHAT IS IN HERE</t>
        </is>
      </c>
    </row>
    <row r="4">
      <c r="A4" s="15" t="inlineStr">
        <is>
          <t>Segment NII Recon — net interest income and the full segment P&amp;L by business segment, with the sum of segments reconciled to the consolidated total. This is the reconciliation table proper.</t>
        </is>
      </c>
    </row>
    <row r="5">
      <c r="A5" s="15" t="inlineStr">
        <is>
          <t>Avg Bal &amp; Yield — average balance, interest, and average yield/rate by earning-asset and funding category.</t>
        </is>
      </c>
    </row>
    <row r="6">
      <c r="A6" s="15" t="inlineStr">
        <is>
          <t>Rate-Volume — the change in NII split into volume and rate effects.</t>
        </is>
      </c>
    </row>
    <row r="7">
      <c r="A7" s="13" t="inlineStr"/>
    </row>
    <row r="8">
      <c r="A8" s="14" t="inlineStr">
        <is>
          <t>SOURCES</t>
        </is>
      </c>
    </row>
    <row r="9">
      <c r="A9" s="15" t="inlineStr">
        <is>
          <t>Segment data: Capital One Financial Corp (CIK 0000927628) Forms 10-Q and 10-K, 'Segment Results and Reconciliation' note (Table 13.1).</t>
        </is>
      </c>
    </row>
    <row r="10">
      <c r="A10" s="15" t="inlineStr">
        <is>
          <t>Average balance and rate/volume data: same filings, MD&amp;A tables 'Average Balances, Net Interest Income and Net Interest Margin' and 'Rate/Volume Analysis of Net Interest Income'.</t>
        </is>
      </c>
    </row>
    <row r="11">
      <c r="A11" s="15" t="inlineStr">
        <is>
          <t>Filings retrieved from SEC EDGAR: https://www.sec.gov/cgi-bin/browse-edgar?action=getcompany&amp;CIK=0000927628</t>
        </is>
      </c>
    </row>
    <row r="12">
      <c r="A12" s="13" t="inlineStr"/>
    </row>
    <row r="13">
      <c r="A13" s="14" t="inlineStr">
        <is>
          <t>METHOD AND ASSUMPTIONS</t>
        </is>
      </c>
    </row>
    <row r="14">
      <c r="A14" s="15" t="inlineStr">
        <is>
          <t>The MD&amp;A tables are NOT XBRL-tagged — probing six values (average balances, yields, rate/volume variances) returned zero tagged hits, while figures that also appear on the face of the income statement are tagged. So these numbers are parsed from the rendered HTML tables, not read from XBRL.</t>
        </is>
      </c>
    </row>
    <row r="15">
      <c r="A15" s="15" t="inlineStr">
        <is>
          <t>Parsing maps the ordered numeric values in each row onto the ordered column headers, because '$' and '%' occupy their own cells and make column position unreliable. Any row whose value count does not match the header count is rejected rather than guessed at.</t>
        </is>
      </c>
    </row>
    <row r="16">
      <c r="A16" s="15" t="inlineStr">
        <is>
          <t>Q4 columns marked (D) are DERIVED as full year minus nine months. No 3-month Q4 segment table is reported: the 10-K segment table is annual and the 10-Q tables are 3/6/9-month. The subtraction is exact but spans two filings, so a restatement between them would land here. Q1+Q2+Q3 ties to the as-reported nine-month figure across all tested concepts, so no restatement occurred.</t>
        </is>
      </c>
    </row>
    <row r="17">
      <c r="A17" s="13" t="inlineStr"/>
    </row>
    <row r="18">
      <c r="A18" s="14" t="inlineStr">
        <is>
          <t>CAVEATS</t>
        </is>
      </c>
    </row>
    <row r="19">
      <c r="A19" s="15" t="inlineStr">
        <is>
          <t>Average balances are averages over the period, NOT period-end, so they will not tie to the balance sheet.</t>
        </is>
      </c>
    </row>
    <row r="20">
      <c r="A20" s="15" t="inlineStr">
        <is>
          <t>Yields are annualised and stored as fractions (0.1721 displays as 17.21%).</t>
        </is>
      </c>
    </row>
    <row r="21">
      <c r="A21" s="15" t="inlineStr">
        <is>
          <t>The rate/volume table compares each quarter against the PRIOR-YEAR quarter, not the preceding one, so the columns do not chain. The split of the joint rate-volume effect follows the issuer's own allocation convention.</t>
        </is>
      </c>
    </row>
    <row r="22">
      <c r="A22" s="13" t="inlineStr"/>
    </row>
    <row r="23">
      <c r="A23" s="14" t="inlineStr">
        <is>
          <t>VALIDATION</t>
        </is>
      </c>
    </row>
    <row r="24">
      <c r="A24" s="15" t="inlineStr">
        <is>
          <t>Segment NII sums to the consolidated total at zero difference in all 14 quarters (2023Q1–2026Q2), and each consolidated figure matches the income statement extracted independently from XBRL.</t>
        </is>
      </c>
    </row>
    <row r="25">
      <c r="A25" s="15" t="inlineStr">
        <is>
          <t>Volume + rate ties to total variance on the Rate-Volume sheet.</t>
        </is>
      </c>
    </row>
    <row r="26">
      <c r="A26" s="13" t="inlineStr"/>
    </row>
    <row r="27">
      <c r="A27" s="14" t="inlineStr">
        <is>
          <t>CONVENTIONS</t>
        </is>
      </c>
    </row>
    <row r="28">
      <c r="A28" s="15" t="inlineStr">
        <is>
          <t>Blue text = figure as reported in the filing (a hardcoded input). Black text = live formula. Yellow fill = reconciliation check, which should read zero.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2026-09-16T06:25:03Z</dcterms:created>
  <dcterms:modified xmlns:dcterms="http://purl.org/dc/terms/" xmlns:xsi="http://www.w3.org/2001/XMLSchema-instance" xsi:type="dcterms:W3CDTF">2026-09-16T06:25:03Z</dcterms:modified>
</cp:coreProperties>
</file>