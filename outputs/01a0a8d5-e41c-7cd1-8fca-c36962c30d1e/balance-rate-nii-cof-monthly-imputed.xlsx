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090d17a7ef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ance" sheetId="1" r:id="Ra787dfb2574d4f7f"/>
    <x:sheet xmlns:r="http://schemas.openxmlformats.org/officeDocument/2006/relationships" name="Rate" sheetId="2" r:id="Rf362f2f594174573"/>
    <x:sheet xmlns:r="http://schemas.openxmlformats.org/officeDocument/2006/relationships" name="Net Interest Income" sheetId="3" r:id="R4bf567b06b4a4719"/>
    <x:sheet xmlns:r="http://schemas.openxmlformats.org/officeDocument/2006/relationships" name="Notes &amp; Sources" sheetId="4" r:id="R388f53b3f54f4160"/>
    <x:sheet xmlns:r="http://schemas.openxmlformats.org/officeDocument/2006/relationships" name="Monthly Balance" sheetId="5" r:id="R42f9a2389f9a41f9"/>
    <x:sheet xmlns:r="http://schemas.openxmlformats.org/officeDocument/2006/relationships" name="Monthly NII" sheetId="6" r:id="R1eaea025ff02447b"/>
    <x:sheet xmlns:r="http://schemas.openxmlformats.org/officeDocument/2006/relationships" name="Monthly Rate" sheetId="7" r:id="R791da34b4c134579"/>
    <x:sheet xmlns:r="http://schemas.openxmlformats.org/officeDocument/2006/relationships" name="Monthly Checks" sheetId="8" r:id="Rbc9c051a90a44865"/>
  </x:sheets>
</x:workbook>
</file>

<file path=xl/sharedStrings.xml><?xml version="1.0" encoding="utf-8"?>
<x:sst xmlns:x="http://schemas.openxmlformats.org/spreadsheetml/2006/main">
  <x:si>
    <x:t xml:space="preserve">Capital One — Average Balance by line item ($mm)</x:t>
  </x:si>
  <x:si>
    <x:t xml:space="preserve">AVERAGE balance over the quarter, not period-end — will not tie to the balance sheet. Column header is the quarter-end date. (D) = Q4 derived as (FY avg x12 − 9M avg x9)/3. Source: COF 10-Q/10-K average balance table.</x:t>
  </x:si>
  <x:si>
    <x:t xml:space="preserve">Line item (as disclosed)</x:t>
  </x:si>
  <x:si>
    <x:t xml:space="preserve">2023-03-31</x:t>
  </x:si>
  <x:si>
    <x:t xml:space="preserve">2023-06-30</x:t>
  </x:si>
  <x:si>
    <x:t xml:space="preserve">2023-09-30</x:t>
  </x:si>
  <x:si>
    <x:t xml:space="preserve">2023-12-31 (D)</x:t>
  </x:si>
  <x:si>
    <x:t xml:space="preserve">2024-03-31</x:t>
  </x:si>
  <x:si>
    <x:t xml:space="preserve">2024-06-30</x:t>
  </x:si>
  <x:si>
    <x:t xml:space="preserve">2024-09-30</x:t>
  </x:si>
  <x:si>
    <x:t xml:space="preserve">2024-12-31 (D)</x:t>
  </x:si>
  <x:si>
    <x:t xml:space="preserve">2025-03-31</x:t>
  </x:si>
  <x:si>
    <x:t xml:space="preserve">2025-06-30</x:t>
  </x:si>
  <x:si>
    <x:t xml:space="preserve">2025-09-30</x:t>
  </x:si>
  <x:si>
    <x:t xml:space="preserve">2025-12-31 (D)</x:t>
  </x:si>
  <x:si>
    <x:t xml:space="preserve">2026-03-31</x:t>
  </x:si>
  <x:si>
    <x:t xml:space="preserve">2026-06-30</x:t>
  </x:si>
  <x:si>
    <x:t xml:space="preserve">INTEREST-EARNING ASSETS</x:t>
  </x:si>
  <x:si>
    <x:t xml:space="preserve">  Credit card</x:t>
  </x:si>
  <x:si>
    <x:t xml:space="preserve">  Consumer banking</x:t>
  </x:si>
  <x:si>
    <x:t xml:space="preserve">  Commercial banking</x:t>
  </x:si>
  <x:si>
    <x:t xml:space="preserve">  Total loans (incl. HFS)</x:t>
  </x:si>
  <x:si>
    <x:t xml:space="preserve">  Investment securities</x:t>
  </x:si>
  <x:si>
    <x:t xml:space="preserve">  Cash equivalents and other</x:t>
  </x:si>
  <x:si>
    <x:t xml:space="preserve">  Total interest-earning assets</x:t>
  </x:si>
  <x:si>
    <x:t xml:space="preserve">INTEREST-BEARING LIABILITIES</x:t>
  </x:si>
  <x:si>
    <x:t xml:space="preserve">  Interest-bearing deposits</x:t>
  </x:si>
  <x:si>
    <x:t xml:space="preserve">  Securitized debt obligations</x:t>
  </x:si>
  <x:si>
    <x:t xml:space="preserve">  Senior and subordinated notes</x:t>
  </x:si>
  <x:si>
    <x:t xml:space="preserve">  Other borrowings</x:t>
  </x:si>
  <x:si>
    <x:t xml:space="preserve">  Total interest-bearing liabilities</x:t>
  </x:si>
  <x:si>
    <x:t xml:space="preserve">Net earning assets (assets − liabilities)</x:t>
  </x:si>
  <x:si>
    <x:t xml:space="preserve">Capital One — Average Yield / Rate by line item (annualised)</x:t>
  </x:si>
  <x:si>
    <x:t xml:space="preserve">Annualised yield on assets and cost of funds on liabilities, as disclosed. (D) = Q4 recomputed as derived interest / derived balance x4; rates cannot be derived by subtraction. Stored as fractions.</x:t>
  </x:si>
  <x:si>
    <x:t xml:space="preserve">Net interest spread (asset yield − funding cost)</x:t>
  </x:si>
  <x:si>
    <x:t xml:space="preserve">Net interest margin (NII / avg earning assets)</x:t>
  </x:si>
  <x:si>
    <x:t xml:space="preserve">Capital One — Interest Income / Expense by line item ($mm, quarterly)</x:t>
  </x:si>
  <x:si>
    <x:t xml:space="preserve">Interest income on assets, interest expense on liabilities, as disclosed (expense shown positive). NII = total interest income − total interest expense. (D) = Q4 derived as FY − 9M; interest is additive so this is exact.</x:t>
  </x:si>
  <x:si>
    <x:t xml:space="preserve">NET INTEREST INCOME</x:t>
  </x:si>
  <x:si>
    <x:t xml:space="preserve">CHECK: NII vs income statement (flows.csv)</x:t>
  </x:si>
  <x:si>
    <x:t xml:space="preserve">  Income statement NII (XBRL)</x:t>
  </x:si>
  <x:si>
    <x:t xml:space="preserve">  Difference</x:t>
  </x:si>
  <x:si>
    <x:t xml:space="preserve">Blue = as disclosed. Green = from the XBRL income statement (independent source). Black = formula. Difference should be zero: the MD&amp;A average-balance table and the income statement must agree on NII.</x:t>
  </x:si>
  <x:si>
    <x:t xml:space="preserve">Balance / Rate / Net Interest Income — Capital One</x:t>
  </x:si>
  <x:si>
    <x:t xml:space="preserve">ON "GL ACCOUNTS"</x:t>
  </x:si>
  <x:si>
    <x:t xml:space="preserve">SEC filings do not expose a general ledger. These rows are the line items Capital One discloses in its average-balance table — the finest account-level granularity available externally. They are groupings, not GL account numbers.</x:t>
  </x:si>
  <x:si>
    <x:t xml:space="preserve">WHAT EACH TABLE HOLDS</x:t>
  </x:si>
  <x:si>
    <x:t xml:space="preserve">Balance — AVERAGE balance over the quarter, in $mm. Not period-end; it will not tie to the balance sheet.</x:t>
  </x:si>
  <x:si>
    <x:t xml:space="preserve">Rate — annualised yield (assets) and cost of funds (liabilities), stored as fractions and displayed as percentages.</x:t>
  </x:si>
  <x:si>
    <x:t xml:space="preserve">Net Interest Income — interest income on assets and interest expense on liabilities, with NII computed as the difference of the totals.</x:t>
  </x:si>
  <x:si>
    <x:t xml:space="preserve">SOURCE</x:t>
  </x:si>
  <x:si>
    <x:t xml:space="preserve">Capital One Financial Corp (CIK 0000927628), Forms 10-Q and 10-K, MD&amp;A table 'Average Balances, Net Interest Income and Net Interest Margin'. These MD&amp;A tables are NOT XBRL-tagged, so values are parsed from the rendered HTML.</x:t>
  </x:si>
  <x:si>
    <x:t xml:space="preserve">Q4 DERIVATION, AND WHY IT IS SOUND</x:t>
  </x:si>
  <x:si>
    <x:t xml:space="preserve">No 3-month Q4 average-balance table is published: the 10-K table is annual and the 10-Q tables are 3/6/9-month. Q4 columns are marked (D).</x:t>
  </x:si>
  <x:si>
    <x:t xml:space="preserve">Two identities were tested against the actual data, both passing 48 of 48 cases: interest is additive (6M = Q1 + Q2), and average balances weight by months (6M avg = (Q1 avg x3 + Q2 avg x3) / 6).</x:t>
  </x:si>
  <x:si>
    <x:t xml:space="preserve">Therefore: Q4 interest = FY − 9M (exact). Q4 balance = (FY avg x12 − 9M avg x9) / 3. Q4 rate is RECOMPUTED from the derived interest and balance, never subtracted — rates do not subtract.</x:t>
  </x:si>
  <x:si>
    <x:t xml:space="preserve">VALIDATION</x:t>
  </x:si>
  <x:si>
    <x:t xml:space="preserve">The Net Interest Income sheet cross-checks its computed NII against the income statement extracted independently from XBRL. The two come from different places in the filing by different methods, so agreement is meaningful.</x:t>
  </x:si>
  <x:si>
    <x:t xml:space="preserve">CONVENTIONS</x:t>
  </x:si>
  <x:si>
    <x:t xml:space="preserve">Blue = as disclosed in the filing. Green = independent XBRL source. Black = live formula. Yellow = check cell, should read zero.</x:t>
  </x:si>
</x:sst>
</file>

<file path=xl/styles.xml><?xml version="1.0" encoding="utf-8"?>
<x:styleSheet xmlns:x="http://schemas.openxmlformats.org/spreadsheetml/2006/main">
  <x:numFmts count="9">
    <x:numFmt numFmtId="164" formatCode="General"/>
    <x:numFmt numFmtId="165" formatCode="\$#,##0;&quot;($&quot;#,##0\);\-"/>
    <x:numFmt numFmtId="166" formatCode="0.00%;\(0.00%\);\-"/>
    <x:numFmt numFmtId="167" formatCode="#,##0.0;\(#,##0.0\);\-"/>
    <x:numFmt numFmtId="200" formatCode="mmm-yy"/>
    <x:numFmt numFmtId="201" formatCode="$#,##0;($#,##0);-"/>
    <x:numFmt numFmtId="202" formatCode="$#,##0.0;($#,##0.0);-"/>
    <x:numFmt numFmtId="203" formatCode="0.00%"/>
    <x:numFmt numFmtId="204" formatCode="0.00;[Red](0.00);0.00"/>
  </x:numFmts>
  <x:fonts count="1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name val="Arial"/>
    </x:font>
    <x:font>
      <x:i/>
      <x:sz val="9"/>
      <x:color rgb="FF595959"/>
      <x:name val="Arial"/>
    </x:font>
    <x:font>
      <x:b/>
      <x:sz val="10"/>
      <x:name val="Arial"/>
    </x:font>
    <x:font>
      <x:b/>
      <x:sz val="10"/>
      <x:name val="Arial"/>
    </x:font>
    <x:font>
      <x:sz val="1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  <x:font>
      <x:b/>
      <x:sz val="10"/>
      <x:color rgb="FF000000"/>
      <x:name val="Arial"/>
    </x:font>
    <x:font>
      <x:b/>
      <x:sz val="14"/>
      <x:color rgb="FF000000"/>
      <x:name val="Arial"/>
    </x:font>
    <x:font>
      <x:i/>
      <x:sz val="9"/>
      <x:color rgb="FF66666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D9E2F3"/>
      </x:patternFill>
    </x:fill>
    <x:fill>
      <x:patternFill patternType="solid">
        <x:fgColor rgb="FFFFF2CC"/>
      </x:patternFill>
    </x:fill>
  </x:fills>
  <x:borders count="4">
    <x:border diagonalUp="0" diagonalDown="0"/>
    <x:border diagonalUp="0" diagonalDown="0">
      <x:top style="thin">
        <x:color rgb="FFBFBFBF"/>
      </x:top>
    </x:border>
    <x:border diagonalUp="0" diagonalDown="0">
      <x:bottom style="thin">
        <x:color rgb="FFA6A6A6"/>
      </x:bottom>
    </x:border>
    <x:border diagonalUp="0" diagonalDown="0">
      <x:bottom style="thin">
        <x:color rgb="FFD9D9D9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53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5" fillId="0" borderId="0" xfId="0" applyFont="1" applyBorder="0" applyAlignment="1">
      <x:alignment horizontal="general" vertical="bottom" wrapText="1"/>
    </x:xf>
    <x:xf numFmtId="164" fontId="6" fillId="0" borderId="0" xfId="0" applyFont="1" applyBorder="0" applyAlignment="0">
      <x:alignment horizontal="general" vertical="bottom" wrapText="0"/>
    </x:xf>
    <x:xf numFmtId="164" fontId="6" fillId="2" borderId="0" xfId="0" applyFont="1" applyBorder="0" applyAlignment="1">
      <x:alignment horizontal="center" vertical="bottom" wrapText="0"/>
    </x:xf>
    <x:xf numFmtId="164" fontId="7" fillId="0" borderId="0" xfId="0" applyFont="1" applyBorder="0" applyAlignment="0">
      <x:alignment horizontal="general" vertical="bottom" wrapText="0"/>
    </x:xf>
    <x:xf numFmtId="164" fontId="8" fillId="0" borderId="0" xfId="0" applyFont="1" applyBorder="0" applyAlignment="0">
      <x:alignment horizontal="general" vertical="bottom" wrapText="0"/>
    </x:xf>
    <x:xf numFmtId="165" fontId="9" fillId="0" borderId="0" xfId="0" applyFont="1" applyBorder="0" applyAlignment="0">
      <x:alignment horizontal="general" vertical="bottom" wrapText="0"/>
    </x:xf>
    <x:xf numFmtId="165" fontId="6" fillId="0" borderId="1" xfId="0" applyFont="1" applyBorder="1" applyAlignment="0">
      <x:alignment horizontal="general" vertical="bottom" wrapText="0"/>
    </x:xf>
    <x:xf numFmtId="165" fontId="6" fillId="0" borderId="0" xfId="0" applyFont="1" applyBorder="0" applyAlignment="0">
      <x:alignment horizontal="general" vertical="bottom" wrapText="0"/>
    </x:xf>
    <x:xf numFmtId="166" fontId="9" fillId="0" borderId="0" xfId="0" applyFont="1" applyBorder="0" applyAlignment="0">
      <x:alignment horizontal="general" vertical="bottom" wrapText="0"/>
    </x:xf>
    <x:xf numFmtId="166" fontId="6" fillId="0" borderId="1" xfId="0" applyFont="1" applyBorder="1" applyAlignment="0">
      <x:alignment horizontal="general" vertical="bottom" wrapText="0"/>
    </x:xf>
    <x:xf numFmtId="166" fontId="6" fillId="0" borderId="0" xfId="0" applyFont="1" applyBorder="0" applyAlignment="0">
      <x:alignment horizontal="general" vertical="bottom" wrapText="0"/>
    </x:xf>
    <x:xf numFmtId="165" fontId="10" fillId="0" borderId="0" xfId="0" applyFont="1" applyBorder="0" applyAlignment="0">
      <x:alignment horizontal="general" vertical="bottom" wrapText="0"/>
    </x:xf>
    <x:xf numFmtId="167" fontId="6" fillId="3" borderId="0" xfId="0" applyFont="1" applyBorder="0" applyAlignment="0">
      <x:alignment horizontal="general" vertical="bottom" wrapText="0"/>
    </x:xf>
    <x:xf numFmtId="164" fontId="5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top" wrapText="1"/>
    </x:xf>
    <x:xf numFmtId="164" fontId="5" fillId="0" borderId="0" xfId="0" applyFont="1" applyBorder="0" applyAlignment="1">
      <x:alignment horizontal="general" vertical="top" wrapText="1"/>
    </x:xf>
    <x:xf numFmtId="164" fontId="7" fillId="0" borderId="0" xfId="0" applyFont="1" applyBorder="0" applyAlignment="1">
      <x:alignment horizontal="general" vertical="top" wrapText="1"/>
    </x:xf>
    <x:xf numFmtId="164" fontId="8" fillId="0" borderId="0" xfId="0" applyFont="1" applyBorder="0" applyAlignment="1">
      <x:alignment horizontal="general" vertical="top" wrapText="1"/>
    </x:xf>
    <x:xf numFmtId="164" fontId="11" fillId="0" borderId="0" xfId="0" applyNumberFormat="1" applyFont="1" applyFill="1" applyBorder="1" applyAlignment="1">
      <x:alignment horizontal="general" vertical="bottom" wrapText="0"/>
    </x:xf>
    <x:xf numFmtId="164" fontId="11" fillId="4" borderId="0" xfId="0" applyNumberFormat="1" applyFont="1" applyFill="1" applyBorder="1" applyAlignment="1">
      <x:alignment horizontal="general" vertical="bottom" wrapText="0"/>
    </x:xf>
    <x:xf numFmtId="164" fontId="12" fillId="4" borderId="0" xfId="0" applyNumberFormat="1" applyFont="1" applyFill="1" applyBorder="1" applyAlignment="1">
      <x:alignment horizontal="general" vertical="bottom" wrapText="0"/>
    </x:xf>
    <x:xf numFmtId="164" fontId="12" fillId="4" borderId="0" xfId="0" applyNumberFormat="1" applyFont="1" applyFill="1" applyBorder="1" applyAlignment="1">
      <x:alignment horizontal="center" vertical="bottom" wrapText="0"/>
    </x:xf>
    <x:xf numFmtId="164" fontId="12" fillId="4" borderId="0" xfId="0" applyNumberFormat="1" applyFont="1" applyFill="1" applyBorder="1" applyAlignment="1">
      <x:alignment horizontal="center" vertical="center" wrapText="0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2" fillId="0" borderId="2" xfId="0" applyNumberFormat="1" applyFont="1" applyFill="1" applyBorder="1" applyAlignment="1">
      <x:alignment horizontal="general" vertical="bottom" wrapText="0"/>
    </x:xf>
    <x:xf numFmtId="164" fontId="12" fillId="4" borderId="2" xfId="0" applyNumberFormat="1" applyFont="1" applyFill="1" applyBorder="1" applyAlignment="1">
      <x:alignment horizontal="center" vertical="center" wrapText="0"/>
    </x:xf>
    <x:xf numFmtId="164" fontId="13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0" xfId="0" applyNumberFormat="1" applyFont="1" applyFill="1" applyBorder="1" applyAlignment="1">
      <x:alignment horizontal="general" vertical="bottom" wrapText="1"/>
    </x:xf>
    <x:xf numFmtId="200" fontId="12" fillId="4" borderId="2" xfId="0" applyNumberFormat="1" applyFont="1" applyFill="1" applyBorder="1" applyAlignment="1">
      <x:alignment horizontal="center" vertical="center" wrapText="0"/>
    </x:xf>
    <x:xf numFmtId="201" fontId="11" fillId="0" borderId="0" xfId="0" applyNumberFormat="1" applyFont="1" applyFill="1" applyBorder="1" applyAlignment="1">
      <x:alignment horizontal="general" vertical="bottom" wrapText="0"/>
    </x:xf>
    <x:xf numFmtId="201" fontId="10" fillId="0" borderId="0" xfId="0" applyNumberFormat="1" applyFont="1" applyFill="1" applyBorder="1" applyAlignment="1">
      <x:alignment horizontal="general" vertical="bottom" wrapText="0"/>
    </x:xf>
    <x:xf numFmtId="201" fontId="12" fillId="0" borderId="0" xfId="0" applyNumberFormat="1" applyFont="1" applyFill="1" applyBorder="1" applyAlignment="1">
      <x:alignment horizontal="general" vertical="bottom" wrapText="0"/>
    </x:xf>
    <x:xf numFmtId="164" fontId="12" fillId="0" borderId="3" xfId="0" applyNumberFormat="1" applyFont="1" applyFill="1" applyBorder="1" applyAlignment="1">
      <x:alignment horizontal="general" vertical="bottom" wrapText="0"/>
    </x:xf>
    <x:xf numFmtId="201" fontId="12" fillId="0" borderId="3" xfId="0" applyNumberFormat="1" applyFont="1" applyFill="1" applyBorder="1" applyAlignment="1">
      <x:alignment horizontal="general" vertical="bottom" wrapText="0"/>
    </x:xf>
    <x:xf numFmtId="201" fontId="12" fillId="0" borderId="2" xfId="0" applyNumberFormat="1" applyFont="1" applyFill="1" applyBorder="1" applyAlignment="1">
      <x:alignment horizontal="general" vertical="bottom" wrapText="0"/>
    </x:xf>
    <x:xf numFmtId="202" fontId="11" fillId="0" borderId="0" xfId="0" applyNumberFormat="1" applyFont="1" applyFill="1" applyBorder="1" applyAlignment="1">
      <x:alignment horizontal="general" vertical="bottom" wrapText="0"/>
    </x:xf>
    <x:xf numFmtId="202" fontId="10" fillId="0" borderId="0" xfId="0" applyNumberFormat="1" applyFont="1" applyFill="1" applyBorder="1" applyAlignment="1">
      <x:alignment horizontal="general" vertical="bottom" wrapText="0"/>
    </x:xf>
    <x:xf numFmtId="202" fontId="12" fillId="0" borderId="0" xfId="0" applyNumberFormat="1" applyFont="1" applyFill="1" applyBorder="1" applyAlignment="1">
      <x:alignment horizontal="general" vertical="bottom" wrapText="0"/>
    </x:xf>
    <x:xf numFmtId="202" fontId="12" fillId="0" borderId="3" xfId="0" applyNumberFormat="1" applyFont="1" applyFill="1" applyBorder="1" applyAlignment="1">
      <x:alignment horizontal="general" vertical="bottom" wrapText="0"/>
    </x:xf>
    <x:xf numFmtId="202" fontId="12" fillId="0" borderId="2" xfId="0" applyNumberFormat="1" applyFont="1" applyFill="1" applyBorder="1" applyAlignment="1">
      <x:alignment horizontal="general" vertical="bottom" wrapText="0"/>
    </x:xf>
    <x:xf numFmtId="203" fontId="11" fillId="0" borderId="0" xfId="0" applyNumberFormat="1" applyFont="1" applyFill="1" applyBorder="1" applyAlignment="1">
      <x:alignment horizontal="general" vertical="bottom" wrapText="0"/>
    </x:xf>
    <x:xf numFmtId="203" fontId="10" fillId="0" borderId="0" xfId="0" applyNumberFormat="1" applyFont="1" applyFill="1" applyBorder="1" applyAlignment="1">
      <x:alignment horizontal="general" vertical="bottom" wrapText="0"/>
    </x:xf>
    <x:xf numFmtId="203" fontId="12" fillId="0" borderId="0" xfId="0" applyNumberFormat="1" applyFont="1" applyFill="1" applyBorder="1" applyAlignment="1">
      <x:alignment horizontal="general" vertical="bottom" wrapText="0"/>
    </x:xf>
    <x:xf numFmtId="203" fontId="12" fillId="0" borderId="3" xfId="0" applyNumberFormat="1" applyFont="1" applyFill="1" applyBorder="1" applyAlignment="1">
      <x:alignment horizontal="general" vertical="bottom" wrapText="0"/>
    </x:xf>
    <x:xf numFmtId="203" fontId="12" fillId="0" borderId="2" xfId="0" applyNumberFormat="1" applyFont="1" applyFill="1" applyBorder="1" applyAlignment="1">
      <x:alignment horizontal="general" vertical="bottom" wrapText="0"/>
    </x:xf>
    <x:xf numFmtId="204" fontId="11" fillId="0" borderId="0" xfId="0" applyNumberFormat="1" applyFont="1" applyFill="1" applyBorder="1" applyAlignment="1">
      <x:alignment horizontal="general" vertical="bottom" wrapText="0"/>
    </x:xf>
    <x:xf numFmtId="204" fontId="12" fillId="0" borderId="0" xfId="0" applyNumberFormat="1" applyFont="1" applyFill="1" applyBorder="1" applyAlignment="1">
      <x:alignment horizontal="general" vertical="bottom" wrapText="0"/>
    </x:xf>
    <x:xf numFmtId="204" fontId="11" fillId="5" borderId="0" xfId="0" applyNumberFormat="1" applyFont="1" applyFill="1" applyBorder="1" applyAlignment="1">
      <x:alignment horizontal="general" vertical="bottom" wrapText="0"/>
    </x:xf>
    <x:xf numFmtId="204" fontId="12" fillId="5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b3fd4682ec4f5f" /><Relationship Type="http://schemas.openxmlformats.org/officeDocument/2006/relationships/theme" Target="/xl/theme/theme1.xml" Id="R5e0219cf544a489d" /><Relationship Type="http://schemas.openxmlformats.org/officeDocument/2006/relationships/sharedStrings" Target="/xl/sharedStrings.xml" Id="R48e256f0fa084424" /><Relationship Type="http://schemas.openxmlformats.org/officeDocument/2006/relationships/worksheet" Target="/xl/worksheets/sheet1.xml" Id="Ra787dfb2574d4f7f" /><Relationship Type="http://schemas.openxmlformats.org/officeDocument/2006/relationships/worksheet" Target="/xl/worksheets/sheet2.xml" Id="Rf362f2f594174573" /><Relationship Type="http://schemas.openxmlformats.org/officeDocument/2006/relationships/worksheet" Target="/xl/worksheets/sheet3.xml" Id="R4bf567b06b4a4719" /><Relationship Type="http://schemas.openxmlformats.org/officeDocument/2006/relationships/worksheet" Target="/xl/worksheets/sheet4.xml" Id="R388f53b3f54f4160" /><Relationship Type="http://schemas.openxmlformats.org/officeDocument/2006/relationships/worksheet" Target="/xl/worksheets/sheet5.xml" Id="R42f9a2389f9a41f9" /><Relationship Type="http://schemas.openxmlformats.org/officeDocument/2006/relationships/worksheet" Target="/xl/worksheets/sheet6.xml" Id="R1eaea025ff02447b" /><Relationship Type="http://schemas.openxmlformats.org/officeDocument/2006/relationships/worksheet" Target="/xl/worksheets/sheet7.xml" Id="R791da34b4c134579" /><Relationship Type="http://schemas.openxmlformats.org/officeDocument/2006/relationships/worksheet" Target="/xl/worksheets/sheet8.xml" Id="Rbc9c051a90a4486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38" hidden="0" customWidth="1"/>
    <x:col min="2" max="15" width="13" hidden="0" customWidth="1"/>
  </x:cols>
  <x:sheetData>
    <x:row r="1" ht="15" hidden="0">
      <x:c r="A1" s="1" t="s">
        <x:v>0</x:v>
      </x:c>
    </x:row>
    <x:row r="2" ht="27.75" hidden="0" customHeight="1">
      <x:c r="A2" s="2" t="s">
        <x:v>1</x:v>
      </x:c>
    </x:row>
    <x:row r="4" ht="15" hidden="0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</x:row>
    <x:row r="5" ht="15" hidden="0">
      <x:c r="A5" s="5" t="s">
        <x:v>17</x:v>
      </x:c>
    </x:row>
    <x:row r="6" ht="15" hidden="0">
      <x:c r="A6" s="6" t="s">
        <x:v>18</x:v>
      </x:c>
      <x:c r="B6" s="7" t="n">
        <x:v>134669</x:v>
      </x:c>
      <x:c r="C6" s="7" t="n">
        <x:v>138762</x:v>
      </x:c>
      <x:c r="D6" s="7" t="n">
        <x:v>144053</x:v>
      </x:c>
      <x:c r="E6" s="7" t="n">
        <x:v>149112</x:v>
      </x:c>
      <x:c r="F6" s="7" t="n">
        <x:v>150049</x:v>
      </x:c>
      <x:c r="G6" s="7" t="n">
        <x:v>150866</x:v>
      </x:c>
      <x:c r="H6" s="7" t="n">
        <x:v>154160</x:v>
      </x:c>
      <x:c r="I6" s="7" t="n">
        <x:v>157360</x:v>
      </x:c>
      <x:c r="J6" s="7" t="n">
        <x:v>156408</x:v>
      </x:c>
      <x:c r="K6" s="7" t="n">
        <x:v>209693</x:v>
      </x:c>
      <x:c r="L6" s="7" t="n">
        <x:v>269175</x:v>
      </x:c>
      <x:c r="M6" s="7" t="n">
        <x:v>272720</x:v>
      </x:c>
      <x:c r="N6" s="7" t="n">
        <x:v>270975</x:v>
      </x:c>
      <x:c r="O6" s="7" t="n">
        <x:v>271197</x:v>
      </x:c>
    </x:row>
    <x:row r="7" ht="15" hidden="0">
      <x:c r="A7" s="6" t="s">
        <x:v>19</x:v>
      </x:c>
      <x:c r="B7" s="7" t="n">
        <x:v>79000</x:v>
      </x:c>
      <x:c r="C7" s="7" t="n">
        <x:v>77699</x:v>
      </x:c>
      <x:c r="D7" s="7" t="n">
        <x:v>77154</x:v>
      </x:c>
      <x:c r="E7" s="7" t="n">
        <x:v>76224</x:v>
      </x:c>
      <x:c r="F7" s="7" t="n">
        <x:v>75091</x:v>
      </x:c>
      <x:c r="G7" s="7" t="n">
        <x:v>75386</x:v>
      </x:c>
      <x:c r="H7" s="7" t="n">
        <x:v>76182</x:v>
      </x:c>
      <x:c r="I7" s="7" t="n">
        <x:v>77231</x:v>
      </x:c>
      <x:c r="J7" s="7" t="n">
        <x:v>78480</x:v>
      </x:c>
      <x:c r="K7" s="7" t="n">
        <x:v>80095</x:v>
      </x:c>
      <x:c r="L7" s="7" t="n">
        <x:v>82295</x:v>
      </x:c>
      <x:c r="M7" s="7" t="n">
        <x:v>83988</x:v>
      </x:c>
      <x:c r="N7" s="7" t="n">
        <x:v>85701</x:v>
      </x:c>
      <x:c r="O7" s="7" t="n">
        <x:v>88583</x:v>
      </x:c>
    </x:row>
    <x:row r="8" ht="15" hidden="0">
      <x:c r="A8" s="6" t="s">
        <x:v>20</x:v>
      </x:c>
      <x:c r="B8" s="7" t="n">
        <x:v>94446</x:v>
      </x:c>
      <x:c r="C8" s="7" t="n">
        <x:v>93874</x:v>
      </x:c>
      <x:c r="D8" s="7" t="n">
        <x:v>92254</x:v>
      </x:c>
      <x:c r="E8" s="7" t="n">
        <x:v>91385</x:v>
      </x:c>
      <x:c r="F8" s="7" t="n">
        <x:v>90423</x:v>
      </x:c>
      <x:c r="G8" s="7" t="n">
        <x:v>89571</x:v>
      </x:c>
      <x:c r="H8" s="7" t="n">
        <x:v>88373</x:v>
      </x:c>
      <x:c r="I8" s="7" t="n">
        <x:v>87672</x:v>
      </x:c>
      <x:c r="J8" s="7" t="n">
        <x:v>87884</x:v>
      </x:c>
      <x:c r="K8" s="7" t="n">
        <x:v>88749</x:v>
      </x:c>
      <x:c r="L8" s="7" t="n">
        <x:v>88904</x:v>
      </x:c>
      <x:c r="M8" s="7" t="n">
        <x:v>89192</x:v>
      </x:c>
      <x:c r="N8" s="7" t="n">
        <x:v>90064</x:v>
      </x:c>
      <x:c r="O8" s="7" t="n">
        <x:v>91082</x:v>
      </x:c>
    </x:row>
    <x:row r="9" ht="15" hidden="0">
      <x:c r="A9" s="6" t="s">
        <x:v>21</x:v>
      </x:c>
      <x:c r="B9" s="7" t="n">
        <x:v>308115</x:v>
      </x:c>
      <x:c r="C9" s="7" t="n">
        <x:v>310335</x:v>
      </x:c>
      <x:c r="D9" s="7" t="n">
        <x:v>313461</x:v>
      </x:c>
      <x:c r="E9" s="7" t="n">
        <x:v>316721</x:v>
      </x:c>
      <x:c r="F9" s="7" t="n">
        <x:v>315563</x:v>
      </x:c>
      <x:c r="G9" s="7" t="n">
        <x:v>315823</x:v>
      </x:c>
      <x:c r="H9" s="7" t="n">
        <x:v>318715</x:v>
      </x:c>
      <x:c r="I9" s="7" t="n">
        <x:v>322263</x:v>
      </x:c>
      <x:c r="J9" s="7" t="n">
        <x:v>322772</x:v>
      </x:c>
      <x:c r="K9" s="7" t="n">
        <x:v>378537</x:v>
      </x:c>
      <x:c r="L9" s="7" t="n">
        <x:v>440374</x:v>
      </x:c>
      <x:c r="M9" s="7" t="n">
        <x:v>445900</x:v>
      </x:c>
      <x:c r="N9" s="7" t="n">
        <x:v>446740</x:v>
      </x:c>
      <x:c r="O9" s="7" t="n">
        <x:v>450862</x:v>
      </x:c>
    </x:row>
    <x:row r="10" ht="15" hidden="0">
      <x:c r="A10" s="6" t="s">
        <x:v>22</x:v>
      </x:c>
      <x:c r="B10" s="7" t="n">
        <x:v>89960</x:v>
      </x:c>
      <x:c r="C10" s="7" t="n">
        <x:v>89994</x:v>
      </x:c>
      <x:c r="D10" s="7" t="n">
        <x:v>87845</x:v>
      </x:c>
      <x:c r="E10" s="7" t="n">
        <x:v>88643</x:v>
      </x:c>
      <x:c r="F10" s="7" t="n">
        <x:v>88581</x:v>
      </x:c>
      <x:c r="G10" s="7" t="n">
        <x:v>89501</x:v>
      </x:c>
      <x:c r="H10" s="7" t="n">
        <x:v>90644</x:v>
      </x:c>
      <x:c r="I10" s="7" t="n">
        <x:v>92260</x:v>
      </x:c>
      <x:c r="J10" s="7" t="n">
        <x:v>92659</x:v>
      </x:c>
      <x:c r="K10" s="7" t="n">
        <x:v>93024</x:v>
      </x:c>
      <x:c r="L10" s="7" t="n">
        <x:v>96186</x:v>
      </x:c>
      <x:c r="M10" s="7" t="n">
        <x:v>97330</x:v>
      </x:c>
      <x:c r="N10" s="7" t="n">
        <x:v>97803</x:v>
      </x:c>
      <x:c r="O10" s="7" t="n">
        <x:v>99339</x:v>
      </x:c>
    </x:row>
    <x:row r="11" ht="15" hidden="0">
      <x:c r="A11" s="6" t="s">
        <x:v>23</x:v>
      </x:c>
      <x:c r="B11" s="7" t="n">
        <x:v>37124</x:v>
      </x:c>
      <x:c r="C11" s="7" t="n">
        <x:v>38810</x:v>
      </x:c>
      <x:c r="D11" s="7" t="n">
        <x:v>42226</x:v>
      </x:c>
      <x:c r="E11" s="7" t="n">
        <x:v>41625</x:v>
      </x:c>
      <x:c r="F11" s="7" t="n">
        <x:v>43659</x:v>
      </x:c>
      <x:c r="G11" s="7" t="n">
        <x:v>45584</x:v>
      </x:c>
      <x:c r="H11" s="7" t="n">
        <x:v>45125</x:v>
      </x:c>
      <x:c r="I11" s="7" t="n">
        <x:v>46167</x:v>
      </x:c>
      <x:c r="J11" s="7" t="n">
        <x:v>47340</x:v>
      </x:c>
      <x:c r="K11" s="7" t="n">
        <x:v>53368</x:v>
      </x:c>
      <x:c r="L11" s="7" t="n">
        <x:v>56687</x:v>
      </x:c>
      <x:c r="M11" s="7" t="n">
        <x:v>61127</x:v>
      </x:c>
      <x:c r="N11" s="7" t="n">
        <x:v>72630</x:v>
      </x:c>
      <x:c r="O11" s="7" t="n">
        <x:v>67382</x:v>
      </x:c>
    </x:row>
    <x:row r="12" ht="15" hidden="0">
      <x:c r="A12" s="3" t="s">
        <x:v>24</x:v>
      </x:c>
      <x:c r="B12" s="8" t="n">
        <x:v>435199</x:v>
      </x:c>
      <x:c r="C12" s="8" t="n">
        <x:v>439139</x:v>
      </x:c>
      <x:c r="D12" s="8" t="n">
        <x:v>443532</x:v>
      </x:c>
      <x:c r="E12" s="8" t="n">
        <x:v>446989</x:v>
      </x:c>
      <x:c r="F12" s="8" t="n">
        <x:v>447803</x:v>
      </x:c>
      <x:c r="G12" s="8" t="n">
        <x:v>450908</x:v>
      </x:c>
      <x:c r="H12" s="8" t="n">
        <x:v>454484</x:v>
      </x:c>
      <x:c r="I12" s="8" t="n">
        <x:v>460690</x:v>
      </x:c>
      <x:c r="J12" s="8" t="n">
        <x:v>462771</x:v>
      </x:c>
      <x:c r="K12" s="8" t="n">
        <x:v>524929</x:v>
      </x:c>
      <x:c r="L12" s="8" t="n">
        <x:v>593247</x:v>
      </x:c>
      <x:c r="M12" s="8" t="n">
        <x:v>604357</x:v>
      </x:c>
      <x:c r="N12" s="8" t="n">
        <x:v>617173</x:v>
      </x:c>
      <x:c r="O12" s="8" t="n">
        <x:v>617583</x:v>
      </x:c>
    </x:row>
    <x:row r="14" ht="15" hidden="0">
      <x:c r="A14" s="5" t="s">
        <x:v>25</x:v>
      </x:c>
    </x:row>
    <x:row r="15" ht="15" hidden="0">
      <x:c r="A15" s="6" t="s">
        <x:v>26</x:v>
      </x:c>
      <x:c r="B15" s="7" t="n">
        <x:v>308788</x:v>
      </x:c>
      <x:c r="C15" s="7" t="n">
        <x:v>313207</x:v>
      </x:c>
      <x:c r="D15" s="7" t="n">
        <x:v>316032</x:v>
      </x:c>
      <x:c r="E15" s="7" t="n">
        <x:v>316842</x:v>
      </x:c>
      <x:c r="F15" s="7" t="n">
        <x:v>318450</x:v>
      </x:c>
      <x:c r="G15" s="7" t="n">
        <x:v>322581</x:v>
      </x:c>
      <x:c r="H15" s="7" t="n">
        <x:v>324509</x:v>
      </x:c>
      <x:c r="I15" s="7" t="n">
        <x:v>331620</x:v>
      </x:c>
      <x:c r="J15" s="7" t="n">
        <x:v>337840</x:v>
      </x:c>
      <x:c r="K15" s="7" t="n">
        <x:v>387139</x:v>
      </x:c>
      <x:c r="L15" s="7" t="n">
        <x:v>439527</x:v>
      </x:c>
      <x:c r="M15" s="7" t="n">
        <x:v>443213</x:v>
      </x:c>
      <x:c r="N15" s="7" t="n">
        <x:v>451957</x:v>
      </x:c>
      <x:c r="O15" s="7" t="n">
        <x:v>458130</x:v>
      </x:c>
    </x:row>
    <x:row r="16" ht="15" hidden="0">
      <x:c r="A16" s="6" t="s">
        <x:v>27</x:v>
      </x:c>
      <x:c r="B16" s="7" t="n">
        <x:v>17251</x:v>
      </x:c>
      <x:c r="C16" s="7" t="n">
        <x:v>17771</x:v>
      </x:c>
      <x:c r="D16" s="7" t="n">
        <x:v>17649</x:v>
      </x:c>
      <x:c r="E16" s="7" t="n">
        <x:v>18026</x:v>
      </x:c>
      <x:c r="F16" s="7" t="n">
        <x:v>17836</x:v>
      </x:c>
      <x:c r="G16" s="7" t="n">
        <x:v>17452</x:v>
      </x:c>
      <x:c r="H16" s="7" t="n">
        <x:v>15833</x:v>
      </x:c>
      <x:c r="I16" s="7" t="n">
        <x:v>14920</x:v>
      </x:c>
      <x:c r="J16" s="7" t="n">
        <x:v>13731</x:v>
      </x:c>
      <x:c r="K16" s="7" t="n">
        <x:v>13043</x:v>
      </x:c>
      <x:c r="L16" s="7" t="n">
        <x:v>12919</x:v>
      </x:c>
      <x:c r="M16" s="7" t="n">
        <x:v>12668</x:v>
      </x:c>
      <x:c r="N16" s="7" t="n">
        <x:v>12476</x:v>
      </x:c>
      <x:c r="O16" s="7" t="n">
        <x:v>10190</x:v>
      </x:c>
    </x:row>
    <x:row r="17" ht="15" hidden="0">
      <x:c r="A17" s="6" t="s">
        <x:v>28</x:v>
      </x:c>
      <x:c r="B17" s="7" t="n">
        <x:v>30136</x:v>
      </x:c>
      <x:c r="C17" s="7" t="n">
        <x:v>30161</x:v>
      </x:c>
      <x:c r="D17" s="7" t="n">
        <x:v>31522</x:v>
      </x:c>
      <x:c r="E17" s="7" t="n">
        <x:v>32603</x:v>
      </x:c>
      <x:c r="F17" s="7" t="n">
        <x:v>32211</x:v>
      </x:c>
      <x:c r="G17" s="7" t="n">
        <x:v>30978</x:v>
      </x:c>
      <x:c r="H17" s="7" t="n">
        <x:v>32041</x:v>
      </x:c>
      <x:c r="I17" s="7" t="n">
        <x:v>30884</x:v>
      </x:c>
      <x:c r="J17" s="7" t="n">
        <x:v>30331</x:v>
      </x:c>
      <x:c r="K17" s="7" t="n">
        <x:v>32872</x:v>
      </x:c>
      <x:c r="L17" s="7" t="n">
        <x:v>36272</x:v>
      </x:c>
      <x:c r="M17" s="7" t="n">
        <x:v>36528</x:v>
      </x:c>
      <x:c r="N17" s="7" t="n">
        <x:v>37846</x:v>
      </x:c>
      <x:c r="O17" s="7" t="n">
        <x:v>37498</x:v>
      </x:c>
    </x:row>
    <x:row r="18" ht="15" hidden="0">
      <x:c r="A18" s="6" t="s">
        <x:v>29</x:v>
      </x:c>
      <x:c r="B18" s="7" t="n">
        <x:v>2335</x:v>
      </x:c>
      <x:c r="C18" s="7" t="n">
        <x:v>2419</x:v>
      </x:c>
      <x:c r="D18" s="7" t="n">
        <x:v>2473</x:v>
      </x:c>
      <x:c r="E18" s="7" t="n">
        <x:v>2346</x:v>
      </x:c>
      <x:c r="F18" s="7" t="n">
        <x:v>2373</x:v>
      </x:c>
      <x:c r="G18" s="7" t="n">
        <x:v>2502</x:v>
      </x:c>
      <x:c r="H18" s="7" t="n">
        <x:v>2389</x:v>
      </x:c>
      <x:c r="I18" s="7" t="n">
        <x:v>2430</x:v>
      </x:c>
      <x:c r="J18" s="7" t="n">
        <x:v>2312</x:v>
      </x:c>
      <x:c r="K18" s="7" t="n">
        <x:v>2872</x:v>
      </x:c>
      <x:c r="L18" s="7" t="n">
        <x:v>3120</x:v>
      </x:c>
      <x:c r="M18" s="7" t="n">
        <x:v>3751</x:v>
      </x:c>
      <x:c r="N18" s="7" t="n">
        <x:v>4238</x:v>
      </x:c>
      <x:c r="O18" s="7" t="n">
        <x:v>3838</x:v>
      </x:c>
    </x:row>
    <x:row r="19" ht="15" hidden="0">
      <x:c r="A19" s="3" t="s">
        <x:v>30</x:v>
      </x:c>
      <x:c r="B19" s="8" t="n">
        <x:v>358510</x:v>
      </x:c>
      <x:c r="C19" s="8" t="n">
        <x:v>363558</x:v>
      </x:c>
      <x:c r="D19" s="8" t="n">
        <x:v>367676</x:v>
      </x:c>
      <x:c r="E19" s="8" t="n">
        <x:v>369817</x:v>
      </x:c>
      <x:c r="F19" s="8" t="n">
        <x:v>370870</x:v>
      </x:c>
      <x:c r="G19" s="8" t="n">
        <x:v>373513</x:v>
      </x:c>
      <x:c r="H19" s="8" t="n">
        <x:v>374772</x:v>
      </x:c>
      <x:c r="I19" s="8" t="n">
        <x:v>379854</x:v>
      </x:c>
      <x:c r="J19" s="8" t="n">
        <x:v>384214</x:v>
      </x:c>
      <x:c r="K19" s="8" t="n">
        <x:v>435926</x:v>
      </x:c>
      <x:c r="L19" s="8" t="n">
        <x:v>491838</x:v>
      </x:c>
      <x:c r="M19" s="8" t="n">
        <x:v>496160</x:v>
      </x:c>
      <x:c r="N19" s="8" t="n">
        <x:v>506517</x:v>
      </x:c>
      <x:c r="O19" s="8" t="n">
        <x:v>509656</x:v>
      </x:c>
    </x:row>
    <x:row r="21" ht="15" hidden="0">
      <x:c r="A21" s="3" t="s">
        <x:v>31</x:v>
      </x:c>
      <x:c r="B21" s="9" t="n">
        <x:f aca="0">B12-B19</x:f>
        <x:v>76689</x:v>
      </x:c>
      <x:c r="C21" s="9" t="n">
        <x:f aca="0">C12-C19</x:f>
        <x:v>75581</x:v>
      </x:c>
      <x:c r="D21" s="9" t="n">
        <x:f aca="0">D12-D19</x:f>
        <x:v>75856</x:v>
      </x:c>
      <x:c r="E21" s="9" t="n">
        <x:f aca="0">E12-E19</x:f>
        <x:v>77172</x:v>
      </x:c>
      <x:c r="F21" s="9" t="n">
        <x:f aca="0">F12-F19</x:f>
        <x:v>76933</x:v>
      </x:c>
      <x:c r="G21" s="9" t="n">
        <x:f aca="0">G12-G19</x:f>
        <x:v>77395</x:v>
      </x:c>
      <x:c r="H21" s="9" t="n">
        <x:f aca="0">H12-H19</x:f>
        <x:v>79712</x:v>
      </x:c>
      <x:c r="I21" s="9" t="n">
        <x:f aca="0">I12-I19</x:f>
        <x:v>80836</x:v>
      </x:c>
      <x:c r="J21" s="9" t="n">
        <x:f aca="0">J12-J19</x:f>
        <x:v>78557</x:v>
      </x:c>
      <x:c r="K21" s="9" t="n">
        <x:f aca="0">K12-K19</x:f>
        <x:v>89003</x:v>
      </x:c>
      <x:c r="L21" s="9" t="n">
        <x:f aca="0">L12-L19</x:f>
        <x:v>101409</x:v>
      </x:c>
      <x:c r="M21" s="9" t="n">
        <x:f aca="0">M12-M19</x:f>
        <x:v>108197</x:v>
      </x:c>
      <x:c r="N21" s="9" t="n">
        <x:f aca="0">N12-N19</x:f>
        <x:v>110656</x:v>
      </x:c>
      <x:c r="O21" s="9" t="n">
        <x:f aca="0">O12-O19</x:f>
        <x:v>107927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38" hidden="0" customWidth="1"/>
    <x:col min="2" max="15" width="13" hidden="0" customWidth="1"/>
  </x:cols>
  <x:sheetData>
    <x:row r="1" ht="15" hidden="0">
      <x:c r="A1" s="1" t="s">
        <x:v>32</x:v>
      </x:c>
    </x:row>
    <x:row r="2" ht="27.75" hidden="0" customHeight="1">
      <x:c r="A2" s="2" t="s">
        <x:v>33</x:v>
      </x:c>
    </x:row>
    <x:row r="4" ht="15" hidden="0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</x:row>
    <x:row r="5" ht="15" hidden="0">
      <x:c r="A5" s="5" t="s">
        <x:v>17</x:v>
      </x:c>
    </x:row>
    <x:row r="6" ht="15" hidden="0">
      <x:c r="A6" s="6" t="s">
        <x:v>18</x:v>
      </x:c>
      <x:c r="B6" s="10" t="n">
        <x:v>0.1798</x:v>
      </x:c>
      <x:c r="C6" s="10" t="n">
        <x:v>0.1817</x:v>
      </x:c>
      <x:c r="D6" s="10" t="n">
        <x:v>0.1902</x:v>
      </x:c>
      <x:c r="E6" s="10" t="n">
        <x:v>0.1894</x:v>
      </x:c>
      <x:c r="F6" s="10" t="n">
        <x:v>0.1884</x:v>
      </x:c>
      <x:c r="G6" s="10" t="n">
        <x:v>0.1879</x:v>
      </x:c>
      <x:c r="H6" s="10" t="n">
        <x:v>0.1966</x:v>
      </x:c>
      <x:c r="I6" s="10" t="n">
        <x:v>0.1905</x:v>
      </x:c>
      <x:c r="J6" s="10" t="n">
        <x:v>0.1854</x:v>
      </x:c>
      <x:c r="K6" s="10" t="n">
        <x:v>0.1794</x:v>
      </x:c>
      <x:c r="L6" s="10" t="n">
        <x:v>0.1799</x:v>
      </x:c>
      <x:c r="M6" s="10" t="n">
        <x:v>0.1767</x:v>
      </x:c>
      <x:c r="N6" s="10" t="n">
        <x:v>0.1717</x:v>
      </x:c>
      <x:c r="O6" s="10" t="n">
        <x:v>0.1721</x:v>
      </x:c>
    </x:row>
    <x:row r="7" ht="15" hidden="0">
      <x:c r="A7" s="6" t="s">
        <x:v>19</x:v>
      </x:c>
      <x:c r="B7" s="10" t="n">
        <x:v>0.074</x:v>
      </x:c>
      <x:c r="C7" s="10" t="n">
        <x:v>0.0765</x:v>
      </x:c>
      <x:c r="D7" s="10" t="n">
        <x:v>0.0797</x:v>
      </x:c>
      <x:c r="E7" s="10" t="n">
        <x:v>0.0817</x:v>
      </x:c>
      <x:c r="F7" s="10" t="n">
        <x:v>0.0833</x:v>
      </x:c>
      <x:c r="G7" s="10" t="n">
        <x:v>0.0854</x:v>
      </x:c>
      <x:c r="H7" s="10" t="n">
        <x:v>0.0888</x:v>
      </x:c>
      <x:c r="I7" s="10" t="n">
        <x:v>0.0904</x:v>
      </x:c>
      <x:c r="J7" s="10" t="n">
        <x:v>0.0903</x:v>
      </x:c>
      <x:c r="K7" s="10" t="n">
        <x:v>0.093</x:v>
      </x:c>
      <x:c r="L7" s="10" t="n">
        <x:v>0.0952</x:v>
      </x:c>
      <x:c r="M7" s="10" t="n">
        <x:v>0.0958</x:v>
      </x:c>
      <x:c r="N7" s="10" t="n">
        <x:v>0.0943</x:v>
      </x:c>
      <x:c r="O7" s="10" t="n">
        <x:v>0.0957</x:v>
      </x:c>
    </x:row>
    <x:row r="8" ht="15" hidden="0">
      <x:c r="A8" s="6" t="s">
        <x:v>20</x:v>
      </x:c>
      <x:c r="B8" s="10" t="n">
        <x:v>0.063</x:v>
      </x:c>
      <x:c r="C8" s="10" t="n">
        <x:v>0.0674</x:v>
      </x:c>
      <x:c r="D8" s="10" t="n">
        <x:v>0.0712</x:v>
      </x:c>
      <x:c r="E8" s="10" t="n">
        <x:v>0.0724</x:v>
      </x:c>
      <x:c r="F8" s="10" t="n">
        <x:v>0.0713</x:v>
      </x:c>
      <x:c r="G8" s="10" t="n">
        <x:v>0.0722</x:v>
      </x:c>
      <x:c r="H8" s="10" t="n">
        <x:v>0.0724</x:v>
      </x:c>
      <x:c r="I8" s="10" t="n">
        <x:v>0.0672</x:v>
      </x:c>
      <x:c r="J8" s="10" t="n">
        <x:v>0.0629</x:v>
      </x:c>
      <x:c r="K8" s="10" t="n">
        <x:v>0.064</x:v>
      </x:c>
      <x:c r="L8" s="10" t="n">
        <x:v>0.0642</x:v>
      </x:c>
      <x:c r="M8" s="10" t="n">
        <x:v>0.0608</x:v>
      </x:c>
      <x:c r="N8" s="10" t="n">
        <x:v>0.0568</x:v>
      </x:c>
      <x:c r="O8" s="10" t="n">
        <x:v>0.0575</x:v>
      </x:c>
    </x:row>
    <x:row r="9" ht="15" hidden="0">
      <x:c r="A9" s="6" t="s">
        <x:v>21</x:v>
      </x:c>
      <x:c r="B9" s="10" t="n">
        <x:v>0.1132</x:v>
      </x:c>
      <x:c r="C9" s="10" t="n">
        <x:v>0.1167</x:v>
      </x:c>
      <x:c r="D9" s="10" t="n">
        <x:v>0.1237</x:v>
      </x:c>
      <x:c r="E9" s="10" t="n">
        <x:v>0.1255</x:v>
      </x:c>
      <x:c r="F9" s="10" t="n">
        <x:v>0.1257</x:v>
      </x:c>
      <x:c r="G9" s="10" t="n">
        <x:v>0.1266</x:v>
      </x:c>
      <x:c r="H9" s="10" t="n">
        <x:v>0.1324</x:v>
      </x:c>
      <x:c r="I9" s="10" t="n">
        <x:v>0.1295</x:v>
      </x:c>
      <x:c r="J9" s="10" t="n">
        <x:v>0.1259</x:v>
      </x:c>
      <x:c r="K9" s="10" t="n">
        <x:v>0.1315</x:v>
      </x:c>
      <x:c r="L9" s="10" t="n">
        <x:v>0.1383</x:v>
      </x:c>
      <x:c r="M9" s="10" t="n">
        <x:v>0.1362</x:v>
      </x:c>
      <x:c r="N9" s="10" t="n">
        <x:v>0.1319</x:v>
      </x:c>
      <x:c r="O9" s="10" t="n">
        <x:v>0.1323</x:v>
      </x:c>
    </x:row>
    <x:row r="10" ht="15" hidden="0">
      <x:c r="A10" s="6" t="s">
        <x:v>22</x:v>
      </x:c>
      <x:c r="B10" s="10" t="n">
        <x:v>0.0273</x:v>
      </x:c>
      <x:c r="C10" s="10" t="n">
        <x:v>0.0284</x:v>
      </x:c>
      <x:c r="D10" s="10" t="n">
        <x:v>0.0286</x:v>
      </x:c>
      <x:c r="E10" s="10" t="n">
        <x:v>0.0302</x:v>
      </x:c>
      <x:c r="F10" s="10" t="n">
        <x:v>0.031</x:v>
      </x:c>
      <x:c r="G10" s="10" t="n">
        <x:v>0.0313</x:v>
      </x:c>
      <x:c r="H10" s="10" t="n">
        <x:v>0.0324</x:v>
      </x:c>
      <x:c r="I10" s="10" t="n">
        <x:v>0.0326</x:v>
      </x:c>
      <x:c r="J10" s="10" t="n">
        <x:v>0.0332</x:v>
      </x:c>
      <x:c r="K10" s="10" t="n">
        <x:v>0.0337</x:v>
      </x:c>
      <x:c r="L10" s="10" t="n">
        <x:v>0.0342</x:v>
      </x:c>
      <x:c r="M10" s="10" t="n">
        <x:v>0.0346</x:v>
      </x:c>
      <x:c r="N10" s="10" t="n">
        <x:v>0.034</x:v>
      </x:c>
      <x:c r="O10" s="10" t="n">
        <x:v>0.0342</x:v>
      </x:c>
    </x:row>
    <x:row r="11" ht="15" hidden="0">
      <x:c r="A11" s="6" t="s">
        <x:v>23</x:v>
      </x:c>
      <x:c r="B11" s="10" t="n">
        <x:v>0.0449</x:v>
      </x:c>
      <x:c r="C11" s="10" t="n">
        <x:v>0.0484</x:v>
      </x:c>
      <x:c r="D11" s="10" t="n">
        <x:v>0.0521</x:v>
      </x:c>
      <x:c r="E11" s="10" t="n">
        <x:v>0.0521</x:v>
      </x:c>
      <x:c r="F11" s="10" t="n">
        <x:v>0.0521</x:v>
      </x:c>
      <x:c r="G11" s="10" t="n">
        <x:v>0.0516</x:v>
      </x:c>
      <x:c r="H11" s="10" t="n">
        <x:v>0.0514</x:v>
      </x:c>
      <x:c r="I11" s="10" t="n">
        <x:v>0.0459</x:v>
      </x:c>
      <x:c r="J11" s="10" t="n">
        <x:v>0.0414</x:v>
      </x:c>
      <x:c r="K11" s="10" t="n">
        <x:v>0.0446</x:v>
      </x:c>
      <x:c r="L11" s="10" t="n">
        <x:v>0.0502</x:v>
      </x:c>
      <x:c r="M11" s="10" t="n">
        <x:v>0.0432</x:v>
      </x:c>
      <x:c r="N11" s="10" t="n">
        <x:v>0.0366</x:v>
      </x:c>
      <x:c r="O11" s="10" t="n">
        <x:v>0.037</x:v>
      </x:c>
    </x:row>
    <x:row r="12" ht="15" hidden="0">
      <x:c r="A12" s="3" t="s">
        <x:v>24</x:v>
      </x:c>
      <x:c r="B12" s="11" t="n">
        <x:v>0.0896</x:v>
      </x:c>
      <x:c r="C12" s="11" t="n">
        <x:v>0.0926</x:v>
      </x:c>
      <x:c r="D12" s="11" t="n">
        <x:v>0.0981</x:v>
      </x:c>
      <x:c r="E12" s="11" t="n">
        <x:v>0.0997</x:v>
      </x:c>
      <x:c r="F12" s="11" t="n">
        <x:v>0.0998</x:v>
      </x:c>
      <x:c r="G12" s="11" t="n">
        <x:v>0.1001</x:v>
      </x:c>
      <x:c r="H12" s="11" t="n">
        <x:v>0.1044</x:v>
      </x:c>
      <x:c r="I12" s="11" t="n">
        <x:v>0.1017</x:v>
      </x:c>
      <x:c r="J12" s="11" t="n">
        <x:v>0.0987</x:v>
      </x:c>
      <x:c r="K12" s="11" t="n">
        <x:v>0.1054</x:v>
      </x:c>
      <x:c r="L12" s="11" t="n">
        <x:v>0.113</x:v>
      </x:c>
      <x:c r="M12" s="11" t="n">
        <x:v>0.1104</x:v>
      </x:c>
      <x:c r="N12" s="11" t="n">
        <x:v>0.1052</x:v>
      </x:c>
      <x:c r="O12" s="11" t="n">
        <x:v>0.1061</x:v>
      </x:c>
    </x:row>
    <x:row r="14" ht="15" hidden="0">
      <x:c r="A14" s="5" t="s">
        <x:v>25</x:v>
      </x:c>
    </x:row>
    <x:row r="15" ht="15" hidden="0">
      <x:c r="A15" s="6" t="s">
        <x:v>26</x:v>
      </x:c>
      <x:c r="B15" s="10" t="n">
        <x:v>0.024</x:v>
      </x:c>
      <x:c r="C15" s="10" t="n">
        <x:v>0.0291</x:v>
      </x:c>
      <x:c r="D15" s="10" t="n">
        <x:v>0.033</x:v>
      </x:c>
      <x:c r="E15" s="10" t="n">
        <x:v>0.0347</x:v>
      </x:c>
      <x:c r="F15" s="10" t="n">
        <x:v>0.0353</x:v>
      </x:c>
      <x:c r="G15" s="10" t="n">
        <x:v>0.0356</x:v>
      </x:c>
      <x:c r="H15" s="10" t="n">
        <x:v>0.0363</x:v>
      </x:c>
      <x:c r="I15" s="10" t="n">
        <x:v>0.0345</x:v>
      </x:c>
      <x:c r="J15" s="10" t="n">
        <x:v>0.0322</x:v>
      </x:c>
      <x:c r="K15" s="10" t="n">
        <x:v>0.0322</x:v>
      </x:c>
      <x:c r="L15" s="10" t="n">
        <x:v>0.0327</x:v>
      </x:c>
      <x:c r="M15" s="10" t="n">
        <x:v>0.0315</x:v>
      </x:c>
      <x:c r="N15" s="10" t="n">
        <x:v>0.03</x:v>
      </x:c>
      <x:c r="O15" s="10" t="n">
        <x:v>0.0291</x:v>
      </x:c>
    </x:row>
    <x:row r="16" ht="15" hidden="0">
      <x:c r="A16" s="6" t="s">
        <x:v>27</x:v>
      </x:c>
      <x:c r="B16" s="10" t="n">
        <x:v>0.049</x:v>
      </x:c>
      <x:c r="C16" s="10" t="n">
        <x:v>0.0531</x:v>
      </x:c>
      <x:c r="D16" s="10" t="n">
        <x:v>0.0563</x:v>
      </x:c>
      <x:c r="E16" s="10" t="n">
        <x:v>0.0584</x:v>
      </x:c>
      <x:c r="F16" s="10" t="n">
        <x:v>0.0585</x:v>
      </x:c>
      <x:c r="G16" s="10" t="n">
        <x:v>0.0591</x:v>
      </x:c>
      <x:c r="H16" s="10" t="n">
        <x:v>0.0593</x:v>
      </x:c>
      <x:c r="I16" s="10" t="n">
        <x:v>0.055</x:v>
      </x:c>
      <x:c r="J16" s="10" t="n">
        <x:v>0.0511</x:v>
      </x:c>
      <x:c r="K16" s="10" t="n">
        <x:v>0.0506</x:v>
      </x:c>
      <x:c r="L16" s="10" t="n">
        <x:v>0.0511</x:v>
      </x:c>
      <x:c r="M16" s="10" t="n">
        <x:v>0.0489</x:v>
      </x:c>
      <x:c r="N16" s="10" t="n">
        <x:v>0.0452</x:v>
      </x:c>
      <x:c r="O16" s="10" t="n">
        <x:v>0.0459</x:v>
      </x:c>
    </x:row>
    <x:row r="17" ht="15" hidden="0">
      <x:c r="A17" s="6" t="s">
        <x:v>28</x:v>
      </x:c>
      <x:c r="B17" s="10" t="n">
        <x:v>0.0649</x:v>
      </x:c>
      <x:c r="C17" s="10" t="n">
        <x:v>0.07</x:v>
      </x:c>
      <x:c r="D17" s="10" t="n">
        <x:v>0.0736</x:v>
      </x:c>
      <x:c r="E17" s="10" t="n">
        <x:v>0.0746</x:v>
      </x:c>
      <x:c r="F17" s="10" t="n">
        <x:v>0.0752</x:v>
      </x:c>
      <x:c r="G17" s="10" t="n">
        <x:v>0.0764</x:v>
      </x:c>
      <x:c r="H17" s="10" t="n">
        <x:v>0.0743</x:v>
      </x:c>
      <x:c r="I17" s="10" t="n">
        <x:v>0.0699</x:v>
      </x:c>
      <x:c r="J17" s="10" t="n">
        <x:v>0.0666</x:v>
      </x:c>
      <x:c r="K17" s="10" t="n">
        <x:v>0.0651</x:v>
      </x:c>
      <x:c r="L17" s="10" t="n">
        <x:v>0.0641</x:v>
      </x:c>
      <x:c r="M17" s="10" t="n">
        <x:v>0.0602</x:v>
      </x:c>
      <x:c r="N17" s="10" t="n">
        <x:v>0.0563</x:v>
      </x:c>
      <x:c r="O17" s="10" t="n">
        <x:v>0.057</x:v>
      </x:c>
    </x:row>
    <x:row r="18" ht="15" hidden="0">
      <x:c r="A18" s="6" t="s">
        <x:v>29</x:v>
      </x:c>
      <x:c r="B18" s="10" t="n">
        <x:v>0.0208</x:v>
      </x:c>
      <x:c r="C18" s="10" t="n">
        <x:v>0.0195</x:v>
      </x:c>
      <x:c r="D18" s="10" t="n">
        <x:v>0.0179</x:v>
      </x:c>
      <x:c r="E18" s="10" t="n">
        <x:v>0.0171</x:v>
      </x:c>
      <x:c r="F18" s="10" t="n">
        <x:v>0.0178</x:v>
      </x:c>
      <x:c r="G18" s="10" t="n">
        <x:v>0.0173</x:v>
      </x:c>
      <x:c r="H18" s="10" t="n">
        <x:v>0.015</x:v>
      </x:c>
      <x:c r="I18" s="10" t="n">
        <x:v>0.0198</x:v>
      </x:c>
      <x:c r="J18" s="10" t="n">
        <x:v>0.0157</x:v>
      </x:c>
      <x:c r="K18" s="10" t="n">
        <x:v>0.0185</x:v>
      </x:c>
      <x:c r="L18" s="10" t="n">
        <x:v>0.0204</x:v>
      </x:c>
      <x:c r="M18" s="10" t="n">
        <x:v>0.0245</x:v>
      </x:c>
      <x:c r="N18" s="10" t="n">
        <x:v>0.0244</x:v>
      </x:c>
      <x:c r="O18" s="10" t="n">
        <x:v>0.023</x:v>
      </x:c>
    </x:row>
    <x:row r="19" ht="15" hidden="0">
      <x:c r="A19" s="3" t="s">
        <x:v>30</x:v>
      </x:c>
      <x:c r="B19" s="11" t="n">
        <x:v>0.0287</x:v>
      </x:c>
      <x:c r="C19" s="11" t="n">
        <x:v>0.0336</x:v>
      </x:c>
      <x:c r="D19" s="11" t="n">
        <x:v>0.0375</x:v>
      </x:c>
      <x:c r="E19" s="11" t="n">
        <x:v>0.0392</x:v>
      </x:c>
      <x:c r="F19" s="11" t="n">
        <x:v>0.0398</x:v>
      </x:c>
      <x:c r="G19" s="11" t="n">
        <x:v>0.04</x:v>
      </x:c>
      <x:c r="H19" s="11" t="n">
        <x:v>0.0404</x:v>
      </x:c>
      <x:c r="I19" s="11" t="n">
        <x:v>0.0381</x:v>
      </x:c>
      <x:c r="J19" s="11" t="n">
        <x:v>0.0354</x:v>
      </x:c>
      <x:c r="K19" s="11" t="n">
        <x:v>0.0352</x:v>
      </x:c>
      <x:c r="L19" s="11" t="n">
        <x:v>0.0355</x:v>
      </x:c>
      <x:c r="M19" s="11" t="n">
        <x:v>0.034</x:v>
      </x:c>
      <x:c r="N19" s="11" t="n">
        <x:v>0.0323</x:v>
      </x:c>
      <x:c r="O19" s="11" t="n">
        <x:v>0.0315</x:v>
      </x:c>
    </x:row>
    <x:row r="21" ht="15" hidden="0">
      <x:c r="A21" s="3" t="s">
        <x:v>34</x:v>
      </x:c>
      <x:c r="B21" s="12" t="n">
        <x:f aca="0">B12-B19</x:f>
        <x:v>0.060899999999999996</x:v>
      </x:c>
      <x:c r="C21" s="12" t="n">
        <x:f aca="0">C12-C19</x:f>
        <x:v>0.059000000000000004</x:v>
      </x:c>
      <x:c r="D21" s="12" t="n">
        <x:f aca="0">D12-D19</x:f>
        <x:v>0.06060000000000001</x:v>
      </x:c>
      <x:c r="E21" s="12" t="n">
        <x:f aca="0">E12-E19</x:f>
        <x:v>0.0605</x:v>
      </x:c>
      <x:c r="F21" s="12" t="n">
        <x:f aca="0">F12-F19</x:f>
        <x:v>0.06</x:v>
      </x:c>
      <x:c r="G21" s="12" t="n">
        <x:f aca="0">G12-G19</x:f>
        <x:v>0.060099999999999994</x:v>
      </x:c>
      <x:c r="H21" s="12" t="n">
        <x:f aca="0">H12-H19</x:f>
        <x:v>0.064</x:v>
      </x:c>
      <x:c r="I21" s="12" t="n">
        <x:f aca="0">I12-I19</x:f>
        <x:v>0.06359999999999999</x:v>
      </x:c>
      <x:c r="J21" s="12" t="n">
        <x:f aca="0">J12-J19</x:f>
        <x:v>0.0633</x:v>
      </x:c>
      <x:c r="K21" s="12" t="n">
        <x:f aca="0">K12-K19</x:f>
        <x:v>0.07019999999999998</x:v>
      </x:c>
      <x:c r="L21" s="12" t="n">
        <x:f aca="0">L12-L19</x:f>
        <x:v>0.07750000000000001</x:v>
      </x:c>
      <x:c r="M21" s="12" t="n">
        <x:f aca="0">M12-M19</x:f>
        <x:v>0.0764</x:v>
      </x:c>
      <x:c r="N21" s="12" t="n">
        <x:f aca="0">N12-N19</x:f>
        <x:v>0.07289999999999999</x:v>
      </x:c>
      <x:c r="O21" s="12" t="n">
        <x:f aca="0">O12-O19</x:f>
        <x:v>0.0746</x:v>
      </x:c>
    </x:row>
    <x:row r="22" ht="15" hidden="0">
      <x:c r="A22" s="3" t="s">
        <x:v>35</x:v>
      </x:c>
      <x:c r="B22" s="12" t="n">
        <x:f aca="0">IFERROR(('Net Interest Income'!B21*4)/Balance!B12,"")</x:f>
        <x:v>0.06604794588222859</x:v>
      </x:c>
      <x:c r="C22" s="12" t="n">
        <x:f aca="0">IFERROR(('Net Interest Income'!C21*4)/Balance!C12,"")</x:f>
        <x:v>0.0647904194343932</x:v>
      </x:c>
      <x:c r="D22" s="12" t="n">
        <x:f aca="0">IFERROR(('Net Interest Income'!D21*4)/Balance!D12,"")</x:f>
        <x:v>0.06694443692901526</x:v>
      </x:c>
      <x:c r="E22" s="12" t="n">
        <x:f aca="0">IFERROR(('Net Interest Income'!E21*4)/Balance!E12,"")</x:f>
        <x:v>0.067285772133095</x:v>
      </x:c>
      <x:c r="F22" s="12" t="n">
        <x:f aca="0">IFERROR(('Net Interest Income'!F21*4)/Balance!F12,"")</x:f>
        <x:v>0.06688655502531247</x:v>
      </x:c>
      <x:c r="G22" s="12" t="n">
        <x:f aca="0">IFERROR(('Net Interest Income'!G21*4)/Balance!G12,"")</x:f>
        <x:v>0.06694048453343032</x:v>
      </x:c>
      <x:c r="H22" s="12" t="n">
        <x:f aca="0">IFERROR(('Net Interest Income'!H21*4)/Balance!H12,"")</x:f>
        <x:v>0.07107840980100509</x:v>
      </x:c>
      <x:c r="I22" s="12" t="n">
        <x:f aca="0">IFERROR(('Net Interest Income'!I21*4)/Balance!I12,"")</x:f>
        <x:v>0.07031192341921899</x:v>
      </x:c>
      <x:c r="J22" s="12" t="n">
        <x:f aca="0">IFERROR(('Net Interest Income'!J21*4)/Balance!J12,"")</x:f>
        <x:v>0.06926103839696092</x:v>
      </x:c>
      <x:c r="K22" s="12" t="n">
        <x:f aca="0">IFERROR(('Net Interest Income'!K21*4)/Balance!K12,"")</x:f>
        <x:v>0.07616268104829416</x:v>
      </x:c>
      <x:c r="L22" s="12" t="n">
        <x:f aca="0">IFERROR(('Net Interest Income'!L21*4)/Balance!L12,"")</x:f>
        <x:v>0.08363464122026744</x:v>
      </x:c>
      <x:c r="M22" s="12" t="n">
        <x:f aca="0">IFERROR(('Net Interest Income'!M21*4)/Balance!M12,"")</x:f>
        <x:v>0.08250752452606655</x:v>
      </x:c>
      <x:c r="N22" s="12" t="n">
        <x:f aca="0">IFERROR(('Net Interest Income'!N21*4)/Balance!N12,"")</x:f>
        <x:v>0.07871374800906715</x:v>
      </x:c>
      <x:c r="O22" s="12" t="n">
        <x:f aca="0">IFERROR(('Net Interest Income'!O21*4)/Balance!O12,"")</x:f>
        <x:v>0.08014469310197982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ColWidth="8.6796875" defaultRowHeight="15"/>
  <x:cols>
    <x:col min="1" max="1" width="38" hidden="0" customWidth="1"/>
    <x:col min="2" max="15" width="13" hidden="0" customWidth="1"/>
  </x:cols>
  <x:sheetData>
    <x:row r="1" ht="15" hidden="0">
      <x:c r="A1" s="1" t="s">
        <x:v>36</x:v>
      </x:c>
    </x:row>
    <x:row r="2" ht="27.75" hidden="0" customHeight="1">
      <x:c r="A2" s="2" t="s">
        <x:v>37</x:v>
      </x:c>
    </x:row>
    <x:row r="4" ht="15" hidden="0">
      <x:c r="A4" s="3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  <x:c r="F4" s="4" t="s">
        <x:v>7</x:v>
      </x:c>
      <x:c r="G4" s="4" t="s">
        <x:v>8</x:v>
      </x:c>
      <x:c r="H4" s="4" t="s">
        <x:v>9</x:v>
      </x:c>
      <x:c r="I4" s="4" t="s">
        <x:v>10</x:v>
      </x:c>
      <x:c r="J4" s="4" t="s">
        <x:v>11</x:v>
      </x:c>
      <x:c r="K4" s="4" t="s">
        <x:v>12</x:v>
      </x:c>
      <x:c r="L4" s="4" t="s">
        <x:v>13</x:v>
      </x:c>
      <x:c r="M4" s="4" t="s">
        <x:v>14</x:v>
      </x:c>
      <x:c r="N4" s="4" t="s">
        <x:v>15</x:v>
      </x:c>
      <x:c r="O4" s="4" t="s">
        <x:v>16</x:v>
      </x:c>
    </x:row>
    <x:row r="5" ht="15" hidden="0">
      <x:c r="A5" s="5" t="s">
        <x:v>17</x:v>
      </x:c>
    </x:row>
    <x:row r="6" ht="15" hidden="0">
      <x:c r="A6" s="6" t="s">
        <x:v>18</x:v>
      </x:c>
      <x:c r="B6" s="7" t="n">
        <x:v>6053</x:v>
      </x:c>
      <x:c r="C6" s="7" t="n">
        <x:v>6302</x:v>
      </x:c>
      <x:c r="D6" s="7" t="n">
        <x:v>6850</x:v>
      </x:c>
      <x:c r="E6" s="7" t="n">
        <x:v>7062</x:v>
      </x:c>
      <x:c r="F6" s="7" t="n">
        <x:v>7067</x:v>
      </x:c>
      <x:c r="G6" s="7" t="n">
        <x:v>7088</x:v>
      </x:c>
      <x:c r="H6" s="7" t="n">
        <x:v>7578</x:v>
      </x:c>
      <x:c r="I6" s="7" t="n">
        <x:v>7493</x:v>
      </x:c>
      <x:c r="J6" s="7" t="n">
        <x:v>7248</x:v>
      </x:c>
      <x:c r="K6" s="7" t="n">
        <x:v>9407</x:v>
      </x:c>
      <x:c r="L6" s="7" t="n">
        <x:v>12109</x:v>
      </x:c>
      <x:c r="M6" s="7" t="n">
        <x:v>12049</x:v>
      </x:c>
      <x:c r="N6" s="7" t="n">
        <x:v>11633</x:v>
      </x:c>
      <x:c r="O6" s="7" t="n">
        <x:v>11670</x:v>
      </x:c>
    </x:row>
    <x:row r="7" ht="15" hidden="0">
      <x:c r="A7" s="6" t="s">
        <x:v>19</x:v>
      </x:c>
      <x:c r="B7" s="7" t="n">
        <x:v>1461</x:v>
      </x:c>
      <x:c r="C7" s="7" t="n">
        <x:v>1486</x:v>
      </x:c>
      <x:c r="D7" s="7" t="n">
        <x:v>1537</x:v>
      </x:c>
      <x:c r="E7" s="7" t="n">
        <x:v>1557</x:v>
      </x:c>
      <x:c r="F7" s="7" t="n">
        <x:v>1564</x:v>
      </x:c>
      <x:c r="G7" s="7" t="n">
        <x:v>1611</x:v>
      </x:c>
      <x:c r="H7" s="7" t="n">
        <x:v>1692</x:v>
      </x:c>
      <x:c r="I7" s="7" t="n">
        <x:v>1745</x:v>
      </x:c>
      <x:c r="J7" s="7" t="n">
        <x:v>1773</x:v>
      </x:c>
      <x:c r="K7" s="7" t="n">
        <x:v>1861</x:v>
      </x:c>
      <x:c r="L7" s="7" t="n">
        <x:v>1958</x:v>
      </x:c>
      <x:c r="M7" s="7" t="n">
        <x:v>2012</x:v>
      </x:c>
      <x:c r="N7" s="7" t="n">
        <x:v>2020</x:v>
      </x:c>
      <x:c r="O7" s="7" t="n">
        <x:v>2121</x:v>
      </x:c>
    </x:row>
    <x:row r="8" ht="15" hidden="0">
      <x:c r="A8" s="6" t="s">
        <x:v>20</x:v>
      </x:c>
      <x:c r="B8" s="7" t="n">
        <x:v>1488</x:v>
      </x:c>
      <x:c r="C8" s="7" t="n">
        <x:v>1580</x:v>
      </x:c>
      <x:c r="D8" s="7" t="n">
        <x:v>1642</x:v>
      </x:c>
      <x:c r="E8" s="7" t="n">
        <x:v>1653</x:v>
      </x:c>
      <x:c r="F8" s="7" t="n">
        <x:v>1612</x:v>
      </x:c>
      <x:c r="G8" s="7" t="n">
        <x:v>1616</x:v>
      </x:c>
      <x:c r="H8" s="7" t="n">
        <x:v>1601</x:v>
      </x:c>
      <x:c r="I8" s="7" t="n">
        <x:v>1472</x:v>
      </x:c>
      <x:c r="J8" s="7" t="n">
        <x:v>1382</x:v>
      </x:c>
      <x:c r="K8" s="7" t="n">
        <x:v>1421</x:v>
      </x:c>
      <x:c r="L8" s="7" t="n">
        <x:v>1426</x:v>
      </x:c>
      <x:c r="M8" s="7" t="n">
        <x:v>1356</x:v>
      </x:c>
      <x:c r="N8" s="7" t="n">
        <x:v>1278</x:v>
      </x:c>
      <x:c r="O8" s="7" t="n">
        <x:v>1308</x:v>
      </x:c>
    </x:row>
    <x:row r="9" ht="15" hidden="0">
      <x:c r="A9" s="6" t="s">
        <x:v>21</x:v>
      </x:c>
      <x:c r="B9" s="7" t="n">
        <x:v>8723</x:v>
      </x:c>
      <x:c r="C9" s="7" t="n">
        <x:v>9057</x:v>
      </x:c>
      <x:c r="D9" s="7" t="n">
        <x:v>9696</x:v>
      </x:c>
      <x:c r="E9" s="7" t="n">
        <x:v>9934</x:v>
      </x:c>
      <x:c r="F9" s="7" t="n">
        <x:v>9920</x:v>
      </x:c>
      <x:c r="G9" s="7" t="n">
        <x:v>9993</x:v>
      </x:c>
      <x:c r="H9" s="7" t="n">
        <x:v>10547</x:v>
      </x:c>
      <x:c r="I9" s="7" t="n">
        <x:v>10434</x:v>
      </x:c>
      <x:c r="J9" s="7" t="n">
        <x:v>10157</x:v>
      </x:c>
      <x:c r="K9" s="7" t="n">
        <x:v>12449</x:v>
      </x:c>
      <x:c r="L9" s="7" t="n">
        <x:v>15229</x:v>
      </x:c>
      <x:c r="M9" s="7" t="n">
        <x:v>15186</x:v>
      </x:c>
      <x:c r="N9" s="7" t="n">
        <x:v>14735</x:v>
      </x:c>
      <x:c r="O9" s="7" t="n">
        <x:v>14911</x:v>
      </x:c>
    </x:row>
    <x:row r="10" ht="15" hidden="0">
      <x:c r="A10" s="6" t="s">
        <x:v>22</x:v>
      </x:c>
      <x:c r="B10" s="7" t="n">
        <x:v>615</x:v>
      </x:c>
      <x:c r="C10" s="7" t="n">
        <x:v>639</x:v>
      </x:c>
      <x:c r="D10" s="7" t="n">
        <x:v>627</x:v>
      </x:c>
      <x:c r="E10" s="7" t="n">
        <x:v>669</x:v>
      </x:c>
      <x:c r="F10" s="7" t="n">
        <x:v>687</x:v>
      </x:c>
      <x:c r="G10" s="7" t="n">
        <x:v>700</x:v>
      </x:c>
      <x:c r="H10" s="7" t="n">
        <x:v>733</x:v>
      </x:c>
      <x:c r="I10" s="7" t="n">
        <x:v>753</x:v>
      </x:c>
      <x:c r="J10" s="7" t="n">
        <x:v>770</x:v>
      </x:c>
      <x:c r="K10" s="7" t="n">
        <x:v>784</x:v>
      </x:c>
      <x:c r="L10" s="7" t="n">
        <x:v>823</x:v>
      </x:c>
      <x:c r="M10" s="7" t="n">
        <x:v>841</x:v>
      </x:c>
      <x:c r="N10" s="7" t="n">
        <x:v>832</x:v>
      </x:c>
      <x:c r="O10" s="7" t="n">
        <x:v>850</x:v>
      </x:c>
    </x:row>
    <x:row r="11" ht="15" hidden="0">
      <x:c r="A11" s="6" t="s">
        <x:v>23</x:v>
      </x:c>
      <x:c r="B11" s="7" t="n">
        <x:v>416</x:v>
      </x:c>
      <x:c r="C11" s="7" t="n">
        <x:v>470</x:v>
      </x:c>
      <x:c r="D11" s="7" t="n">
        <x:v>550</x:v>
      </x:c>
      <x:c r="E11" s="7" t="n">
        <x:v>542</x:v>
      </x:c>
      <x:c r="F11" s="7" t="n">
        <x:v>570</x:v>
      </x:c>
      <x:c r="G11" s="7" t="n">
        <x:v>587</x:v>
      </x:c>
      <x:c r="H11" s="7" t="n">
        <x:v>580</x:v>
      </x:c>
      <x:c r="I11" s="7" t="n">
        <x:v>530</x:v>
      </x:c>
      <x:c r="J11" s="7" t="n">
        <x:v>491</x:v>
      </x:c>
      <x:c r="K11" s="7" t="n">
        <x:v>595</x:v>
      </x:c>
      <x:c r="L11" s="7" t="n">
        <x:v>711</x:v>
      </x:c>
      <x:c r="M11" s="7" t="n">
        <x:v>660</x:v>
      </x:c>
      <x:c r="N11" s="7" t="n">
        <x:v>664</x:v>
      </x:c>
      <x:c r="O11" s="7" t="n">
        <x:v>624</x:v>
      </x:c>
    </x:row>
    <x:row r="12" ht="15" hidden="0">
      <x:c r="A12" s="3" t="s">
        <x:v>24</x:v>
      </x:c>
      <x:c r="B12" s="8" t="n">
        <x:v>9754</x:v>
      </x:c>
      <x:c r="C12" s="8" t="n">
        <x:v>10166</x:v>
      </x:c>
      <x:c r="D12" s="8" t="n">
        <x:v>10873</x:v>
      </x:c>
      <x:c r="E12" s="8" t="n">
        <x:v>11145</x:v>
      </x:c>
      <x:c r="F12" s="8" t="n">
        <x:v>11177</x:v>
      </x:c>
      <x:c r="G12" s="8" t="n">
        <x:v>11280</x:v>
      </x:c>
      <x:c r="H12" s="8" t="n">
        <x:v>11860</x:v>
      </x:c>
      <x:c r="I12" s="8" t="n">
        <x:v>11717</x:v>
      </x:c>
      <x:c r="J12" s="8" t="n">
        <x:v>11418</x:v>
      </x:c>
      <x:c r="K12" s="8" t="n">
        <x:v>13828</x:v>
      </x:c>
      <x:c r="L12" s="8" t="n">
        <x:v>16763</x:v>
      </x:c>
      <x:c r="M12" s="8" t="n">
        <x:v>16687</x:v>
      </x:c>
      <x:c r="N12" s="8" t="n">
        <x:v>16231</x:v>
      </x:c>
      <x:c r="O12" s="8" t="n">
        <x:v>16385</x:v>
      </x:c>
    </x:row>
    <x:row r="14" ht="15" hidden="0">
      <x:c r="A14" s="5" t="s">
        <x:v>25</x:v>
      </x:c>
    </x:row>
    <x:row r="15" ht="15" hidden="0">
      <x:c r="A15" s="6" t="s">
        <x:v>26</x:v>
      </x:c>
      <x:c r="B15" s="7" t="n">
        <x:v>1856</x:v>
      </x:c>
      <x:c r="C15" s="7" t="n">
        <x:v>2277</x:v>
      </x:c>
      <x:c r="D15" s="7" t="n">
        <x:v>2611</x:v>
      </x:c>
      <x:c r="E15" s="7" t="n">
        <x:v>2745</x:v>
      </x:c>
      <x:c r="F15" s="7" t="n">
        <x:v>2812</x:v>
      </x:c>
      <x:c r="G15" s="7" t="n">
        <x:v>2874</x:v>
      </x:c>
      <x:c r="H15" s="7" t="n">
        <x:v>2945</x:v>
      </x:c>
      <x:c r="I15" s="7" t="n">
        <x:v>2862</x:v>
      </x:c>
      <x:c r="J15" s="7" t="n">
        <x:v>2715</x:v>
      </x:c>
      <x:c r="K15" s="7" t="n">
        <x:v>3120</x:v>
      </x:c>
      <x:c r="L15" s="7" t="n">
        <x:v>3597</x:v>
      </x:c>
      <x:c r="M15" s="7" t="n">
        <x:v>3493</x:v>
      </x:c>
      <x:c r="N15" s="7" t="n">
        <x:v>3387</x:v>
      </x:c>
      <x:c r="O15" s="7" t="n">
        <x:v>3338</x:v>
      </x:c>
    </x:row>
    <x:row r="16" ht="15" hidden="0">
      <x:c r="A16" s="6" t="s">
        <x:v>27</x:v>
      </x:c>
      <x:c r="B16" s="7" t="n">
        <x:v>211</x:v>
      </x:c>
      <x:c r="C16" s="7" t="n">
        <x:v>236</x:v>
      </x:c>
      <x:c r="D16" s="7" t="n">
        <x:v>249</x:v>
      </x:c>
      <x:c r="E16" s="7" t="n">
        <x:v>263</x:v>
      </x:c>
      <x:c r="F16" s="7" t="n">
        <x:v>261</x:v>
      </x:c>
      <x:c r="G16" s="7" t="n">
        <x:v>258</x:v>
      </x:c>
      <x:c r="H16" s="7" t="n">
        <x:v>234</x:v>
      </x:c>
      <x:c r="I16" s="7" t="n">
        <x:v>205</x:v>
      </x:c>
      <x:c r="J16" s="7" t="n">
        <x:v>176</x:v>
      </x:c>
      <x:c r="K16" s="7" t="n">
        <x:v>164</x:v>
      </x:c>
      <x:c r="L16" s="7" t="n">
        <x:v>165</x:v>
      </x:c>
      <x:c r="M16" s="7" t="n">
        <x:v>155</x:v>
      </x:c>
      <x:c r="N16" s="7" t="n">
        <x:v>141</x:v>
      </x:c>
      <x:c r="O16" s="7" t="n">
        <x:v>117</x:v>
      </x:c>
    </x:row>
    <x:row r="17" ht="15" hidden="0">
      <x:c r="A17" s="6" t="s">
        <x:v>28</x:v>
      </x:c>
      <x:c r="B17" s="7" t="n">
        <x:v>489</x:v>
      </x:c>
      <x:c r="C17" s="7" t="n">
        <x:v>528</x:v>
      </x:c>
      <x:c r="D17" s="7" t="n">
        <x:v>579</x:v>
      </x:c>
      <x:c r="E17" s="7" t="n">
        <x:v>608</x:v>
      </x:c>
      <x:c r="F17" s="7" t="n">
        <x:v>606</x:v>
      </x:c>
      <x:c r="G17" s="7" t="n">
        <x:v>591</x:v>
      </x:c>
      <x:c r="H17" s="7" t="n">
        <x:v>596</x:v>
      </x:c>
      <x:c r="I17" s="7" t="n">
        <x:v>540</x:v>
      </x:c>
      <x:c r="J17" s="7" t="n">
        <x:v>505</x:v>
      </x:c>
      <x:c r="K17" s="7" t="n">
        <x:v>535</x:v>
      </x:c>
      <x:c r="L17" s="7" t="n">
        <x:v>582</x:v>
      </x:c>
      <x:c r="M17" s="7" t="n">
        <x:v>550</x:v>
      </x:c>
      <x:c r="N17" s="7" t="n">
        <x:v>532</x:v>
      </x:c>
      <x:c r="O17" s="7" t="n">
        <x:v>535</x:v>
      </x:c>
    </x:row>
    <x:row r="18" ht="15" hidden="0">
      <x:c r="A18" s="6" t="s">
        <x:v>29</x:v>
      </x:c>
      <x:c r="B18" s="7" t="n">
        <x:v>12</x:v>
      </x:c>
      <x:c r="C18" s="7" t="n">
        <x:v>12</x:v>
      </x:c>
      <x:c r="D18" s="7" t="n">
        <x:v>11</x:v>
      </x:c>
      <x:c r="E18" s="7" t="n">
        <x:v>10</x:v>
      </x:c>
      <x:c r="F18" s="7" t="n">
        <x:v>10</x:v>
      </x:c>
      <x:c r="G18" s="7" t="n">
        <x:v>11</x:v>
      </x:c>
      <x:c r="H18" s="7" t="n">
        <x:v>9</x:v>
      </x:c>
      <x:c r="I18" s="7" t="n">
        <x:v>12</x:v>
      </x:c>
      <x:c r="J18" s="7" t="n">
        <x:v>9</x:v>
      </x:c>
      <x:c r="K18" s="7" t="n">
        <x:v>14</x:v>
      </x:c>
      <x:c r="L18" s="7" t="n">
        <x:v>15</x:v>
      </x:c>
      <x:c r="M18" s="7" t="n">
        <x:v>23</x:v>
      </x:c>
      <x:c r="N18" s="7" t="n">
        <x:v>26</x:v>
      </x:c>
      <x:c r="O18" s="7" t="n">
        <x:v>21</x:v>
      </x:c>
    </x:row>
    <x:row r="19" ht="15" hidden="0">
      <x:c r="A19" s="3" t="s">
        <x:v>30</x:v>
      </x:c>
      <x:c r="B19" s="8" t="n">
        <x:v>2568</x:v>
      </x:c>
      <x:c r="C19" s="8" t="n">
        <x:v>3053</x:v>
      </x:c>
      <x:c r="D19" s="8" t="n">
        <x:v>3450</x:v>
      </x:c>
      <x:c r="E19" s="8" t="n">
        <x:v>3626</x:v>
      </x:c>
      <x:c r="F19" s="8" t="n">
        <x:v>3689</x:v>
      </x:c>
      <x:c r="G19" s="8" t="n">
        <x:v>3734</x:v>
      </x:c>
      <x:c r="H19" s="8" t="n">
        <x:v>3784</x:v>
      </x:c>
      <x:c r="I19" s="8" t="n">
        <x:v>3619</x:v>
      </x:c>
      <x:c r="J19" s="8" t="n">
        <x:v>3405</x:v>
      </x:c>
      <x:c r="K19" s="8" t="n">
        <x:v>3833</x:v>
      </x:c>
      <x:c r="L19" s="8" t="n">
        <x:v>4359</x:v>
      </x:c>
      <x:c r="M19" s="8" t="n">
        <x:v>4221</x:v>
      </x:c>
      <x:c r="N19" s="8" t="n">
        <x:v>4086</x:v>
      </x:c>
      <x:c r="O19" s="8" t="n">
        <x:v>4011</x:v>
      </x:c>
    </x:row>
    <x:row r="21" ht="15" hidden="0">
      <x:c r="A21" s="3" t="s">
        <x:v>38</x:v>
      </x:c>
      <x:c r="B21" s="8" t="n">
        <x:f aca="0">B12-B19</x:f>
        <x:v>7186</x:v>
      </x:c>
      <x:c r="C21" s="8" t="n">
        <x:f aca="0">C12-C19</x:f>
        <x:v>7113</x:v>
      </x:c>
      <x:c r="D21" s="8" t="n">
        <x:f aca="0">D12-D19</x:f>
        <x:v>7423</x:v>
      </x:c>
      <x:c r="E21" s="8" t="n">
        <x:f aca="0">E12-E19</x:f>
        <x:v>7519</x:v>
      </x:c>
      <x:c r="F21" s="8" t="n">
        <x:f aca="0">F12-F19</x:f>
        <x:v>7488</x:v>
      </x:c>
      <x:c r="G21" s="8" t="n">
        <x:f aca="0">G12-G19</x:f>
        <x:v>7546</x:v>
      </x:c>
      <x:c r="H21" s="8" t="n">
        <x:f aca="0">H12-H19</x:f>
        <x:v>8076</x:v>
      </x:c>
      <x:c r="I21" s="8" t="n">
        <x:f aca="0">I12-I19</x:f>
        <x:v>8098</x:v>
      </x:c>
      <x:c r="J21" s="8" t="n">
        <x:f aca="0">J12-J19</x:f>
        <x:v>8013</x:v>
      </x:c>
      <x:c r="K21" s="8" t="n">
        <x:f aca="0">K12-K19</x:f>
        <x:v>9995</x:v>
      </x:c>
      <x:c r="L21" s="8" t="n">
        <x:f aca="0">L12-L19</x:f>
        <x:v>12404</x:v>
      </x:c>
      <x:c r="M21" s="8" t="n">
        <x:f aca="0">M12-M19</x:f>
        <x:v>12466</x:v>
      </x:c>
      <x:c r="N21" s="8" t="n">
        <x:f aca="0">N12-N19</x:f>
        <x:v>12145</x:v>
      </x:c>
      <x:c r="O21" s="8" t="n">
        <x:f aca="0">O12-O19</x:f>
        <x:v>12374</x:v>
      </x:c>
    </x:row>
    <x:row r="23" ht="15" hidden="0">
      <x:c r="A23" s="5" t="s">
        <x:v>39</x:v>
      </x:c>
    </x:row>
    <x:row r="24" ht="15" hidden="0">
      <x:c r="A24" s="6" t="s">
        <x:v>40</x:v>
      </x:c>
      <x:c r="B24" s="13" t="n">
        <x:v>7186</x:v>
      </x:c>
      <x:c r="C24" s="13" t="n">
        <x:v>7113</x:v>
      </x:c>
      <x:c r="D24" s="13" t="n">
        <x:v>7423</x:v>
      </x:c>
      <x:c r="E24" s="13" t="n">
        <x:v>7519</x:v>
      </x:c>
      <x:c r="F24" s="13" t="n">
        <x:v>7488</x:v>
      </x:c>
      <x:c r="G24" s="13" t="n">
        <x:v>7546</x:v>
      </x:c>
      <x:c r="H24" s="13" t="n">
        <x:v>8076</x:v>
      </x:c>
      <x:c r="I24" s="13" t="n">
        <x:v>8098</x:v>
      </x:c>
      <x:c r="J24" s="13" t="n">
        <x:v>8013</x:v>
      </x:c>
      <x:c r="K24" s="13" t="n">
        <x:v>9995</x:v>
      </x:c>
      <x:c r="L24" s="13" t="n">
        <x:v>12404</x:v>
      </x:c>
      <x:c r="M24" s="13" t="n">
        <x:v>12466</x:v>
      </x:c>
      <x:c r="N24" s="13" t="n">
        <x:v>12145</x:v>
      </x:c>
      <x:c r="O24" s="13" t="n">
        <x:v>12374</x:v>
      </x:c>
    </x:row>
    <x:row r="25" ht="15" hidden="0">
      <x:c r="A25" s="3" t="s">
        <x:v>41</x:v>
      </x:c>
      <x:c r="B25" s="14" t="n">
        <x:f aca="0">IF(B24="","",B21-B24)</x:f>
        <x:v>0</x:v>
      </x:c>
      <x:c r="C25" s="14" t="n">
        <x:f aca="0">IF(C24="","",C21-C24)</x:f>
        <x:v>0</x:v>
      </x:c>
      <x:c r="D25" s="14" t="n">
        <x:f aca="0">IF(D24="","",D21-D24)</x:f>
        <x:v>0</x:v>
      </x:c>
      <x:c r="E25" s="14" t="n">
        <x:f aca="0">IF(E24="","",E21-E24)</x:f>
        <x:v>0</x:v>
      </x:c>
      <x:c r="F25" s="14" t="n">
        <x:f aca="0">IF(F24="","",F21-F24)</x:f>
        <x:v>0</x:v>
      </x:c>
      <x:c r="G25" s="14" t="n">
        <x:f aca="0">IF(G24="","",G21-G24)</x:f>
        <x:v>0</x:v>
      </x:c>
      <x:c r="H25" s="14" t="n">
        <x:f aca="0">IF(H24="","",H21-H24)</x:f>
        <x:v>0</x:v>
      </x:c>
      <x:c r="I25" s="14" t="n">
        <x:f aca="0">IF(I24="","",I21-I24)</x:f>
        <x:v>0</x:v>
      </x:c>
      <x:c r="J25" s="14" t="n">
        <x:f aca="0">IF(J24="","",J21-J24)</x:f>
        <x:v>0</x:v>
      </x:c>
      <x:c r="K25" s="14" t="n">
        <x:f aca="0">IF(K24="","",K21-K24)</x:f>
        <x:v>0</x:v>
      </x:c>
      <x:c r="L25" s="14" t="n">
        <x:f aca="0">IF(L24="","",L21-L24)</x:f>
        <x:v>0</x:v>
      </x:c>
      <x:c r="M25" s="14" t="n">
        <x:f aca="0">IF(M24="","",M21-M24)</x:f>
        <x:v>0</x:v>
      </x:c>
      <x:c r="N25" s="14" t="n">
        <x:f aca="0">IF(N24="","",N21-N24)</x:f>
        <x:v>0</x:v>
      </x:c>
      <x:c r="O25" s="14" t="n">
        <x:f aca="0">IF(O24="","",O21-O24)</x:f>
        <x:v>0</x:v>
      </x:c>
    </x:row>
    <x:row r="27" ht="15" hidden="0">
      <x:c r="A27" s="15" t="s">
        <x:v>42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8" hidden="0" customWidth="1"/>
  </x:cols>
  <x:sheetData>
    <x:row r="1" ht="15" hidden="0">
      <x:c r="A1" s="16" t="s">
        <x:v>43</x:v>
      </x:c>
    </x:row>
    <x:row r="2" ht="15" hidden="0">
      <x:c r="A2" s="17"/>
    </x:row>
    <x:row r="3" ht="15" hidden="0">
      <x:c r="A3" s="18" t="s">
        <x:v>44</x:v>
      </x:c>
    </x:row>
    <x:row r="4" ht="23.850000381469727" hidden="0">
      <x:c r="A4" s="19" t="s">
        <x:v>45</x:v>
      </x:c>
    </x:row>
    <x:row r="5" ht="15" hidden="0">
      <x:c r="A5" s="17"/>
    </x:row>
    <x:row r="6" ht="15" hidden="0">
      <x:c r="A6" s="18" t="s">
        <x:v>46</x:v>
      </x:c>
    </x:row>
    <x:row r="7" ht="15" hidden="0">
      <x:c r="A7" s="19" t="s">
        <x:v>47</x:v>
      </x:c>
    </x:row>
    <x:row r="8" ht="15" hidden="0">
      <x:c r="A8" s="19" t="s">
        <x:v>48</x:v>
      </x:c>
    </x:row>
    <x:row r="9" ht="15" hidden="0">
      <x:c r="A9" s="19" t="s">
        <x:v>49</x:v>
      </x:c>
    </x:row>
    <x:row r="10" ht="15" hidden="0">
      <x:c r="A10" s="17"/>
    </x:row>
    <x:row r="11" ht="15" hidden="0">
      <x:c r="A11" s="18" t="s">
        <x:v>50</x:v>
      </x:c>
    </x:row>
    <x:row r="12" ht="23.850000381469727" hidden="0">
      <x:c r="A12" s="19" t="s">
        <x:v>51</x:v>
      </x:c>
    </x:row>
    <x:row r="13" ht="15" hidden="0">
      <x:c r="A13" s="17"/>
    </x:row>
    <x:row r="14" ht="15" hidden="0">
      <x:c r="A14" s="18" t="s">
        <x:v>52</x:v>
      </x:c>
    </x:row>
    <x:row r="15" ht="23.850000381469727" hidden="0">
      <x:c r="A15" s="19" t="s">
        <x:v>53</x:v>
      </x:c>
    </x:row>
    <x:row r="16" ht="23.850000381469727" hidden="0">
      <x:c r="A16" s="19" t="s">
        <x:v>54</x:v>
      </x:c>
    </x:row>
    <x:row r="17" ht="23.850000381469727" hidden="0">
      <x:c r="A17" s="19" t="s">
        <x:v>55</x:v>
      </x:c>
    </x:row>
    <x:row r="18" ht="15" hidden="0">
      <x:c r="A18" s="17"/>
    </x:row>
    <x:row r="19" ht="15" hidden="0">
      <x:c r="A19" s="18" t="s">
        <x:v>56</x:v>
      </x:c>
    </x:row>
    <x:row r="20" ht="23.850000381469727" hidden="0">
      <x:c r="A20" s="19" t="s">
        <x:v>57</x:v>
      </x:c>
    </x:row>
    <x:row r="21" ht="15" hidden="0">
      <x:c r="A21" s="17"/>
    </x:row>
    <x:row r="22" ht="15" hidden="0">
      <x:c r="A22" s="18" t="s">
        <x:v>58</x:v>
      </x:c>
    </x:row>
    <x:row r="23" ht="15" hidden="0">
      <x:c r="A23" s="19" t="s">
        <x:v>59</x:v>
      </x:c>
    </x:row>
    <x:row r="25">
      <x:c r="A25" s="25" t="str">
        <x:v>MONTHLY IMPUTATION</x:v>
      </x:c>
    </x:row>
    <x:row r="26">
      <x:c r="A26" s="52" t="str">
        <x:v>Monthly Balance starts with Dec-22 ending balance set equal to the Q1:23 reported average for each line item.</x:v>
      </x:c>
    </x:row>
    <x:row r="27">
      <x:c r="A27" s="52" t="str">
        <x:v>Within each quarter, month-end balances follow a straight-line path. The prior quarter-end plus the three month-ends averages to the disclosed quarterly average.</x:v>
      </x:c>
    </x:row>
    <x:row r="28">
      <x:c r="A28" s="52" t="str">
        <x:v>Monthly NII allocates each quarterly income or expense amount in proportion to two-point monthly average balance. The three monthly amounts sum to the disclosed quarter.</x:v>
      </x:c>
    </x:row>
    <x:row r="29">
      <x:c r="A29" s="52" t="str">
        <x:v>Monthly Rate is recalculated as monthly income or expense times 12 divided by two-point monthly average balance.</x:v>
      </x:c>
    </x:row>
    <x:row r="30">
      <x:c r="A30" s="52" t="str">
        <x:v>Monthly Checks verifies the four-point balance averages and the monthly income sums against the quarterly source.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</x:cols>
  <x:sheetData>
    <x:row r="1">
      <x:c r="A1" s="28" t="str">
        <x:v>Capital One - Imputed Month-End Balance by line item ($mm)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  <x:c r="AR1" s="20"/>
    </x:row>
    <x:row r="2" ht="31" customHeight="1">
      <x:c r="A2" s="30" t="str">
        <x:v>Dec-22 ending balance is set equal to the Q1:23 reported average. Within each quarter, month-end balances follow a straight-line path so the prior quarter-end plus the three month-ends average to the disclosed quarterly average.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  <x:c r="AR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R3" s="20"/>
    </x:row>
    <x:row r="4">
      <x:c r="A4" s="26" t="str">
        <x:v>Line item (as disclosed)</x:v>
      </x:c>
      <x:c r="B4" s="31" t="n">
        <x:v>44926</x:v>
      </x:c>
      <x:c r="C4" s="31" t="n">
        <x:v>44957</x:v>
      </x:c>
      <x:c r="D4" s="31" t="n">
        <x:v>44985</x:v>
      </x:c>
      <x:c r="E4" s="31" t="n">
        <x:v>45016</x:v>
      </x:c>
      <x:c r="F4" s="31" t="n">
        <x:v>45046</x:v>
      </x:c>
      <x:c r="G4" s="31" t="n">
        <x:v>45077</x:v>
      </x:c>
      <x:c r="H4" s="31" t="n">
        <x:v>45107</x:v>
      </x:c>
      <x:c r="I4" s="31" t="n">
        <x:v>45138</x:v>
      </x:c>
      <x:c r="J4" s="31" t="n">
        <x:v>45169</x:v>
      </x:c>
      <x:c r="K4" s="31" t="n">
        <x:v>45199</x:v>
      </x:c>
      <x:c r="L4" s="31" t="n">
        <x:v>45230</x:v>
      </x:c>
      <x:c r="M4" s="31" t="n">
        <x:v>45260</x:v>
      </x:c>
      <x:c r="N4" s="31" t="n">
        <x:v>45291</x:v>
      </x:c>
      <x:c r="O4" s="31" t="n">
        <x:v>45322</x:v>
      </x:c>
      <x:c r="P4" s="31" t="n">
        <x:v>45351</x:v>
      </x:c>
      <x:c r="Q4" s="31" t="n">
        <x:v>45382</x:v>
      </x:c>
      <x:c r="R4" s="31" t="n">
        <x:v>45412</x:v>
      </x:c>
      <x:c r="S4" s="31" t="n">
        <x:v>45443</x:v>
      </x:c>
      <x:c r="T4" s="31" t="n">
        <x:v>45473</x:v>
      </x:c>
      <x:c r="U4" s="31" t="n">
        <x:v>45504</x:v>
      </x:c>
      <x:c r="V4" s="31" t="n">
        <x:v>45535</x:v>
      </x:c>
      <x:c r="W4" s="31" t="n">
        <x:v>45565</x:v>
      </x:c>
      <x:c r="X4" s="31" t="n">
        <x:v>45596</x:v>
      </x:c>
      <x:c r="Y4" s="31" t="n">
        <x:v>45626</x:v>
      </x:c>
      <x:c r="Z4" s="31" t="n">
        <x:v>45657</x:v>
      </x:c>
      <x:c r="AA4" s="31" t="n">
        <x:v>45688</x:v>
      </x:c>
      <x:c r="AB4" s="31" t="n">
        <x:v>45716</x:v>
      </x:c>
      <x:c r="AC4" s="31" t="n">
        <x:v>45747</x:v>
      </x:c>
      <x:c r="AD4" s="31" t="n">
        <x:v>45777</x:v>
      </x:c>
      <x:c r="AE4" s="31" t="n">
        <x:v>45808</x:v>
      </x:c>
      <x:c r="AF4" s="31" t="n">
        <x:v>45838</x:v>
      </x:c>
      <x:c r="AG4" s="31" t="n">
        <x:v>45869</x:v>
      </x:c>
      <x:c r="AH4" s="31" t="n">
        <x:v>45900</x:v>
      </x:c>
      <x:c r="AI4" s="31" t="n">
        <x:v>45930</x:v>
      </x:c>
      <x:c r="AJ4" s="31" t="n">
        <x:v>45961</x:v>
      </x:c>
      <x:c r="AK4" s="31" t="n">
        <x:v>45991</x:v>
      </x:c>
      <x:c r="AL4" s="31" t="n">
        <x:v>46022</x:v>
      </x:c>
      <x:c r="AM4" s="31" t="n">
        <x:v>46053</x:v>
      </x:c>
      <x:c r="AN4" s="31" t="n">
        <x:v>46081</x:v>
      </x:c>
      <x:c r="AO4" s="31" t="n">
        <x:v>46112</x:v>
      </x:c>
      <x:c r="AP4" s="31" t="n">
        <x:v>46142</x:v>
      </x:c>
      <x:c r="AQ4" s="31" t="n">
        <x:v>46173</x:v>
      </x:c>
      <x:c r="AR4" s="31" t="n">
        <x:v>46203</x:v>
      </x:c>
    </x:row>
    <x:row r="5">
      <x:c r="A5" s="35" t="str">
        <x:v>INTEREST-EARNING ASSETS</x:v>
      </x:c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  <x:c r="AA5" s="35"/>
      <x:c r="AB5" s="35"/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  <x:c r="AR5" s="35"/>
    </x:row>
    <x:row r="6">
      <x:c r="A6" s="20" t="str">
        <x:v>  Credit card</x:v>
      </x:c>
      <x:c r="B6" s="33" t="n">
        <x:f>Balance!B6</x:f>
        <x:v>134669</x:v>
      </x:c>
      <x:c r="C6" s="33" t="n">
        <x:f>B6+(Balance!B6-B6)/1.5</x:f>
        <x:v>134669</x:v>
      </x:c>
      <x:c r="D6" s="33" t="n">
        <x:f>B6+2*(Balance!B6-B6)/1.5</x:f>
        <x:v>134669</x:v>
      </x:c>
      <x:c r="E6" s="33" t="n">
        <x:f>2*Balance!B6-B6</x:f>
        <x:v>134669</x:v>
      </x:c>
      <x:c r="F6" s="33" t="n">
        <x:f>E6+(Balance!C6-E6)/1.5</x:f>
        <x:v>137397.66666666666</x:v>
      </x:c>
      <x:c r="G6" s="33" t="n">
        <x:f>E6+2*(Balance!C6-E6)/1.5</x:f>
        <x:v>140126.33333333334</x:v>
      </x:c>
      <x:c r="H6" s="33" t="n">
        <x:f>2*Balance!C6-E6</x:f>
        <x:v>142855</x:v>
      </x:c>
      <x:c r="I6" s="33" t="n">
        <x:f>H6+(Balance!D6-H6)/1.5</x:f>
        <x:v>143653.66666666666</x:v>
      </x:c>
      <x:c r="J6" s="33" t="n">
        <x:f>H6+2*(Balance!D6-H6)/1.5</x:f>
        <x:v>144452.33333333334</x:v>
      </x:c>
      <x:c r="K6" s="33" t="n">
        <x:f>2*Balance!D6-H6</x:f>
        <x:v>145251</x:v>
      </x:c>
      <x:c r="L6" s="33" t="n">
        <x:f>K6+(Balance!E6-K6)/1.5</x:f>
        <x:v>147825</x:v>
      </x:c>
      <x:c r="M6" s="33" t="n">
        <x:f>K6+2*(Balance!E6-K6)/1.5</x:f>
        <x:v>150399</x:v>
      </x:c>
      <x:c r="N6" s="33" t="n">
        <x:f>2*Balance!E6-K6</x:f>
        <x:v>152973</x:v>
      </x:c>
      <x:c r="O6" s="33" t="n">
        <x:f>N6+(Balance!F6-N6)/1.5</x:f>
        <x:v>151023.66666666666</x:v>
      </x:c>
      <x:c r="P6" s="33" t="n">
        <x:f>N6+2*(Balance!F6-N6)/1.5</x:f>
        <x:v>149074.33333333334</x:v>
      </x:c>
      <x:c r="Q6" s="33" t="n">
        <x:f>2*Balance!F6-N6</x:f>
        <x:v>147125</x:v>
      </x:c>
      <x:c r="R6" s="33" t="n">
        <x:f>Q6+(Balance!G6-Q6)/1.5</x:f>
        <x:v>149619</x:v>
      </x:c>
      <x:c r="S6" s="33" t="n">
        <x:f>Q6+2*(Balance!G6-Q6)/1.5</x:f>
        <x:v>152113</x:v>
      </x:c>
      <x:c r="T6" s="33" t="n">
        <x:f>2*Balance!G6-Q6</x:f>
        <x:v>154607</x:v>
      </x:c>
      <x:c r="U6" s="33" t="n">
        <x:f>T6+(Balance!H6-T6)/1.5</x:f>
        <x:v>154309</x:v>
      </x:c>
      <x:c r="V6" s="33" t="n">
        <x:f>T6+2*(Balance!H6-T6)/1.5</x:f>
        <x:v>154011</x:v>
      </x:c>
      <x:c r="W6" s="33" t="n">
        <x:f>2*Balance!H6-T6</x:f>
        <x:v>153713</x:v>
      </x:c>
      <x:c r="X6" s="33" t="n">
        <x:f>W6+(Balance!I6-W6)/1.5</x:f>
        <x:v>156144.33333333334</x:v>
      </x:c>
      <x:c r="Y6" s="33" t="n">
        <x:f>W6+2*(Balance!I6-W6)/1.5</x:f>
        <x:v>158575.66666666666</x:v>
      </x:c>
      <x:c r="Z6" s="33" t="n">
        <x:f>2*Balance!I6-W6</x:f>
        <x:v>161007</x:v>
      </x:c>
      <x:c r="AA6" s="33" t="n">
        <x:f>Z6+(Balance!J6-Z6)/1.5</x:f>
        <x:v>157941</x:v>
      </x:c>
      <x:c r="AB6" s="33" t="n">
        <x:f>Z6+2*(Balance!J6-Z6)/1.5</x:f>
        <x:v>154875</x:v>
      </x:c>
      <x:c r="AC6" s="33" t="n">
        <x:f>2*Balance!J6-Z6</x:f>
        <x:v>151809</x:v>
      </x:c>
      <x:c r="AD6" s="33" t="n">
        <x:f>AC6+(Balance!K6-AC6)/1.5</x:f>
        <x:v>190398.33333333334</x:v>
      </x:c>
      <x:c r="AE6" s="33" t="n">
        <x:f>AC6+2*(Balance!K6-AC6)/1.5</x:f>
        <x:v>228987.6666666667</x:v>
      </x:c>
      <x:c r="AF6" s="33" t="n">
        <x:f>2*Balance!K6-AC6</x:f>
        <x:v>267577</x:v>
      </x:c>
      <x:c r="AG6" s="33" t="n">
        <x:f>AF6+(Balance!L6-AF6)/1.5</x:f>
        <x:v>268642.3333333333</x:v>
      </x:c>
      <x:c r="AH6" s="33" t="n">
        <x:f>AF6+2*(Balance!L6-AF6)/1.5</x:f>
        <x:v>269707.6666666667</x:v>
      </x:c>
      <x:c r="AI6" s="33" t="n">
        <x:f>2*Balance!L6-AF6</x:f>
        <x:v>270773</x:v>
      </x:c>
      <x:c r="AJ6" s="33" t="n">
        <x:f>AI6+(Balance!M6-AI6)/1.5</x:f>
        <x:v>272071</x:v>
      </x:c>
      <x:c r="AK6" s="33" t="n">
        <x:f>AI6+2*(Balance!M6-AI6)/1.5</x:f>
        <x:v>273369</x:v>
      </x:c>
      <x:c r="AL6" s="33" t="n">
        <x:f>2*Balance!M6-AI6</x:f>
        <x:v>274667</x:v>
      </x:c>
      <x:c r="AM6" s="33" t="n">
        <x:f>AL6+(Balance!N6-AL6)/1.5</x:f>
        <x:v>272205.6666666667</x:v>
      </x:c>
      <x:c r="AN6" s="33" t="n">
        <x:f>AL6+2*(Balance!N6-AL6)/1.5</x:f>
        <x:v>269744.3333333333</x:v>
      </x:c>
      <x:c r="AO6" s="33" t="n">
        <x:f>2*Balance!N6-AL6</x:f>
        <x:v>267283</x:v>
      </x:c>
      <x:c r="AP6" s="33" t="n">
        <x:f>AO6+(Balance!O6-AO6)/1.5</x:f>
        <x:v>269892.3333333333</x:v>
      </x:c>
      <x:c r="AQ6" s="33" t="n">
        <x:f>AO6+2*(Balance!O6-AO6)/1.5</x:f>
        <x:v>272501.6666666667</x:v>
      </x:c>
      <x:c r="AR6" s="33" t="n">
        <x:f>2*Balance!O6-AO6</x:f>
        <x:v>275111</x:v>
      </x:c>
    </x:row>
    <x:row r="7">
      <x:c r="A7" s="20" t="str">
        <x:v>  Consumer banking</x:v>
      </x:c>
      <x:c r="B7" s="33" t="n">
        <x:f>Balance!B7</x:f>
        <x:v>79000</x:v>
      </x:c>
      <x:c r="C7" s="33" t="n">
        <x:f>B7+(Balance!B7-B7)/1.5</x:f>
        <x:v>79000</x:v>
      </x:c>
      <x:c r="D7" s="33" t="n">
        <x:f>B7+2*(Balance!B7-B7)/1.5</x:f>
        <x:v>79000</x:v>
      </x:c>
      <x:c r="E7" s="33" t="n">
        <x:f>2*Balance!B7-B7</x:f>
        <x:v>79000</x:v>
      </x:c>
      <x:c r="F7" s="33" t="n">
        <x:f>E7+(Balance!C7-E7)/1.5</x:f>
        <x:v>78132.66666666667</x:v>
      </x:c>
      <x:c r="G7" s="33" t="n">
        <x:f>E7+2*(Balance!C7-E7)/1.5</x:f>
        <x:v>77265.33333333333</x:v>
      </x:c>
      <x:c r="H7" s="33" t="n">
        <x:f>2*Balance!C7-E7</x:f>
        <x:v>76398</x:v>
      </x:c>
      <x:c r="I7" s="33" t="n">
        <x:f>H7+(Balance!D7-H7)/1.5</x:f>
        <x:v>76902</x:v>
      </x:c>
      <x:c r="J7" s="33" t="n">
        <x:f>H7+2*(Balance!D7-H7)/1.5</x:f>
        <x:v>77406</x:v>
      </x:c>
      <x:c r="K7" s="33" t="n">
        <x:f>2*Balance!D7-H7</x:f>
        <x:v>77910</x:v>
      </x:c>
      <x:c r="L7" s="33" t="n">
        <x:f>K7+(Balance!E7-K7)/1.5</x:f>
        <x:v>76786</x:v>
      </x:c>
      <x:c r="M7" s="33" t="n">
        <x:f>K7+2*(Balance!E7-K7)/1.5</x:f>
        <x:v>75662</x:v>
      </x:c>
      <x:c r="N7" s="33" t="n">
        <x:f>2*Balance!E7-K7</x:f>
        <x:v>74538</x:v>
      </x:c>
      <x:c r="O7" s="33" t="n">
        <x:f>N7+(Balance!F7-N7)/1.5</x:f>
        <x:v>74906.66666666667</x:v>
      </x:c>
      <x:c r="P7" s="33" t="n">
        <x:f>N7+2*(Balance!F7-N7)/1.5</x:f>
        <x:v>75275.33333333333</x:v>
      </x:c>
      <x:c r="Q7" s="33" t="n">
        <x:f>2*Balance!F7-N7</x:f>
        <x:v>75644</x:v>
      </x:c>
      <x:c r="R7" s="33" t="n">
        <x:f>Q7+(Balance!G7-Q7)/1.5</x:f>
        <x:v>75472</x:v>
      </x:c>
      <x:c r="S7" s="33" t="n">
        <x:f>Q7+2*(Balance!G7-Q7)/1.5</x:f>
        <x:v>75300</x:v>
      </x:c>
      <x:c r="T7" s="33" t="n">
        <x:f>2*Balance!G7-Q7</x:f>
        <x:v>75128</x:v>
      </x:c>
      <x:c r="U7" s="33" t="n">
        <x:f>T7+(Balance!H7-T7)/1.5</x:f>
        <x:v>75830.66666666667</x:v>
      </x:c>
      <x:c r="V7" s="33" t="n">
        <x:f>T7+2*(Balance!H7-T7)/1.5</x:f>
        <x:v>76533.33333333333</x:v>
      </x:c>
      <x:c r="W7" s="33" t="n">
        <x:f>2*Balance!H7-T7</x:f>
        <x:v>77236</x:v>
      </x:c>
      <x:c r="X7" s="33" t="n">
        <x:f>W7+(Balance!I7-W7)/1.5</x:f>
        <x:v>77232.66666666667</x:v>
      </x:c>
      <x:c r="Y7" s="33" t="n">
        <x:f>W7+2*(Balance!I7-W7)/1.5</x:f>
        <x:v>77229.33333333333</x:v>
      </x:c>
      <x:c r="Z7" s="33" t="n">
        <x:f>2*Balance!I7-W7</x:f>
        <x:v>77226</x:v>
      </x:c>
      <x:c r="AA7" s="33" t="n">
        <x:f>Z7+(Balance!J7-Z7)/1.5</x:f>
        <x:v>78062</x:v>
      </x:c>
      <x:c r="AB7" s="33" t="n">
        <x:f>Z7+2*(Balance!J7-Z7)/1.5</x:f>
        <x:v>78898</x:v>
      </x:c>
      <x:c r="AC7" s="33" t="n">
        <x:f>2*Balance!J7-Z7</x:f>
        <x:v>79734</x:v>
      </x:c>
      <x:c r="AD7" s="33" t="n">
        <x:f>AC7+(Balance!K7-AC7)/1.5</x:f>
        <x:v>79974.66666666667</x:v>
      </x:c>
      <x:c r="AE7" s="33" t="n">
        <x:f>AC7+2*(Balance!K7-AC7)/1.5</x:f>
        <x:v>80215.33333333333</x:v>
      </x:c>
      <x:c r="AF7" s="33" t="n">
        <x:f>2*Balance!K7-AC7</x:f>
        <x:v>80456</x:v>
      </x:c>
      <x:c r="AG7" s="33" t="n">
        <x:f>AF7+(Balance!L7-AF7)/1.5</x:f>
        <x:v>81682</x:v>
      </x:c>
      <x:c r="AH7" s="33" t="n">
        <x:f>AF7+2*(Balance!L7-AF7)/1.5</x:f>
        <x:v>82908</x:v>
      </x:c>
      <x:c r="AI7" s="33" t="n">
        <x:f>2*Balance!L7-AF7</x:f>
        <x:v>84134</x:v>
      </x:c>
      <x:c r="AJ7" s="33" t="n">
        <x:f>AI7+(Balance!M7-AI7)/1.5</x:f>
        <x:v>84036.66666666667</x:v>
      </x:c>
      <x:c r="AK7" s="33" t="n">
        <x:f>AI7+2*(Balance!M7-AI7)/1.5</x:f>
        <x:v>83939.33333333333</x:v>
      </x:c>
      <x:c r="AL7" s="33" t="n">
        <x:f>2*Balance!M7-AI7</x:f>
        <x:v>83842</x:v>
      </x:c>
      <x:c r="AM7" s="33" t="n">
        <x:f>AL7+(Balance!N7-AL7)/1.5</x:f>
        <x:v>85081.33333333333</x:v>
      </x:c>
      <x:c r="AN7" s="33" t="n">
        <x:f>AL7+2*(Balance!N7-AL7)/1.5</x:f>
        <x:v>86320.66666666667</x:v>
      </x:c>
      <x:c r="AO7" s="33" t="n">
        <x:f>2*Balance!N7-AL7</x:f>
        <x:v>87560</x:v>
      </x:c>
      <x:c r="AP7" s="33" t="n">
        <x:f>AO7+(Balance!O7-AO7)/1.5</x:f>
        <x:v>88242</x:v>
      </x:c>
      <x:c r="AQ7" s="33" t="n">
        <x:f>AO7+2*(Balance!O7-AO7)/1.5</x:f>
        <x:v>88924</x:v>
      </x:c>
      <x:c r="AR7" s="33" t="n">
        <x:f>2*Balance!O7-AO7</x:f>
        <x:v>89606</x:v>
      </x:c>
    </x:row>
    <x:row r="8">
      <x:c r="A8" s="20" t="str">
        <x:v>  Commercial banking</x:v>
      </x:c>
      <x:c r="B8" s="33" t="n">
        <x:f>Balance!B8</x:f>
        <x:v>94446</x:v>
      </x:c>
      <x:c r="C8" s="33" t="n">
        <x:f>B8+(Balance!B8-B8)/1.5</x:f>
        <x:v>94446</x:v>
      </x:c>
      <x:c r="D8" s="33" t="n">
        <x:f>B8+2*(Balance!B8-B8)/1.5</x:f>
        <x:v>94446</x:v>
      </x:c>
      <x:c r="E8" s="33" t="n">
        <x:f>2*Balance!B8-B8</x:f>
        <x:v>94446</x:v>
      </x:c>
      <x:c r="F8" s="33" t="n">
        <x:f>E8+(Balance!C8-E8)/1.5</x:f>
        <x:v>94064.66666666667</x:v>
      </x:c>
      <x:c r="G8" s="33" t="n">
        <x:f>E8+2*(Balance!C8-E8)/1.5</x:f>
        <x:v>93683.33333333333</x:v>
      </x:c>
      <x:c r="H8" s="33" t="n">
        <x:f>2*Balance!C8-E8</x:f>
        <x:v>93302</x:v>
      </x:c>
      <x:c r="I8" s="33" t="n">
        <x:f>H8+(Balance!D8-H8)/1.5</x:f>
        <x:v>92603.33333333333</x:v>
      </x:c>
      <x:c r="J8" s="33" t="n">
        <x:f>H8+2*(Balance!D8-H8)/1.5</x:f>
        <x:v>91904.66666666667</x:v>
      </x:c>
      <x:c r="K8" s="33" t="n">
        <x:f>2*Balance!D8-H8</x:f>
        <x:v>91206</x:v>
      </x:c>
      <x:c r="L8" s="33" t="n">
        <x:f>K8+(Balance!E8-K8)/1.5</x:f>
        <x:v>91325.33333333333</x:v>
      </x:c>
      <x:c r="M8" s="33" t="n">
        <x:f>K8+2*(Balance!E8-K8)/1.5</x:f>
        <x:v>91444.66666666667</x:v>
      </x:c>
      <x:c r="N8" s="33" t="n">
        <x:f>2*Balance!E8-K8</x:f>
        <x:v>91564</x:v>
      </x:c>
      <x:c r="O8" s="33" t="n">
        <x:f>N8+(Balance!F8-N8)/1.5</x:f>
        <x:v>90803.33333333333</x:v>
      </x:c>
      <x:c r="P8" s="33" t="n">
        <x:f>N8+2*(Balance!F8-N8)/1.5</x:f>
        <x:v>90042.66666666667</x:v>
      </x:c>
      <x:c r="Q8" s="33" t="n">
        <x:f>2*Balance!F8-N8</x:f>
        <x:v>89282</x:v>
      </x:c>
      <x:c r="R8" s="33" t="n">
        <x:f>Q8+(Balance!G8-Q8)/1.5</x:f>
        <x:v>89474.66666666667</x:v>
      </x:c>
      <x:c r="S8" s="33" t="n">
        <x:f>Q8+2*(Balance!G8-Q8)/1.5</x:f>
        <x:v>89667.33333333333</x:v>
      </x:c>
      <x:c r="T8" s="33" t="n">
        <x:f>2*Balance!G8-Q8</x:f>
        <x:v>89860</x:v>
      </x:c>
      <x:c r="U8" s="33" t="n">
        <x:f>T8+(Balance!H8-T8)/1.5</x:f>
        <x:v>88868.66666666667</x:v>
      </x:c>
      <x:c r="V8" s="33" t="n">
        <x:f>T8+2*(Balance!H8-T8)/1.5</x:f>
        <x:v>87877.33333333333</x:v>
      </x:c>
      <x:c r="W8" s="33" t="n">
        <x:f>2*Balance!H8-T8</x:f>
        <x:v>86886</x:v>
      </x:c>
      <x:c r="X8" s="33" t="n">
        <x:f>W8+(Balance!I8-W8)/1.5</x:f>
        <x:v>87410</x:v>
      </x:c>
      <x:c r="Y8" s="33" t="n">
        <x:f>W8+2*(Balance!I8-W8)/1.5</x:f>
        <x:v>87934</x:v>
      </x:c>
      <x:c r="Z8" s="33" t="n">
        <x:f>2*Balance!I8-W8</x:f>
        <x:v>88458</x:v>
      </x:c>
      <x:c r="AA8" s="33" t="n">
        <x:f>Z8+(Balance!J8-Z8)/1.5</x:f>
        <x:v>88075.33333333333</x:v>
      </x:c>
      <x:c r="AB8" s="33" t="n">
        <x:f>Z8+2*(Balance!J8-Z8)/1.5</x:f>
        <x:v>87692.66666666667</x:v>
      </x:c>
      <x:c r="AC8" s="33" t="n">
        <x:f>2*Balance!J8-Z8</x:f>
        <x:v>87310</x:v>
      </x:c>
      <x:c r="AD8" s="33" t="n">
        <x:f>AC8+(Balance!K8-AC8)/1.5</x:f>
        <x:v>88269.33333333333</x:v>
      </x:c>
      <x:c r="AE8" s="33" t="n">
        <x:f>AC8+2*(Balance!K8-AC8)/1.5</x:f>
        <x:v>89228.66666666667</x:v>
      </x:c>
      <x:c r="AF8" s="33" t="n">
        <x:f>2*Balance!K8-AC8</x:f>
        <x:v>90188</x:v>
      </x:c>
      <x:c r="AG8" s="33" t="n">
        <x:f>AF8+(Balance!L8-AF8)/1.5</x:f>
        <x:v>89332</x:v>
      </x:c>
      <x:c r="AH8" s="33" t="n">
        <x:f>AF8+2*(Balance!L8-AF8)/1.5</x:f>
        <x:v>88476</x:v>
      </x:c>
      <x:c r="AI8" s="33" t="n">
        <x:f>2*Balance!L8-AF8</x:f>
        <x:v>87620</x:v>
      </x:c>
      <x:c r="AJ8" s="33" t="n">
        <x:f>AI8+(Balance!M8-AI8)/1.5</x:f>
        <x:v>88668</x:v>
      </x:c>
      <x:c r="AK8" s="33" t="n">
        <x:f>AI8+2*(Balance!M8-AI8)/1.5</x:f>
        <x:v>89716</x:v>
      </x:c>
      <x:c r="AL8" s="33" t="n">
        <x:f>2*Balance!M8-AI8</x:f>
        <x:v>90764</x:v>
      </x:c>
      <x:c r="AM8" s="33" t="n">
        <x:f>AL8+(Balance!N8-AL8)/1.5</x:f>
        <x:v>90297.33333333333</x:v>
      </x:c>
      <x:c r="AN8" s="33" t="n">
        <x:f>AL8+2*(Balance!N8-AL8)/1.5</x:f>
        <x:v>89830.66666666667</x:v>
      </x:c>
      <x:c r="AO8" s="33" t="n">
        <x:f>2*Balance!N8-AL8</x:f>
        <x:v>89364</x:v>
      </x:c>
      <x:c r="AP8" s="33" t="n">
        <x:f>AO8+(Balance!O8-AO8)/1.5</x:f>
        <x:v>90509.33333333333</x:v>
      </x:c>
      <x:c r="AQ8" s="33" t="n">
        <x:f>AO8+2*(Balance!O8-AO8)/1.5</x:f>
        <x:v>91654.66666666667</x:v>
      </x:c>
      <x:c r="AR8" s="33" t="n">
        <x:f>2*Balance!O8-AO8</x:f>
        <x:v>92800</x:v>
      </x:c>
    </x:row>
    <x:row r="9">
      <x:c r="A9" s="26" t="str">
        <x:v>  Total loans (incl. HFS)</x:v>
      </x:c>
      <x:c r="B9" s="37" t="n">
        <x:f>SUM(B6:B8)</x:f>
        <x:v>308115</x:v>
      </x:c>
      <x:c r="C9" s="37" t="n">
        <x:f>SUM(C6:C8)</x:f>
        <x:v>308115</x:v>
      </x:c>
      <x:c r="D9" s="37" t="n">
        <x:f>SUM(D6:D8)</x:f>
        <x:v>308115</x:v>
      </x:c>
      <x:c r="E9" s="37" t="n">
        <x:f>SUM(E6:E8)</x:f>
        <x:v>308115</x:v>
      </x:c>
      <x:c r="F9" s="37" t="n">
        <x:f>SUM(F6:F8)</x:f>
        <x:v>309595</x:v>
      </x:c>
      <x:c r="G9" s="37" t="n">
        <x:f>SUM(G6:G8)</x:f>
        <x:v>311075</x:v>
      </x:c>
      <x:c r="H9" s="37" t="n">
        <x:f>SUM(H6:H8)</x:f>
        <x:v>312555</x:v>
      </x:c>
      <x:c r="I9" s="37" t="n">
        <x:f>SUM(I6:I8)</x:f>
        <x:v>313159</x:v>
      </x:c>
      <x:c r="J9" s="37" t="n">
        <x:f>SUM(J6:J8)</x:f>
        <x:v>313763</x:v>
      </x:c>
      <x:c r="K9" s="37" t="n">
        <x:f>SUM(K6:K8)</x:f>
        <x:v>314367</x:v>
      </x:c>
      <x:c r="L9" s="37" t="n">
        <x:f>SUM(L6:L8)</x:f>
        <x:v>315936.3333333333</x:v>
      </x:c>
      <x:c r="M9" s="37" t="n">
        <x:f>SUM(M6:M8)</x:f>
        <x:v>317505.6666666667</x:v>
      </x:c>
      <x:c r="N9" s="37" t="n">
        <x:f>SUM(N6:N8)</x:f>
        <x:v>319075</x:v>
      </x:c>
      <x:c r="O9" s="37" t="n">
        <x:f>SUM(O6:O8)</x:f>
        <x:v>316733.6666666666</x:v>
      </x:c>
      <x:c r="P9" s="37" t="n">
        <x:f>SUM(P6:P8)</x:f>
        <x:v>314392.3333333334</x:v>
      </x:c>
      <x:c r="Q9" s="37" t="n">
        <x:f>SUM(Q6:Q8)</x:f>
        <x:v>312051</x:v>
      </x:c>
      <x:c r="R9" s="37" t="n">
        <x:f>SUM(R6:R8)</x:f>
        <x:v>314565.6666666667</x:v>
      </x:c>
      <x:c r="S9" s="37" t="n">
        <x:f>SUM(S6:S8)</x:f>
        <x:v>317080.3333333333</x:v>
      </x:c>
      <x:c r="T9" s="37" t="n">
        <x:f>SUM(T6:T8)</x:f>
        <x:v>319595</x:v>
      </x:c>
      <x:c r="U9" s="37" t="n">
        <x:f>SUM(U6:U8)</x:f>
        <x:v>319008.3333333334</x:v>
      </x:c>
      <x:c r="V9" s="37" t="n">
        <x:f>SUM(V6:V8)</x:f>
        <x:v>318421.6666666666</x:v>
      </x:c>
      <x:c r="W9" s="37" t="n">
        <x:f>SUM(W6:W8)</x:f>
        <x:v>317835</x:v>
      </x:c>
      <x:c r="X9" s="37" t="n">
        <x:f>SUM(X6:X8)</x:f>
        <x:v>320787</x:v>
      </x:c>
      <x:c r="Y9" s="37" t="n">
        <x:f>SUM(Y6:Y8)</x:f>
        <x:v>323739</x:v>
      </x:c>
      <x:c r="Z9" s="37" t="n">
        <x:f>SUM(Z6:Z8)</x:f>
        <x:v>326691</x:v>
      </x:c>
      <x:c r="AA9" s="37" t="n">
        <x:f>SUM(AA6:AA8)</x:f>
        <x:v>324078.3333333333</x:v>
      </x:c>
      <x:c r="AB9" s="37" t="n">
        <x:f>SUM(AB6:AB8)</x:f>
        <x:v>321465.6666666667</x:v>
      </x:c>
      <x:c r="AC9" s="37" t="n">
        <x:f>SUM(AC6:AC8)</x:f>
        <x:v>318853</x:v>
      </x:c>
      <x:c r="AD9" s="37" t="n">
        <x:f>SUM(AD6:AD8)</x:f>
        <x:v>358642.3333333333</x:v>
      </x:c>
      <x:c r="AE9" s="37" t="n">
        <x:f>SUM(AE6:AE8)</x:f>
        <x:v>398431.6666666667</x:v>
      </x:c>
      <x:c r="AF9" s="37" t="n">
        <x:f>SUM(AF6:AF8)</x:f>
        <x:v>438221</x:v>
      </x:c>
      <x:c r="AG9" s="37" t="n">
        <x:f>SUM(AG6:AG8)</x:f>
        <x:v>439656.3333333333</x:v>
      </x:c>
      <x:c r="AH9" s="37" t="n">
        <x:f>SUM(AH6:AH8)</x:f>
        <x:v>441091.6666666667</x:v>
      </x:c>
      <x:c r="AI9" s="37" t="n">
        <x:f>SUM(AI6:AI8)</x:f>
        <x:v>442527</x:v>
      </x:c>
      <x:c r="AJ9" s="37" t="n">
        <x:f>SUM(AJ6:AJ8)</x:f>
        <x:v>444775.6666666667</x:v>
      </x:c>
      <x:c r="AK9" s="37" t="n">
        <x:f>SUM(AK6:AK8)</x:f>
        <x:v>447024.3333333333</x:v>
      </x:c>
      <x:c r="AL9" s="37" t="n">
        <x:f>SUM(AL6:AL8)</x:f>
        <x:v>449273</x:v>
      </x:c>
      <x:c r="AM9" s="37" t="n">
        <x:f>SUM(AM6:AM8)</x:f>
        <x:v>447584.3333333333</x:v>
      </x:c>
      <x:c r="AN9" s="37" t="n">
        <x:f>SUM(AN6:AN8)</x:f>
        <x:v>445895.6666666667</x:v>
      </x:c>
      <x:c r="AO9" s="37" t="n">
        <x:f>SUM(AO6:AO8)</x:f>
        <x:v>444207</x:v>
      </x:c>
      <x:c r="AP9" s="37" t="n">
        <x:f>SUM(AP6:AP8)</x:f>
        <x:v>448643.6666666666</x:v>
      </x:c>
      <x:c r="AQ9" s="37" t="n">
        <x:f>SUM(AQ6:AQ8)</x:f>
        <x:v>453080.3333333334</x:v>
      </x:c>
      <x:c r="AR9" s="37" t="n">
        <x:f>SUM(AR6:AR8)</x:f>
        <x:v>457517</x:v>
      </x:c>
    </x:row>
    <x:row r="10">
      <x:c r="A10" s="20" t="str">
        <x:v>  Investment securities</x:v>
      </x:c>
      <x:c r="B10" s="33" t="n">
        <x:f>Balance!B10</x:f>
        <x:v>89960</x:v>
      </x:c>
      <x:c r="C10" s="33" t="n">
        <x:f>B10+(Balance!B10-B10)/1.5</x:f>
        <x:v>89960</x:v>
      </x:c>
      <x:c r="D10" s="33" t="n">
        <x:f>B10+2*(Balance!B10-B10)/1.5</x:f>
        <x:v>89960</x:v>
      </x:c>
      <x:c r="E10" s="33" t="n">
        <x:f>2*Balance!B10-B10</x:f>
        <x:v>89960</x:v>
      </x:c>
      <x:c r="F10" s="33" t="n">
        <x:f>E10+(Balance!C10-E10)/1.5</x:f>
        <x:v>89982.66666666667</x:v>
      </x:c>
      <x:c r="G10" s="33" t="n">
        <x:f>E10+2*(Balance!C10-E10)/1.5</x:f>
        <x:v>90005.33333333333</x:v>
      </x:c>
      <x:c r="H10" s="33" t="n">
        <x:f>2*Balance!C10-E10</x:f>
        <x:v>90028</x:v>
      </x:c>
      <x:c r="I10" s="33" t="n">
        <x:f>H10+(Balance!D10-H10)/1.5</x:f>
        <x:v>88572.66666666667</x:v>
      </x:c>
      <x:c r="J10" s="33" t="n">
        <x:f>H10+2*(Balance!D10-H10)/1.5</x:f>
        <x:v>87117.33333333333</x:v>
      </x:c>
      <x:c r="K10" s="33" t="n">
        <x:f>2*Balance!D10-H10</x:f>
        <x:v>85662</x:v>
      </x:c>
      <x:c r="L10" s="33" t="n">
        <x:f>K10+(Balance!E10-K10)/1.5</x:f>
        <x:v>87649.33333333333</x:v>
      </x:c>
      <x:c r="M10" s="33" t="n">
        <x:f>K10+2*(Balance!E10-K10)/1.5</x:f>
        <x:v>89636.66666666667</x:v>
      </x:c>
      <x:c r="N10" s="33" t="n">
        <x:f>2*Balance!E10-K10</x:f>
        <x:v>91624</x:v>
      </x:c>
      <x:c r="O10" s="33" t="n">
        <x:f>N10+(Balance!F10-N10)/1.5</x:f>
        <x:v>89595.33333333333</x:v>
      </x:c>
      <x:c r="P10" s="33" t="n">
        <x:f>N10+2*(Balance!F10-N10)/1.5</x:f>
        <x:v>87566.66666666667</x:v>
      </x:c>
      <x:c r="Q10" s="33" t="n">
        <x:f>2*Balance!F10-N10</x:f>
        <x:v>85538</x:v>
      </x:c>
      <x:c r="R10" s="33" t="n">
        <x:f>Q10+(Balance!G10-Q10)/1.5</x:f>
        <x:v>88180</x:v>
      </x:c>
      <x:c r="S10" s="33" t="n">
        <x:f>Q10+2*(Balance!G10-Q10)/1.5</x:f>
        <x:v>90822</x:v>
      </x:c>
      <x:c r="T10" s="33" t="n">
        <x:f>2*Balance!G10-Q10</x:f>
        <x:v>93464</x:v>
      </x:c>
      <x:c r="U10" s="33" t="n">
        <x:f>T10+(Balance!H10-T10)/1.5</x:f>
        <x:v>91584</x:v>
      </x:c>
      <x:c r="V10" s="33" t="n">
        <x:f>T10+2*(Balance!H10-T10)/1.5</x:f>
        <x:v>89704</x:v>
      </x:c>
      <x:c r="W10" s="33" t="n">
        <x:f>2*Balance!H10-T10</x:f>
        <x:v>87824</x:v>
      </x:c>
      <x:c r="X10" s="33" t="n">
        <x:f>W10+(Balance!I10-W10)/1.5</x:f>
        <x:v>90781.33333333333</x:v>
      </x:c>
      <x:c r="Y10" s="33" t="n">
        <x:f>W10+2*(Balance!I10-W10)/1.5</x:f>
        <x:v>93738.66666666667</x:v>
      </x:c>
      <x:c r="Z10" s="33" t="n">
        <x:f>2*Balance!I10-W10</x:f>
        <x:v>96696</x:v>
      </x:c>
      <x:c r="AA10" s="33" t="n">
        <x:f>Z10+(Balance!J10-Z10)/1.5</x:f>
        <x:v>94004.66666666667</x:v>
      </x:c>
      <x:c r="AB10" s="33" t="n">
        <x:f>Z10+2*(Balance!J10-Z10)/1.5</x:f>
        <x:v>91313.33333333333</x:v>
      </x:c>
      <x:c r="AC10" s="33" t="n">
        <x:f>2*Balance!J10-Z10</x:f>
        <x:v>88622</x:v>
      </x:c>
      <x:c r="AD10" s="33" t="n">
        <x:f>AC10+(Balance!K10-AC10)/1.5</x:f>
        <x:v>91556.66666666667</x:v>
      </x:c>
      <x:c r="AE10" s="33" t="n">
        <x:f>AC10+2*(Balance!K10-AC10)/1.5</x:f>
        <x:v>94491.33333333333</x:v>
      </x:c>
      <x:c r="AF10" s="33" t="n">
        <x:f>2*Balance!K10-AC10</x:f>
        <x:v>97426</x:v>
      </x:c>
      <x:c r="AG10" s="33" t="n">
        <x:f>AF10+(Balance!L10-AF10)/1.5</x:f>
        <x:v>96599.33333333333</x:v>
      </x:c>
      <x:c r="AH10" s="33" t="n">
        <x:f>AF10+2*(Balance!L10-AF10)/1.5</x:f>
        <x:v>95772.66666666667</x:v>
      </x:c>
      <x:c r="AI10" s="33" t="n">
        <x:f>2*Balance!L10-AF10</x:f>
        <x:v>94946</x:v>
      </x:c>
      <x:c r="AJ10" s="33" t="n">
        <x:f>AI10+(Balance!M10-AI10)/1.5</x:f>
        <x:v>96535.33333333333</x:v>
      </x:c>
      <x:c r="AK10" s="33" t="n">
        <x:f>AI10+2*(Balance!M10-AI10)/1.5</x:f>
        <x:v>98124.66666666667</x:v>
      </x:c>
      <x:c r="AL10" s="33" t="n">
        <x:f>2*Balance!M10-AI10</x:f>
        <x:v>99714</x:v>
      </x:c>
      <x:c r="AM10" s="33" t="n">
        <x:f>AL10+(Balance!N10-AL10)/1.5</x:f>
        <x:v>98440</x:v>
      </x:c>
      <x:c r="AN10" s="33" t="n">
        <x:f>AL10+2*(Balance!N10-AL10)/1.5</x:f>
        <x:v>97166</x:v>
      </x:c>
      <x:c r="AO10" s="33" t="n">
        <x:f>2*Balance!N10-AL10</x:f>
        <x:v>95892</x:v>
      </x:c>
      <x:c r="AP10" s="33" t="n">
        <x:f>AO10+(Balance!O10-AO10)/1.5</x:f>
        <x:v>98190</x:v>
      </x:c>
      <x:c r="AQ10" s="33" t="n">
        <x:f>AO10+2*(Balance!O10-AO10)/1.5</x:f>
        <x:v>100488</x:v>
      </x:c>
      <x:c r="AR10" s="33" t="n">
        <x:f>2*Balance!O10-AO10</x:f>
        <x:v>102786</x:v>
      </x:c>
    </x:row>
    <x:row r="11">
      <x:c r="A11" s="20" t="str">
        <x:v>  Cash equivalents and other</x:v>
      </x:c>
      <x:c r="B11" s="33" t="n">
        <x:f>Balance!B11</x:f>
        <x:v>37124</x:v>
      </x:c>
      <x:c r="C11" s="33" t="n">
        <x:f>B11+(Balance!B11-B11)/1.5</x:f>
        <x:v>37124</x:v>
      </x:c>
      <x:c r="D11" s="33" t="n">
        <x:f>B11+2*(Balance!B11-B11)/1.5</x:f>
        <x:v>37124</x:v>
      </x:c>
      <x:c r="E11" s="33" t="n">
        <x:f>2*Balance!B11-B11</x:f>
        <x:v>37124</x:v>
      </x:c>
      <x:c r="F11" s="33" t="n">
        <x:f>E11+(Balance!C11-E11)/1.5</x:f>
        <x:v>38248</x:v>
      </x:c>
      <x:c r="G11" s="33" t="n">
        <x:f>E11+2*(Balance!C11-E11)/1.5</x:f>
        <x:v>39372</x:v>
      </x:c>
      <x:c r="H11" s="33" t="n">
        <x:f>2*Balance!C11-E11</x:f>
        <x:v>40496</x:v>
      </x:c>
      <x:c r="I11" s="33" t="n">
        <x:f>H11+(Balance!D11-H11)/1.5</x:f>
        <x:v>41649.333333333336</x:v>
      </x:c>
      <x:c r="J11" s="33" t="n">
        <x:f>H11+2*(Balance!D11-H11)/1.5</x:f>
        <x:v>42802.666666666664</x:v>
      </x:c>
      <x:c r="K11" s="33" t="n">
        <x:f>2*Balance!D11-H11</x:f>
        <x:v>43956</x:v>
      </x:c>
      <x:c r="L11" s="33" t="n">
        <x:f>K11+(Balance!E11-K11)/1.5</x:f>
        <x:v>42402</x:v>
      </x:c>
      <x:c r="M11" s="33" t="n">
        <x:f>K11+2*(Balance!E11-K11)/1.5</x:f>
        <x:v>40848</x:v>
      </x:c>
      <x:c r="N11" s="33" t="n">
        <x:f>2*Balance!E11-K11</x:f>
        <x:v>39294</x:v>
      </x:c>
      <x:c r="O11" s="33" t="n">
        <x:f>N11+(Balance!F11-N11)/1.5</x:f>
        <x:v>42204</x:v>
      </x:c>
      <x:c r="P11" s="33" t="n">
        <x:f>N11+2*(Balance!F11-N11)/1.5</x:f>
        <x:v>45114</x:v>
      </x:c>
      <x:c r="Q11" s="33" t="n">
        <x:f>2*Balance!F11-N11</x:f>
        <x:v>48024</x:v>
      </x:c>
      <x:c r="R11" s="33" t="n">
        <x:f>Q11+(Balance!G11-Q11)/1.5</x:f>
        <x:v>46397.333333333336</x:v>
      </x:c>
      <x:c r="S11" s="33" t="n">
        <x:f>Q11+2*(Balance!G11-Q11)/1.5</x:f>
        <x:v>44770.666666666664</x:v>
      </x:c>
      <x:c r="T11" s="33" t="n">
        <x:f>2*Balance!G11-Q11</x:f>
        <x:v>43144</x:v>
      </x:c>
      <x:c r="U11" s="33" t="n">
        <x:f>T11+(Balance!H11-T11)/1.5</x:f>
        <x:v>44464.666666666664</x:v>
      </x:c>
      <x:c r="V11" s="33" t="n">
        <x:f>T11+2*(Balance!H11-T11)/1.5</x:f>
        <x:v>45785.333333333336</x:v>
      </x:c>
      <x:c r="W11" s="33" t="n">
        <x:f>2*Balance!H11-T11</x:f>
        <x:v>47106</x:v>
      </x:c>
      <x:c r="X11" s="33" t="n">
        <x:f>W11+(Balance!I11-W11)/1.5</x:f>
        <x:v>46480</x:v>
      </x:c>
      <x:c r="Y11" s="33" t="n">
        <x:f>W11+2*(Balance!I11-W11)/1.5</x:f>
        <x:v>45854</x:v>
      </x:c>
      <x:c r="Z11" s="33" t="n">
        <x:f>2*Balance!I11-W11</x:f>
        <x:v>45228</x:v>
      </x:c>
      <x:c r="AA11" s="33" t="n">
        <x:f>Z11+(Balance!J11-Z11)/1.5</x:f>
        <x:v>46636</x:v>
      </x:c>
      <x:c r="AB11" s="33" t="n">
        <x:f>Z11+2*(Balance!J11-Z11)/1.5</x:f>
        <x:v>48044</x:v>
      </x:c>
      <x:c r="AC11" s="33" t="n">
        <x:f>2*Balance!J11-Z11</x:f>
        <x:v>49452</x:v>
      </x:c>
      <x:c r="AD11" s="33" t="n">
        <x:f>AC11+(Balance!K11-AC11)/1.5</x:f>
        <x:v>52062.666666666664</x:v>
      </x:c>
      <x:c r="AE11" s="33" t="n">
        <x:f>AC11+2*(Balance!K11-AC11)/1.5</x:f>
        <x:v>54673.333333333336</x:v>
      </x:c>
      <x:c r="AF11" s="33" t="n">
        <x:f>2*Balance!K11-AC11</x:f>
        <x:v>57284</x:v>
      </x:c>
      <x:c r="AG11" s="33" t="n">
        <x:f>AF11+(Balance!L11-AF11)/1.5</x:f>
        <x:v>56886</x:v>
      </x:c>
      <x:c r="AH11" s="33" t="n">
        <x:f>AF11+2*(Balance!L11-AF11)/1.5</x:f>
        <x:v>56488</x:v>
      </x:c>
      <x:c r="AI11" s="33" t="n">
        <x:f>2*Balance!L11-AF11</x:f>
        <x:v>56090</x:v>
      </x:c>
      <x:c r="AJ11" s="33" t="n">
        <x:f>AI11+(Balance!M11-AI11)/1.5</x:f>
        <x:v>59448</x:v>
      </x:c>
      <x:c r="AK11" s="33" t="n">
        <x:f>AI11+2*(Balance!M11-AI11)/1.5</x:f>
        <x:v>62806</x:v>
      </x:c>
      <x:c r="AL11" s="33" t="n">
        <x:f>2*Balance!M11-AI11</x:f>
        <x:v>66164</x:v>
      </x:c>
      <x:c r="AM11" s="33" t="n">
        <x:f>AL11+(Balance!N11-AL11)/1.5</x:f>
        <x:v>70474.66666666667</x:v>
      </x:c>
      <x:c r="AN11" s="33" t="n">
        <x:f>AL11+2*(Balance!N11-AL11)/1.5</x:f>
        <x:v>74785.33333333333</x:v>
      </x:c>
      <x:c r="AO11" s="33" t="n">
        <x:f>2*Balance!N11-AL11</x:f>
        <x:v>79096</x:v>
      </x:c>
      <x:c r="AP11" s="33" t="n">
        <x:f>AO11+(Balance!O11-AO11)/1.5</x:f>
        <x:v>71286.66666666667</x:v>
      </x:c>
      <x:c r="AQ11" s="33" t="n">
        <x:f>AO11+2*(Balance!O11-AO11)/1.5</x:f>
        <x:v>63477.333333333336</x:v>
      </x:c>
      <x:c r="AR11" s="33" t="n">
        <x:f>2*Balance!O11-AO11</x:f>
        <x:v>55668</x:v>
      </x:c>
    </x:row>
    <x:row r="12">
      <x:c r="A12" s="26" t="str">
        <x:v>  Total interest-earning assets</x:v>
      </x:c>
      <x:c r="B12" s="37" t="n">
        <x:f>SUM(B9:B11)</x:f>
        <x:v>435199</x:v>
      </x:c>
      <x:c r="C12" s="37" t="n">
        <x:f>SUM(C9:C11)</x:f>
        <x:v>435199</x:v>
      </x:c>
      <x:c r="D12" s="37" t="n">
        <x:f>SUM(D9:D11)</x:f>
        <x:v>435199</x:v>
      </x:c>
      <x:c r="E12" s="37" t="n">
        <x:f>SUM(E9:E11)</x:f>
        <x:v>435199</x:v>
      </x:c>
      <x:c r="F12" s="37" t="n">
        <x:f>SUM(F9:F11)</x:f>
        <x:v>437825.6666666667</x:v>
      </x:c>
      <x:c r="G12" s="37" t="n">
        <x:f>SUM(G9:G11)</x:f>
        <x:v>440452.3333333333</x:v>
      </x:c>
      <x:c r="H12" s="37" t="n">
        <x:f>SUM(H9:H11)</x:f>
        <x:v>443079</x:v>
      </x:c>
      <x:c r="I12" s="37" t="n">
        <x:f>SUM(I9:I11)</x:f>
        <x:v>443381</x:v>
      </x:c>
      <x:c r="J12" s="37" t="n">
        <x:f>SUM(J9:J11)</x:f>
        <x:v>443683</x:v>
      </x:c>
      <x:c r="K12" s="37" t="n">
        <x:f>SUM(K9:K11)</x:f>
        <x:v>443985</x:v>
      </x:c>
      <x:c r="L12" s="37" t="n">
        <x:f>SUM(L9:L11)</x:f>
        <x:v>445987.6666666666</x:v>
      </x:c>
      <x:c r="M12" s="37" t="n">
        <x:f>SUM(M9:M11)</x:f>
        <x:v>447990.3333333334</x:v>
      </x:c>
      <x:c r="N12" s="37" t="n">
        <x:f>SUM(N9:N11)</x:f>
        <x:v>449993</x:v>
      </x:c>
      <x:c r="O12" s="37" t="n">
        <x:f>SUM(O9:O11)</x:f>
        <x:v>448532.99999999994</x:v>
      </x:c>
      <x:c r="P12" s="37" t="n">
        <x:f>SUM(P9:P11)</x:f>
        <x:v>447073.00000000006</x:v>
      </x:c>
      <x:c r="Q12" s="37" t="n">
        <x:f>SUM(Q9:Q11)</x:f>
        <x:v>445613</x:v>
      </x:c>
      <x:c r="R12" s="37" t="n">
        <x:f>SUM(R9:R11)</x:f>
        <x:v>449143</x:v>
      </x:c>
      <x:c r="S12" s="37" t="n">
        <x:f>SUM(S9:S11)</x:f>
        <x:v>452673</x:v>
      </x:c>
      <x:c r="T12" s="37" t="n">
        <x:f>SUM(T9:T11)</x:f>
        <x:v>456203</x:v>
      </x:c>
      <x:c r="U12" s="37" t="n">
        <x:f>SUM(U9:U11)</x:f>
        <x:v>455057.00000000006</x:v>
      </x:c>
      <x:c r="V12" s="37" t="n">
        <x:f>SUM(V9:V11)</x:f>
        <x:v>453910.99999999994</x:v>
      </x:c>
      <x:c r="W12" s="37" t="n">
        <x:f>SUM(W9:W11)</x:f>
        <x:v>452765</x:v>
      </x:c>
      <x:c r="X12" s="37" t="n">
        <x:f>SUM(X9:X11)</x:f>
        <x:v>458048.3333333333</x:v>
      </x:c>
      <x:c r="Y12" s="37" t="n">
        <x:f>SUM(Y9:Y11)</x:f>
        <x:v>463331.6666666667</x:v>
      </x:c>
      <x:c r="Z12" s="37" t="n">
        <x:f>SUM(Z9:Z11)</x:f>
        <x:v>468615</x:v>
      </x:c>
      <x:c r="AA12" s="37" t="n">
        <x:f>SUM(AA9:AA11)</x:f>
        <x:v>464719</x:v>
      </x:c>
      <x:c r="AB12" s="37" t="n">
        <x:f>SUM(AB9:AB11)</x:f>
        <x:v>460823</x:v>
      </x:c>
      <x:c r="AC12" s="37" t="n">
        <x:f>SUM(AC9:AC11)</x:f>
        <x:v>456927</x:v>
      </x:c>
      <x:c r="AD12" s="37" t="n">
        <x:f>SUM(AD9:AD11)</x:f>
        <x:v>502261.6666666667</x:v>
      </x:c>
      <x:c r="AE12" s="37" t="n">
        <x:f>SUM(AE9:AE11)</x:f>
        <x:v>547596.3333333334</x:v>
      </x:c>
      <x:c r="AF12" s="37" t="n">
        <x:f>SUM(AF9:AF11)</x:f>
        <x:v>592931</x:v>
      </x:c>
      <x:c r="AG12" s="37" t="n">
        <x:f>SUM(AG9:AG11)</x:f>
        <x:v>593141.6666666666</x:v>
      </x:c>
      <x:c r="AH12" s="37" t="n">
        <x:f>SUM(AH9:AH11)</x:f>
        <x:v>593352.3333333334</x:v>
      </x:c>
      <x:c r="AI12" s="37" t="n">
        <x:f>SUM(AI9:AI11)</x:f>
        <x:v>593563</x:v>
      </x:c>
      <x:c r="AJ12" s="37" t="n">
        <x:f>SUM(AJ9:AJ11)</x:f>
        <x:v>600759</x:v>
      </x:c>
      <x:c r="AK12" s="37" t="n">
        <x:f>SUM(AK9:AK11)</x:f>
        <x:v>607955</x:v>
      </x:c>
      <x:c r="AL12" s="37" t="n">
        <x:f>SUM(AL9:AL11)</x:f>
        <x:v>615151</x:v>
      </x:c>
      <x:c r="AM12" s="37" t="n">
        <x:f>SUM(AM9:AM11)</x:f>
        <x:v>616498.9999999999</x:v>
      </x:c>
      <x:c r="AN12" s="37" t="n">
        <x:f>SUM(AN9:AN11)</x:f>
        <x:v>617847.0000000001</x:v>
      </x:c>
      <x:c r="AO12" s="37" t="n">
        <x:f>SUM(AO9:AO11)</x:f>
        <x:v>619195</x:v>
      </x:c>
      <x:c r="AP12" s="37" t="n">
        <x:f>SUM(AP9:AP11)</x:f>
        <x:v>618120.3333333333</x:v>
      </x:c>
      <x:c r="AQ12" s="37" t="n">
        <x:f>SUM(AQ9:AQ11)</x:f>
        <x:v>617045.6666666667</x:v>
      </x:c>
      <x:c r="AR12" s="37" t="n">
        <x:f>SUM(AR9:AR11)</x:f>
        <x:v>615971</x:v>
      </x:c>
    </x:row>
    <x:row r="13">
      <x:c r="A13" s="20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  <x:c r="W13" s="33"/>
      <x:c r="X13" s="33"/>
      <x:c r="Y13" s="33"/>
      <x:c r="Z13" s="33"/>
      <x:c r="AA13" s="33"/>
      <x:c r="AB13" s="33"/>
      <x:c r="AC13" s="33"/>
      <x:c r="AD13" s="33"/>
      <x:c r="AE13" s="33"/>
      <x:c r="AF13" s="33"/>
      <x:c r="AG13" s="33"/>
      <x:c r="AH13" s="33"/>
      <x:c r="AI13" s="33"/>
      <x:c r="AJ13" s="33"/>
      <x:c r="AK13" s="33"/>
      <x:c r="AL13" s="33"/>
      <x:c r="AM13" s="33"/>
      <x:c r="AN13" s="33"/>
      <x:c r="AO13" s="33"/>
      <x:c r="AP13" s="33"/>
      <x:c r="AQ13" s="33"/>
      <x:c r="AR13" s="33"/>
    </x:row>
    <x:row r="14">
      <x:c r="A14" s="35" t="str">
        <x:v>INTEREST-BEARING LIABILITIES</x:v>
      </x:c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  <x:c r="P14" s="36"/>
      <x:c r="Q14" s="36"/>
      <x:c r="R14" s="36"/>
      <x:c r="S14" s="36"/>
      <x:c r="T14" s="36"/>
      <x:c r="U14" s="36"/>
      <x:c r="V14" s="36"/>
      <x:c r="W14" s="36"/>
      <x:c r="X14" s="36"/>
      <x:c r="Y14" s="36"/>
      <x:c r="Z14" s="36"/>
      <x:c r="AA14" s="36"/>
      <x:c r="AB14" s="36"/>
      <x:c r="AC14" s="36"/>
      <x:c r="AD14" s="36"/>
      <x:c r="AE14" s="36"/>
      <x:c r="AF14" s="36"/>
      <x:c r="AG14" s="36"/>
      <x:c r="AH14" s="36"/>
      <x:c r="AI14" s="36"/>
      <x:c r="AJ14" s="36"/>
      <x:c r="AK14" s="36"/>
      <x:c r="AL14" s="36"/>
      <x:c r="AM14" s="36"/>
      <x:c r="AN14" s="36"/>
      <x:c r="AO14" s="36"/>
      <x:c r="AP14" s="36"/>
      <x:c r="AQ14" s="36"/>
      <x:c r="AR14" s="36"/>
    </x:row>
    <x:row r="15">
      <x:c r="A15" s="20" t="str">
        <x:v>  Interest-bearing deposits</x:v>
      </x:c>
      <x:c r="B15" s="33" t="n">
        <x:f>Balance!B15</x:f>
        <x:v>308788</x:v>
      </x:c>
      <x:c r="C15" s="33" t="n">
        <x:f>B15+(Balance!B15-B15)/1.5</x:f>
        <x:v>308788</x:v>
      </x:c>
      <x:c r="D15" s="33" t="n">
        <x:f>B15+2*(Balance!B15-B15)/1.5</x:f>
        <x:v>308788</x:v>
      </x:c>
      <x:c r="E15" s="33" t="n">
        <x:f>2*Balance!B15-B15</x:f>
        <x:v>308788</x:v>
      </x:c>
      <x:c r="F15" s="33" t="n">
        <x:f>E15+(Balance!C15-E15)/1.5</x:f>
        <x:v>311734</x:v>
      </x:c>
      <x:c r="G15" s="33" t="n">
        <x:f>E15+2*(Balance!C15-E15)/1.5</x:f>
        <x:v>314680</x:v>
      </x:c>
      <x:c r="H15" s="33" t="n">
        <x:f>2*Balance!C15-E15</x:f>
        <x:v>317626</x:v>
      </x:c>
      <x:c r="I15" s="33" t="n">
        <x:f>H15+(Balance!D15-H15)/1.5</x:f>
        <x:v>316563.3333333333</x:v>
      </x:c>
      <x:c r="J15" s="33" t="n">
        <x:f>H15+2*(Balance!D15-H15)/1.5</x:f>
        <x:v>315500.6666666667</x:v>
      </x:c>
      <x:c r="K15" s="33" t="n">
        <x:f>2*Balance!D15-H15</x:f>
        <x:v>314438</x:v>
      </x:c>
      <x:c r="L15" s="33" t="n">
        <x:f>K15+(Balance!E15-K15)/1.5</x:f>
        <x:v>316040.6666666667</x:v>
      </x:c>
      <x:c r="M15" s="33" t="n">
        <x:f>K15+2*(Balance!E15-K15)/1.5</x:f>
        <x:v>317643.3333333333</x:v>
      </x:c>
      <x:c r="N15" s="33" t="n">
        <x:f>2*Balance!E15-K15</x:f>
        <x:v>319246</x:v>
      </x:c>
      <x:c r="O15" s="33" t="n">
        <x:f>N15+(Balance!F15-N15)/1.5</x:f>
        <x:v>318715.3333333333</x:v>
      </x:c>
      <x:c r="P15" s="33" t="n">
        <x:f>N15+2*(Balance!F15-N15)/1.5</x:f>
        <x:v>318184.6666666667</x:v>
      </x:c>
      <x:c r="Q15" s="33" t="n">
        <x:f>2*Balance!F15-N15</x:f>
        <x:v>317654</x:v>
      </x:c>
      <x:c r="R15" s="33" t="n">
        <x:f>Q15+(Balance!G15-Q15)/1.5</x:f>
        <x:v>320938.6666666667</x:v>
      </x:c>
      <x:c r="S15" s="33" t="n">
        <x:f>Q15+2*(Balance!G15-Q15)/1.5</x:f>
        <x:v>324223.3333333333</x:v>
      </x:c>
      <x:c r="T15" s="33" t="n">
        <x:f>2*Balance!G15-Q15</x:f>
        <x:v>327508</x:v>
      </x:c>
      <x:c r="U15" s="33" t="n">
        <x:f>T15+(Balance!H15-T15)/1.5</x:f>
        <x:v>325508.6666666667</x:v>
      </x:c>
      <x:c r="V15" s="33" t="n">
        <x:f>T15+2*(Balance!H15-T15)/1.5</x:f>
        <x:v>323509.3333333333</x:v>
      </x:c>
      <x:c r="W15" s="33" t="n">
        <x:f>2*Balance!H15-T15</x:f>
        <x:v>321510</x:v>
      </x:c>
      <x:c r="X15" s="33" t="n">
        <x:f>W15+(Balance!I15-W15)/1.5</x:f>
        <x:v>328250</x:v>
      </x:c>
      <x:c r="Y15" s="33" t="n">
        <x:f>W15+2*(Balance!I15-W15)/1.5</x:f>
        <x:v>334990</x:v>
      </x:c>
      <x:c r="Z15" s="33" t="n">
        <x:f>2*Balance!I15-W15</x:f>
        <x:v>341730</x:v>
      </x:c>
      <x:c r="AA15" s="33" t="n">
        <x:f>Z15+(Balance!J15-Z15)/1.5</x:f>
        <x:v>339136.6666666667</x:v>
      </x:c>
      <x:c r="AB15" s="33" t="n">
        <x:f>Z15+2*(Balance!J15-Z15)/1.5</x:f>
        <x:v>336543.3333333333</x:v>
      </x:c>
      <x:c r="AC15" s="33" t="n">
        <x:f>2*Balance!J15-Z15</x:f>
        <x:v>333950</x:v>
      </x:c>
      <x:c r="AD15" s="33" t="n">
        <x:f>AC15+(Balance!K15-AC15)/1.5</x:f>
        <x:v>369409.3333333333</x:v>
      </x:c>
      <x:c r="AE15" s="33" t="n">
        <x:f>AC15+2*(Balance!K15-AC15)/1.5</x:f>
        <x:v>404868.6666666667</x:v>
      </x:c>
      <x:c r="AF15" s="33" t="n">
        <x:f>2*Balance!K15-AC15</x:f>
        <x:v>440328</x:v>
      </x:c>
      <x:c r="AG15" s="33" t="n">
        <x:f>AF15+(Balance!L15-AF15)/1.5</x:f>
        <x:v>439794</x:v>
      </x:c>
      <x:c r="AH15" s="33" t="n">
        <x:f>AF15+2*(Balance!L15-AF15)/1.5</x:f>
        <x:v>439260</x:v>
      </x:c>
      <x:c r="AI15" s="33" t="n">
        <x:f>2*Balance!L15-AF15</x:f>
        <x:v>438726</x:v>
      </x:c>
      <x:c r="AJ15" s="33" t="n">
        <x:f>AI15+(Balance!M15-AI15)/1.5</x:f>
        <x:v>441717.3333333333</x:v>
      </x:c>
      <x:c r="AK15" s="33" t="n">
        <x:f>AI15+2*(Balance!M15-AI15)/1.5</x:f>
        <x:v>444708.6666666667</x:v>
      </x:c>
      <x:c r="AL15" s="33" t="n">
        <x:f>2*Balance!M15-AI15</x:f>
        <x:v>447700</x:v>
      </x:c>
      <x:c r="AM15" s="33" t="n">
        <x:f>AL15+(Balance!N15-AL15)/1.5</x:f>
        <x:v>450538</x:v>
      </x:c>
      <x:c r="AN15" s="33" t="n">
        <x:f>AL15+2*(Balance!N15-AL15)/1.5</x:f>
        <x:v>453376</x:v>
      </x:c>
      <x:c r="AO15" s="33" t="n">
        <x:f>2*Balance!N15-AL15</x:f>
        <x:v>456214</x:v>
      </x:c>
      <x:c r="AP15" s="33" t="n">
        <x:f>AO15+(Balance!O15-AO15)/1.5</x:f>
        <x:v>457491.3333333333</x:v>
      </x:c>
      <x:c r="AQ15" s="33" t="n">
        <x:f>AO15+2*(Balance!O15-AO15)/1.5</x:f>
        <x:v>458768.6666666667</x:v>
      </x:c>
      <x:c r="AR15" s="33" t="n">
        <x:f>2*Balance!O15-AO15</x:f>
        <x:v>460046</x:v>
      </x:c>
    </x:row>
    <x:row r="16">
      <x:c r="A16" s="20" t="str">
        <x:v>  Securitized debt obligations</x:v>
      </x:c>
      <x:c r="B16" s="33" t="n">
        <x:f>Balance!B16</x:f>
        <x:v>17251</x:v>
      </x:c>
      <x:c r="C16" s="33" t="n">
        <x:f>B16+(Balance!B16-B16)/1.5</x:f>
        <x:v>17251</x:v>
      </x:c>
      <x:c r="D16" s="33" t="n">
        <x:f>B16+2*(Balance!B16-B16)/1.5</x:f>
        <x:v>17251</x:v>
      </x:c>
      <x:c r="E16" s="33" t="n">
        <x:f>2*Balance!B16-B16</x:f>
        <x:v>17251</x:v>
      </x:c>
      <x:c r="F16" s="33" t="n">
        <x:f>E16+(Balance!C16-E16)/1.5</x:f>
        <x:v>17597.666666666668</x:v>
      </x:c>
      <x:c r="G16" s="33" t="n">
        <x:f>E16+2*(Balance!C16-E16)/1.5</x:f>
        <x:v>17944.333333333332</x:v>
      </x:c>
      <x:c r="H16" s="33" t="n">
        <x:f>2*Balance!C16-E16</x:f>
        <x:v>18291</x:v>
      </x:c>
      <x:c r="I16" s="33" t="n">
        <x:f>H16+(Balance!D16-H16)/1.5</x:f>
        <x:v>17863</x:v>
      </x:c>
      <x:c r="J16" s="33" t="n">
        <x:f>H16+2*(Balance!D16-H16)/1.5</x:f>
        <x:v>17435</x:v>
      </x:c>
      <x:c r="K16" s="33" t="n">
        <x:f>2*Balance!D16-H16</x:f>
        <x:v>17007</x:v>
      </x:c>
      <x:c r="L16" s="33" t="n">
        <x:f>K16+(Balance!E16-K16)/1.5</x:f>
        <x:v>17686.333333333332</x:v>
      </x:c>
      <x:c r="M16" s="33" t="n">
        <x:f>K16+2*(Balance!E16-K16)/1.5</x:f>
        <x:v>18365.666666666668</x:v>
      </x:c>
      <x:c r="N16" s="33" t="n">
        <x:f>2*Balance!E16-K16</x:f>
        <x:v>19045</x:v>
      </x:c>
      <x:c r="O16" s="33" t="n">
        <x:f>N16+(Balance!F16-N16)/1.5</x:f>
        <x:v>18239</x:v>
      </x:c>
      <x:c r="P16" s="33" t="n">
        <x:f>N16+2*(Balance!F16-N16)/1.5</x:f>
        <x:v>17433</x:v>
      </x:c>
      <x:c r="Q16" s="33" t="n">
        <x:f>2*Balance!F16-N16</x:f>
        <x:v>16627</x:v>
      </x:c>
      <x:c r="R16" s="33" t="n">
        <x:f>Q16+(Balance!G16-Q16)/1.5</x:f>
        <x:v>17177</x:v>
      </x:c>
      <x:c r="S16" s="33" t="n">
        <x:f>Q16+2*(Balance!G16-Q16)/1.5</x:f>
        <x:v>17727</x:v>
      </x:c>
      <x:c r="T16" s="33" t="n">
        <x:f>2*Balance!G16-Q16</x:f>
        <x:v>18277</x:v>
      </x:c>
      <x:c r="U16" s="33" t="n">
        <x:f>T16+(Balance!H16-T16)/1.5</x:f>
        <x:v>16647.666666666668</x:v>
      </x:c>
      <x:c r="V16" s="33" t="n">
        <x:f>T16+2*(Balance!H16-T16)/1.5</x:f>
        <x:v>15018.333333333334</x:v>
      </x:c>
      <x:c r="W16" s="33" t="n">
        <x:f>2*Balance!H16-T16</x:f>
        <x:v>13389</x:v>
      </x:c>
      <x:c r="X16" s="33" t="n">
        <x:f>W16+(Balance!I16-W16)/1.5</x:f>
        <x:v>14409.666666666666</x:v>
      </x:c>
      <x:c r="Y16" s="33" t="n">
        <x:f>W16+2*(Balance!I16-W16)/1.5</x:f>
        <x:v>15430.333333333334</x:v>
      </x:c>
      <x:c r="Z16" s="33" t="n">
        <x:f>2*Balance!I16-W16</x:f>
        <x:v>16451</x:v>
      </x:c>
      <x:c r="AA16" s="33" t="n">
        <x:f>Z16+(Balance!J16-Z16)/1.5</x:f>
        <x:v>14637.666666666666</x:v>
      </x:c>
      <x:c r="AB16" s="33" t="n">
        <x:f>Z16+2*(Balance!J16-Z16)/1.5</x:f>
        <x:v>12824.333333333334</x:v>
      </x:c>
      <x:c r="AC16" s="33" t="n">
        <x:f>2*Balance!J16-Z16</x:f>
        <x:v>11011</x:v>
      </x:c>
      <x:c r="AD16" s="33" t="n">
        <x:f>AC16+(Balance!K16-AC16)/1.5</x:f>
        <x:v>12365.666666666666</x:v>
      </x:c>
      <x:c r="AE16" s="33" t="n">
        <x:f>AC16+2*(Balance!K16-AC16)/1.5</x:f>
        <x:v>13720.333333333334</x:v>
      </x:c>
      <x:c r="AF16" s="33" t="n">
        <x:f>2*Balance!K16-AC16</x:f>
        <x:v>15075</x:v>
      </x:c>
      <x:c r="AG16" s="33" t="n">
        <x:f>AF16+(Balance!L16-AF16)/1.5</x:f>
        <x:v>13637.666666666666</x:v>
      </x:c>
      <x:c r="AH16" s="33" t="n">
        <x:f>AF16+2*(Balance!L16-AF16)/1.5</x:f>
        <x:v>12200.333333333334</x:v>
      </x:c>
      <x:c r="AI16" s="33" t="n">
        <x:f>2*Balance!L16-AF16</x:f>
        <x:v>10763</x:v>
      </x:c>
      <x:c r="AJ16" s="33" t="n">
        <x:f>AI16+(Balance!M16-AI16)/1.5</x:f>
        <x:v>12033</x:v>
      </x:c>
      <x:c r="AK16" s="33" t="n">
        <x:f>AI16+2*(Balance!M16-AI16)/1.5</x:f>
        <x:v>13303</x:v>
      </x:c>
      <x:c r="AL16" s="33" t="n">
        <x:f>2*Balance!M16-AI16</x:f>
        <x:v>14573</x:v>
      </x:c>
      <x:c r="AM16" s="33" t="n">
        <x:f>AL16+(Balance!N16-AL16)/1.5</x:f>
        <x:v>13175</x:v>
      </x:c>
      <x:c r="AN16" s="33" t="n">
        <x:f>AL16+2*(Balance!N16-AL16)/1.5</x:f>
        <x:v>11777</x:v>
      </x:c>
      <x:c r="AO16" s="33" t="n">
        <x:f>2*Balance!N16-AL16</x:f>
        <x:v>10379</x:v>
      </x:c>
      <x:c r="AP16" s="33" t="n">
        <x:f>AO16+(Balance!O16-AO16)/1.5</x:f>
        <x:v>10253</x:v>
      </x:c>
      <x:c r="AQ16" s="33" t="n">
        <x:f>AO16+2*(Balance!O16-AO16)/1.5</x:f>
        <x:v>10127</x:v>
      </x:c>
      <x:c r="AR16" s="33" t="n">
        <x:f>2*Balance!O16-AO16</x:f>
        <x:v>10001</x:v>
      </x:c>
    </x:row>
    <x:row r="17">
      <x:c r="A17" s="20" t="str">
        <x:v>  Senior and subordinated notes</x:v>
      </x:c>
      <x:c r="B17" s="33" t="n">
        <x:f>Balance!B17</x:f>
        <x:v>30136</x:v>
      </x:c>
      <x:c r="C17" s="33" t="n">
        <x:f>B17+(Balance!B17-B17)/1.5</x:f>
        <x:v>30136</x:v>
      </x:c>
      <x:c r="D17" s="33" t="n">
        <x:f>B17+2*(Balance!B17-B17)/1.5</x:f>
        <x:v>30136</x:v>
      </x:c>
      <x:c r="E17" s="33" t="n">
        <x:f>2*Balance!B17-B17</x:f>
        <x:v>30136</x:v>
      </x:c>
      <x:c r="F17" s="33" t="n">
        <x:f>E17+(Balance!C17-E17)/1.5</x:f>
        <x:v>30152.666666666668</x:v>
      </x:c>
      <x:c r="G17" s="33" t="n">
        <x:f>E17+2*(Balance!C17-E17)/1.5</x:f>
        <x:v>30169.333333333332</x:v>
      </x:c>
      <x:c r="H17" s="33" t="n">
        <x:f>2*Balance!C17-E17</x:f>
        <x:v>30186</x:v>
      </x:c>
      <x:c r="I17" s="33" t="n">
        <x:f>H17+(Balance!D17-H17)/1.5</x:f>
        <x:v>31076.666666666668</x:v>
      </x:c>
      <x:c r="J17" s="33" t="n">
        <x:f>H17+2*(Balance!D17-H17)/1.5</x:f>
        <x:v>31967.333333333332</x:v>
      </x:c>
      <x:c r="K17" s="33" t="n">
        <x:f>2*Balance!D17-H17</x:f>
        <x:v>32858</x:v>
      </x:c>
      <x:c r="L17" s="33" t="n">
        <x:f>K17+(Balance!E17-K17)/1.5</x:f>
        <x:v>32688</x:v>
      </x:c>
      <x:c r="M17" s="33" t="n">
        <x:f>K17+2*(Balance!E17-K17)/1.5</x:f>
        <x:v>32518</x:v>
      </x:c>
      <x:c r="N17" s="33" t="n">
        <x:f>2*Balance!E17-K17</x:f>
        <x:v>32348</x:v>
      </x:c>
      <x:c r="O17" s="33" t="n">
        <x:f>N17+(Balance!F17-N17)/1.5</x:f>
        <x:v>32256.666666666668</x:v>
      </x:c>
      <x:c r="P17" s="33" t="n">
        <x:f>N17+2*(Balance!F17-N17)/1.5</x:f>
        <x:v>32165.333333333332</x:v>
      </x:c>
      <x:c r="Q17" s="33" t="n">
        <x:f>2*Balance!F17-N17</x:f>
        <x:v>32074</x:v>
      </x:c>
      <x:c r="R17" s="33" t="n">
        <x:f>Q17+(Balance!G17-Q17)/1.5</x:f>
        <x:v>31343.333333333332</x:v>
      </x:c>
      <x:c r="S17" s="33" t="n">
        <x:f>Q17+2*(Balance!G17-Q17)/1.5</x:f>
        <x:v>30612.666666666668</x:v>
      </x:c>
      <x:c r="T17" s="33" t="n">
        <x:f>2*Balance!G17-Q17</x:f>
        <x:v>29882</x:v>
      </x:c>
      <x:c r="U17" s="33" t="n">
        <x:f>T17+(Balance!H17-T17)/1.5</x:f>
        <x:v>31321.333333333332</x:v>
      </x:c>
      <x:c r="V17" s="33" t="n">
        <x:f>T17+2*(Balance!H17-T17)/1.5</x:f>
        <x:v>32760.666666666668</x:v>
      </x:c>
      <x:c r="W17" s="33" t="n">
        <x:f>2*Balance!H17-T17</x:f>
        <x:v>34200</x:v>
      </x:c>
      <x:c r="X17" s="33" t="n">
        <x:f>W17+(Balance!I17-W17)/1.5</x:f>
        <x:v>31989.333333333332</x:v>
      </x:c>
      <x:c r="Y17" s="33" t="n">
        <x:f>W17+2*(Balance!I17-W17)/1.5</x:f>
        <x:v>29778.666666666668</x:v>
      </x:c>
      <x:c r="Z17" s="33" t="n">
        <x:f>2*Balance!I17-W17</x:f>
        <x:v>27568</x:v>
      </x:c>
      <x:c r="AA17" s="33" t="n">
        <x:f>Z17+(Balance!J17-Z17)/1.5</x:f>
        <x:v>29410</x:v>
      </x:c>
      <x:c r="AB17" s="33" t="n">
        <x:f>Z17+2*(Balance!J17-Z17)/1.5</x:f>
        <x:v>31252</x:v>
      </x:c>
      <x:c r="AC17" s="33" t="n">
        <x:f>2*Balance!J17-Z17</x:f>
        <x:v>33094</x:v>
      </x:c>
      <x:c r="AD17" s="33" t="n">
        <x:f>AC17+(Balance!K17-AC17)/1.5</x:f>
        <x:v>32946</x:v>
      </x:c>
      <x:c r="AE17" s="33" t="n">
        <x:f>AC17+2*(Balance!K17-AC17)/1.5</x:f>
        <x:v>32798</x:v>
      </x:c>
      <x:c r="AF17" s="33" t="n">
        <x:f>2*Balance!K17-AC17</x:f>
        <x:v>32650</x:v>
      </x:c>
      <x:c r="AG17" s="33" t="n">
        <x:f>AF17+(Balance!L17-AF17)/1.5</x:f>
        <x:v>35064.666666666664</x:v>
      </x:c>
      <x:c r="AH17" s="33" t="n">
        <x:f>AF17+2*(Balance!L17-AF17)/1.5</x:f>
        <x:v>37479.333333333336</x:v>
      </x:c>
      <x:c r="AI17" s="33" t="n">
        <x:f>2*Balance!L17-AF17</x:f>
        <x:v>39894</x:v>
      </x:c>
      <x:c r="AJ17" s="33" t="n">
        <x:f>AI17+(Balance!M17-AI17)/1.5</x:f>
        <x:v>37650</x:v>
      </x:c>
      <x:c r="AK17" s="33" t="n">
        <x:f>AI17+2*(Balance!M17-AI17)/1.5</x:f>
        <x:v>35406</x:v>
      </x:c>
      <x:c r="AL17" s="33" t="n">
        <x:f>2*Balance!M17-AI17</x:f>
        <x:v>33162</x:v>
      </x:c>
      <x:c r="AM17" s="33" t="n">
        <x:f>AL17+(Balance!N17-AL17)/1.5</x:f>
        <x:v>36284.666666666664</x:v>
      </x:c>
      <x:c r="AN17" s="33" t="n">
        <x:f>AL17+2*(Balance!N17-AL17)/1.5</x:f>
        <x:v>39407.333333333336</x:v>
      </x:c>
      <x:c r="AO17" s="33" t="n">
        <x:f>2*Balance!N17-AL17</x:f>
        <x:v>42530</x:v>
      </x:c>
      <x:c r="AP17" s="33" t="n">
        <x:f>AO17+(Balance!O17-AO17)/1.5</x:f>
        <x:v>39175.333333333336</x:v>
      </x:c>
      <x:c r="AQ17" s="33" t="n">
        <x:f>AO17+2*(Balance!O17-AO17)/1.5</x:f>
        <x:v>35820.666666666664</x:v>
      </x:c>
      <x:c r="AR17" s="33" t="n">
        <x:f>2*Balance!O17-AO17</x:f>
        <x:v>32466</x:v>
      </x:c>
    </x:row>
    <x:row r="18">
      <x:c r="A18" s="20" t="str">
        <x:v>  Other borrowings</x:v>
      </x:c>
      <x:c r="B18" s="33" t="n">
        <x:f>Balance!B18</x:f>
        <x:v>2335</x:v>
      </x:c>
      <x:c r="C18" s="33" t="n">
        <x:f>B18+(Balance!B18-B18)/1.5</x:f>
        <x:v>2335</x:v>
      </x:c>
      <x:c r="D18" s="33" t="n">
        <x:f>B18+2*(Balance!B18-B18)/1.5</x:f>
        <x:v>2335</x:v>
      </x:c>
      <x:c r="E18" s="33" t="n">
        <x:f>2*Balance!B18-B18</x:f>
        <x:v>2335</x:v>
      </x:c>
      <x:c r="F18" s="33" t="n">
        <x:f>E18+(Balance!C18-E18)/1.5</x:f>
        <x:v>2391</x:v>
      </x:c>
      <x:c r="G18" s="33" t="n">
        <x:f>E18+2*(Balance!C18-E18)/1.5</x:f>
        <x:v>2447</x:v>
      </x:c>
      <x:c r="H18" s="33" t="n">
        <x:f>2*Balance!C18-E18</x:f>
        <x:v>2503</x:v>
      </x:c>
      <x:c r="I18" s="33" t="n">
        <x:f>H18+(Balance!D18-H18)/1.5</x:f>
        <x:v>2483</x:v>
      </x:c>
      <x:c r="J18" s="33" t="n">
        <x:f>H18+2*(Balance!D18-H18)/1.5</x:f>
        <x:v>2463</x:v>
      </x:c>
      <x:c r="K18" s="33" t="n">
        <x:f>2*Balance!D18-H18</x:f>
        <x:v>2443</x:v>
      </x:c>
      <x:c r="L18" s="33" t="n">
        <x:f>K18+(Balance!E18-K18)/1.5</x:f>
        <x:v>2378.3333333333335</x:v>
      </x:c>
      <x:c r="M18" s="33" t="n">
        <x:f>K18+2*(Balance!E18-K18)/1.5</x:f>
        <x:v>2313.6666666666665</x:v>
      </x:c>
      <x:c r="N18" s="33" t="n">
        <x:f>2*Balance!E18-K18</x:f>
        <x:v>2249</x:v>
      </x:c>
      <x:c r="O18" s="33" t="n">
        <x:f>N18+(Balance!F18-N18)/1.5</x:f>
        <x:v>2331.6666666666665</x:v>
      </x:c>
      <x:c r="P18" s="33" t="n">
        <x:f>N18+2*(Balance!F18-N18)/1.5</x:f>
        <x:v>2414.3333333333335</x:v>
      </x:c>
      <x:c r="Q18" s="33" t="n">
        <x:f>2*Balance!F18-N18</x:f>
        <x:v>2497</x:v>
      </x:c>
      <x:c r="R18" s="33" t="n">
        <x:f>Q18+(Balance!G18-Q18)/1.5</x:f>
        <x:v>2500.3333333333335</x:v>
      </x:c>
      <x:c r="S18" s="33" t="n">
        <x:f>Q18+2*(Balance!G18-Q18)/1.5</x:f>
        <x:v>2503.6666666666665</x:v>
      </x:c>
      <x:c r="T18" s="33" t="n">
        <x:f>2*Balance!G18-Q18</x:f>
        <x:v>2507</x:v>
      </x:c>
      <x:c r="U18" s="33" t="n">
        <x:f>T18+(Balance!H18-T18)/1.5</x:f>
        <x:v>2428.3333333333335</x:v>
      </x:c>
      <x:c r="V18" s="33" t="n">
        <x:f>T18+2*(Balance!H18-T18)/1.5</x:f>
        <x:v>2349.6666666666665</x:v>
      </x:c>
      <x:c r="W18" s="33" t="n">
        <x:f>2*Balance!H18-T18</x:f>
        <x:v>2271</x:v>
      </x:c>
      <x:c r="X18" s="33" t="n">
        <x:f>W18+(Balance!I18-W18)/1.5</x:f>
        <x:v>2377</x:v>
      </x:c>
      <x:c r="Y18" s="33" t="n">
        <x:f>W18+2*(Balance!I18-W18)/1.5</x:f>
        <x:v>2483</x:v>
      </x:c>
      <x:c r="Z18" s="33" t="n">
        <x:f>2*Balance!I18-W18</x:f>
        <x:v>2589</x:v>
      </x:c>
      <x:c r="AA18" s="33" t="n">
        <x:f>Z18+(Balance!J18-Z18)/1.5</x:f>
        <x:v>2404.3333333333335</x:v>
      </x:c>
      <x:c r="AB18" s="33" t="n">
        <x:f>Z18+2*(Balance!J18-Z18)/1.5</x:f>
        <x:v>2219.6666666666665</x:v>
      </x:c>
      <x:c r="AC18" s="33" t="n">
        <x:f>2*Balance!J18-Z18</x:f>
        <x:v>2035</x:v>
      </x:c>
      <x:c r="AD18" s="33" t="n">
        <x:f>AC18+(Balance!K18-AC18)/1.5</x:f>
        <x:v>2593</x:v>
      </x:c>
      <x:c r="AE18" s="33" t="n">
        <x:f>AC18+2*(Balance!K18-AC18)/1.5</x:f>
        <x:v>3151</x:v>
      </x:c>
      <x:c r="AF18" s="33" t="n">
        <x:f>2*Balance!K18-AC18</x:f>
        <x:v>3709</x:v>
      </x:c>
      <x:c r="AG18" s="33" t="n">
        <x:f>AF18+(Balance!L18-AF18)/1.5</x:f>
        <x:v>3316.3333333333335</x:v>
      </x:c>
      <x:c r="AH18" s="33" t="n">
        <x:f>AF18+2*(Balance!L18-AF18)/1.5</x:f>
        <x:v>2923.6666666666665</x:v>
      </x:c>
      <x:c r="AI18" s="33" t="n">
        <x:f>2*Balance!L18-AF18</x:f>
        <x:v>2531</x:v>
      </x:c>
      <x:c r="AJ18" s="33" t="n">
        <x:f>AI18+(Balance!M18-AI18)/1.5</x:f>
        <x:v>3344.3333333333335</x:v>
      </x:c>
      <x:c r="AK18" s="33" t="n">
        <x:f>AI18+2*(Balance!M18-AI18)/1.5</x:f>
        <x:v>4157.666666666667</x:v>
      </x:c>
      <x:c r="AL18" s="33" t="n">
        <x:f>2*Balance!M18-AI18</x:f>
        <x:v>4971</x:v>
      </x:c>
      <x:c r="AM18" s="33" t="n">
        <x:f>AL18+(Balance!N18-AL18)/1.5</x:f>
        <x:v>4482.333333333333</x:v>
      </x:c>
      <x:c r="AN18" s="33" t="n">
        <x:f>AL18+2*(Balance!N18-AL18)/1.5</x:f>
        <x:v>3993.6666666666665</x:v>
      </x:c>
      <x:c r="AO18" s="33" t="n">
        <x:f>2*Balance!N18-AL18</x:f>
        <x:v>3505</x:v>
      </x:c>
      <x:c r="AP18" s="33" t="n">
        <x:f>AO18+(Balance!O18-AO18)/1.5</x:f>
        <x:v>3727</x:v>
      </x:c>
      <x:c r="AQ18" s="33" t="n">
        <x:f>AO18+2*(Balance!O18-AO18)/1.5</x:f>
        <x:v>3949</x:v>
      </x:c>
      <x:c r="AR18" s="33" t="n">
        <x:f>2*Balance!O18-AO18</x:f>
        <x:v>4171</x:v>
      </x:c>
    </x:row>
    <x:row r="19">
      <x:c r="A19" s="26" t="str">
        <x:v>  Total interest-bearing liabilities</x:v>
      </x:c>
      <x:c r="B19" s="37" t="n">
        <x:f>SUM(B15:B18)</x:f>
        <x:v>358510</x:v>
      </x:c>
      <x:c r="C19" s="37" t="n">
        <x:f>SUM(C15:C18)</x:f>
        <x:v>358510</x:v>
      </x:c>
      <x:c r="D19" s="37" t="n">
        <x:f>SUM(D15:D18)</x:f>
        <x:v>358510</x:v>
      </x:c>
      <x:c r="E19" s="37" t="n">
        <x:f>SUM(E15:E18)</x:f>
        <x:v>358510</x:v>
      </x:c>
      <x:c r="F19" s="37" t="n">
        <x:f>SUM(F15:F18)</x:f>
        <x:v>361875.3333333334</x:v>
      </x:c>
      <x:c r="G19" s="37" t="n">
        <x:f>SUM(G15:G18)</x:f>
        <x:v>365240.6666666666</x:v>
      </x:c>
      <x:c r="H19" s="37" t="n">
        <x:f>SUM(H15:H18)</x:f>
        <x:v>368606</x:v>
      </x:c>
      <x:c r="I19" s="37" t="n">
        <x:f>SUM(I15:I18)</x:f>
        <x:v>367986</x:v>
      </x:c>
      <x:c r="J19" s="37" t="n">
        <x:f>SUM(J15:J18)</x:f>
        <x:v>367366</x:v>
      </x:c>
      <x:c r="K19" s="37" t="n">
        <x:f>SUM(K15:K18)</x:f>
        <x:v>366746</x:v>
      </x:c>
      <x:c r="L19" s="37" t="n">
        <x:f>SUM(L15:L18)</x:f>
        <x:v>368793.3333333333</x:v>
      </x:c>
      <x:c r="M19" s="37" t="n">
        <x:f>SUM(M15:M18)</x:f>
        <x:v>370840.6666666667</x:v>
      </x:c>
      <x:c r="N19" s="37" t="n">
        <x:f>SUM(N15:N18)</x:f>
        <x:v>372888</x:v>
      </x:c>
      <x:c r="O19" s="37" t="n">
        <x:f>SUM(O15:O18)</x:f>
        <x:v>371542.6666666667</x:v>
      </x:c>
      <x:c r="P19" s="37" t="n">
        <x:f>SUM(P15:P18)</x:f>
        <x:v>370197.3333333333</x:v>
      </x:c>
      <x:c r="Q19" s="37" t="n">
        <x:f>SUM(Q15:Q18)</x:f>
        <x:v>368852</x:v>
      </x:c>
      <x:c r="R19" s="37" t="n">
        <x:f>SUM(R15:R18)</x:f>
        <x:v>371959.3333333333</x:v>
      </x:c>
      <x:c r="S19" s="37" t="n">
        <x:f>SUM(S15:S18)</x:f>
        <x:v>375066.6666666667</x:v>
      </x:c>
      <x:c r="T19" s="37" t="n">
        <x:f>SUM(T15:T18)</x:f>
        <x:v>378174</x:v>
      </x:c>
      <x:c r="U19" s="37" t="n">
        <x:f>SUM(U15:U18)</x:f>
        <x:v>375906</x:v>
      </x:c>
      <x:c r="V19" s="37" t="n">
        <x:f>SUM(V15:V18)</x:f>
        <x:v>373638</x:v>
      </x:c>
      <x:c r="W19" s="37" t="n">
        <x:f>SUM(W15:W18)</x:f>
        <x:v>371370</x:v>
      </x:c>
      <x:c r="X19" s="37" t="n">
        <x:f>SUM(X15:X18)</x:f>
        <x:v>377026</x:v>
      </x:c>
      <x:c r="Y19" s="37" t="n">
        <x:f>SUM(Y15:Y18)</x:f>
        <x:v>382682</x:v>
      </x:c>
      <x:c r="Z19" s="37" t="n">
        <x:f>SUM(Z15:Z18)</x:f>
        <x:v>388338</x:v>
      </x:c>
      <x:c r="AA19" s="37" t="n">
        <x:f>SUM(AA15:AA18)</x:f>
        <x:v>385588.6666666667</x:v>
      </x:c>
      <x:c r="AB19" s="37" t="n">
        <x:f>SUM(AB15:AB18)</x:f>
        <x:v>382839.3333333333</x:v>
      </x:c>
      <x:c r="AC19" s="37" t="n">
        <x:f>SUM(AC15:AC18)</x:f>
        <x:v>380090</x:v>
      </x:c>
      <x:c r="AD19" s="37" t="n">
        <x:f>SUM(AD15:AD18)</x:f>
        <x:v>417314</x:v>
      </x:c>
      <x:c r="AE19" s="37" t="n">
        <x:f>SUM(AE15:AE18)</x:f>
        <x:v>454538</x:v>
      </x:c>
      <x:c r="AF19" s="37" t="n">
        <x:f>SUM(AF15:AF18)</x:f>
        <x:v>491762</x:v>
      </x:c>
      <x:c r="AG19" s="37" t="n">
        <x:f>SUM(AG15:AG18)</x:f>
        <x:v>491812.6666666667</x:v>
      </x:c>
      <x:c r="AH19" s="37" t="n">
        <x:f>SUM(AH15:AH18)</x:f>
        <x:v>491863.3333333333</x:v>
      </x:c>
      <x:c r="AI19" s="37" t="n">
        <x:f>SUM(AI15:AI18)</x:f>
        <x:v>491914</x:v>
      </x:c>
      <x:c r="AJ19" s="37" t="n">
        <x:f>SUM(AJ15:AJ18)</x:f>
        <x:v>494744.6666666666</x:v>
      </x:c>
      <x:c r="AK19" s="37" t="n">
        <x:f>SUM(AK15:AK18)</x:f>
        <x:v>497575.3333333334</x:v>
      </x:c>
      <x:c r="AL19" s="37" t="n">
        <x:f>SUM(AL15:AL18)</x:f>
        <x:v>500406</x:v>
      </x:c>
      <x:c r="AM19" s="37" t="n">
        <x:f>SUM(AM15:AM18)</x:f>
        <x:v>504480</x:v>
      </x:c>
      <x:c r="AN19" s="37" t="n">
        <x:f>SUM(AN15:AN18)</x:f>
        <x:v>508554</x:v>
      </x:c>
      <x:c r="AO19" s="37" t="n">
        <x:f>SUM(AO15:AO18)</x:f>
        <x:v>512628</x:v>
      </x:c>
      <x:c r="AP19" s="37" t="n">
        <x:f>SUM(AP15:AP18)</x:f>
        <x:v>510646.6666666666</x:v>
      </x:c>
      <x:c r="AQ19" s="37" t="n">
        <x:f>SUM(AQ15:AQ18)</x:f>
        <x:v>508665.3333333334</x:v>
      </x:c>
      <x:c r="AR19" s="37" t="n">
        <x:f>SUM(AR15:AR18)</x:f>
        <x:v>506684</x:v>
      </x:c>
    </x:row>
    <x:row r="20">
      <x:c r="A20" s="20"/>
      <x:c r="B20" s="32"/>
      <x:c r="C20" s="3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</x:row>
    <x:row r="21">
      <x:c r="A21" s="26" t="str">
        <x:v>Net earning assets (assets − liabilities)</x:v>
      </x:c>
      <x:c r="B21" s="37" t="n">
        <x:f>B12-B19</x:f>
        <x:v>76689</x:v>
      </x:c>
      <x:c r="C21" s="37" t="n">
        <x:f>C12-C19</x:f>
        <x:v>76689</x:v>
      </x:c>
      <x:c r="D21" s="37" t="n">
        <x:f>D12-D19</x:f>
        <x:v>76689</x:v>
      </x:c>
      <x:c r="E21" s="37" t="n">
        <x:f>E12-E19</x:f>
        <x:v>76689</x:v>
      </x:c>
      <x:c r="F21" s="37" t="n">
        <x:f>F12-F19</x:f>
        <x:v>75950.33333333331</x:v>
      </x:c>
      <x:c r="G21" s="37" t="n">
        <x:f>G12-G19</x:f>
        <x:v>75211.66666666669</x:v>
      </x:c>
      <x:c r="H21" s="37" t="n">
        <x:f>H12-H19</x:f>
        <x:v>74473</x:v>
      </x:c>
      <x:c r="I21" s="37" t="n">
        <x:f>I12-I19</x:f>
        <x:v>75395</x:v>
      </x:c>
      <x:c r="J21" s="37" t="n">
        <x:f>J12-J19</x:f>
        <x:v>76317</x:v>
      </x:c>
      <x:c r="K21" s="37" t="n">
        <x:f>K12-K19</x:f>
        <x:v>77239</x:v>
      </x:c>
      <x:c r="L21" s="37" t="n">
        <x:f>L12-L19</x:f>
        <x:v>77194.33333333331</x:v>
      </x:c>
      <x:c r="M21" s="37" t="n">
        <x:f>M12-M19</x:f>
        <x:v>77149.66666666669</x:v>
      </x:c>
      <x:c r="N21" s="37" t="n">
        <x:f>N12-N19</x:f>
        <x:v>77105</x:v>
      </x:c>
      <x:c r="O21" s="37" t="n">
        <x:f>O12-O19</x:f>
        <x:v>76990.33333333326</x:v>
      </x:c>
      <x:c r="P21" s="37" t="n">
        <x:f>P12-P19</x:f>
        <x:v>76875.66666666674</x:v>
      </x:c>
      <x:c r="Q21" s="37" t="n">
        <x:f>Q12-Q19</x:f>
        <x:v>76761</x:v>
      </x:c>
      <x:c r="R21" s="37" t="n">
        <x:f>R12-R19</x:f>
        <x:v>77183.66666666669</x:v>
      </x:c>
      <x:c r="S21" s="37" t="n">
        <x:f>S12-S19</x:f>
        <x:v>77606.33333333331</x:v>
      </x:c>
      <x:c r="T21" s="37" t="n">
        <x:f>T12-T19</x:f>
        <x:v>78029</x:v>
      </x:c>
      <x:c r="U21" s="37" t="n">
        <x:f>U12-U19</x:f>
        <x:v>79151.00000000006</x:v>
      </x:c>
      <x:c r="V21" s="37" t="n">
        <x:f>V12-V19</x:f>
        <x:v>80272.99999999994</x:v>
      </x:c>
      <x:c r="W21" s="37" t="n">
        <x:f>W12-W19</x:f>
        <x:v>81395</x:v>
      </x:c>
      <x:c r="X21" s="37" t="n">
        <x:f>X12-X19</x:f>
        <x:v>81022.33333333331</x:v>
      </x:c>
      <x:c r="Y21" s="37" t="n">
        <x:f>Y12-Y19</x:f>
        <x:v>80649.66666666669</x:v>
      </x:c>
      <x:c r="Z21" s="37" t="n">
        <x:f>Z12-Z19</x:f>
        <x:v>80277</x:v>
      </x:c>
      <x:c r="AA21" s="37" t="n">
        <x:f>AA12-AA19</x:f>
        <x:v>79130.33333333331</x:v>
      </x:c>
      <x:c r="AB21" s="37" t="n">
        <x:f>AB12-AB19</x:f>
        <x:v>77983.66666666669</x:v>
      </x:c>
      <x:c r="AC21" s="37" t="n">
        <x:f>AC12-AC19</x:f>
        <x:v>76837</x:v>
      </x:c>
      <x:c r="AD21" s="37" t="n">
        <x:f>AD12-AD19</x:f>
        <x:v>84947.66666666669</x:v>
      </x:c>
      <x:c r="AE21" s="37" t="n">
        <x:f>AE12-AE19</x:f>
        <x:v>93058.33333333337</x:v>
      </x:c>
      <x:c r="AF21" s="37" t="n">
        <x:f>AF12-AF19</x:f>
        <x:v>101169</x:v>
      </x:c>
      <x:c r="AG21" s="37" t="n">
        <x:f>AG12-AG19</x:f>
        <x:v>101328.99999999994</x:v>
      </x:c>
      <x:c r="AH21" s="37" t="n">
        <x:f>AH12-AH19</x:f>
        <x:v>101489.00000000006</x:v>
      </x:c>
      <x:c r="AI21" s="37" t="n">
        <x:f>AI12-AI19</x:f>
        <x:v>101649</x:v>
      </x:c>
      <x:c r="AJ21" s="37" t="n">
        <x:f>AJ12-AJ19</x:f>
        <x:v>106014.33333333337</x:v>
      </x:c>
      <x:c r="AK21" s="37" t="n">
        <x:f>AK12-AK19</x:f>
        <x:v>110379.66666666663</x:v>
      </x:c>
      <x:c r="AL21" s="37" t="n">
        <x:f>AL12-AL19</x:f>
        <x:v>114745</x:v>
      </x:c>
      <x:c r="AM21" s="37" t="n">
        <x:f>AM12-AM19</x:f>
        <x:v>112018.99999999988</x:v>
      </x:c>
      <x:c r="AN21" s="37" t="n">
        <x:f>AN12-AN19</x:f>
        <x:v>109293.00000000012</x:v>
      </x:c>
      <x:c r="AO21" s="37" t="n">
        <x:f>AO12-AO19</x:f>
        <x:v>106567</x:v>
      </x:c>
      <x:c r="AP21" s="37" t="n">
        <x:f>AP12-AP19</x:f>
        <x:v>107473.66666666663</x:v>
      </x:c>
      <x:c r="AQ21" s="37" t="n">
        <x:f>AQ12-AQ19</x:f>
        <x:v>108380.33333333337</x:v>
      </x:c>
      <x:c r="AR21" s="37" t="n">
        <x:f>AR12-AR19</x:f>
        <x:v>109287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</x:cols>
  <x:sheetData>
    <x:row r="1">
      <x:c r="A1" s="28" t="str">
        <x:v>Capital One - Imputed Monthly Interest Income / Expense by line item ($mm)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</x:row>
    <x:row r="2" ht="31" customHeight="1">
      <x:c r="A2" s="30" t="str">
        <x:v>Each quarterly amount is allocated across its three months in proportion to two-point monthly average balance. Monthly amounts sum exactly to the disclosed quarterly interest income or expense.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</x:row>
    <x:row r="4">
      <x:c r="A4" s="26" t="str">
        <x:v>Line item (as disclosed)</x:v>
      </x:c>
      <x:c r="B4" s="31" t="n">
        <x:v>44957</x:v>
      </x:c>
      <x:c r="C4" s="31" t="n">
        <x:v>44985</x:v>
      </x:c>
      <x:c r="D4" s="31" t="n">
        <x:v>45016</x:v>
      </x:c>
      <x:c r="E4" s="31" t="n">
        <x:v>45046</x:v>
      </x:c>
      <x:c r="F4" s="31" t="n">
        <x:v>45077</x:v>
      </x:c>
      <x:c r="G4" s="31" t="n">
        <x:v>45107</x:v>
      </x:c>
      <x:c r="H4" s="31" t="n">
        <x:v>45138</x:v>
      </x:c>
      <x:c r="I4" s="31" t="n">
        <x:v>45169</x:v>
      </x:c>
      <x:c r="J4" s="31" t="n">
        <x:v>45199</x:v>
      </x:c>
      <x:c r="K4" s="31" t="n">
        <x:v>45230</x:v>
      </x:c>
      <x:c r="L4" s="31" t="n">
        <x:v>45260</x:v>
      </x:c>
      <x:c r="M4" s="31" t="n">
        <x:v>45291</x:v>
      </x:c>
      <x:c r="N4" s="31" t="n">
        <x:v>45322</x:v>
      </x:c>
      <x:c r="O4" s="31" t="n">
        <x:v>45351</x:v>
      </x:c>
      <x:c r="P4" s="31" t="n">
        <x:v>45382</x:v>
      </x:c>
      <x:c r="Q4" s="31" t="n">
        <x:v>45412</x:v>
      </x:c>
      <x:c r="R4" s="31" t="n">
        <x:v>45443</x:v>
      </x:c>
      <x:c r="S4" s="31" t="n">
        <x:v>45473</x:v>
      </x:c>
      <x:c r="T4" s="31" t="n">
        <x:v>45504</x:v>
      </x:c>
      <x:c r="U4" s="31" t="n">
        <x:v>45535</x:v>
      </x:c>
      <x:c r="V4" s="31" t="n">
        <x:v>45565</x:v>
      </x:c>
      <x:c r="W4" s="31" t="n">
        <x:v>45596</x:v>
      </x:c>
      <x:c r="X4" s="31" t="n">
        <x:v>45626</x:v>
      </x:c>
      <x:c r="Y4" s="31" t="n">
        <x:v>45657</x:v>
      </x:c>
      <x:c r="Z4" s="31" t="n">
        <x:v>45688</x:v>
      </x:c>
      <x:c r="AA4" s="31" t="n">
        <x:v>45716</x:v>
      </x:c>
      <x:c r="AB4" s="31" t="n">
        <x:v>45747</x:v>
      </x:c>
      <x:c r="AC4" s="31" t="n">
        <x:v>45777</x:v>
      </x:c>
      <x:c r="AD4" s="31" t="n">
        <x:v>45808</x:v>
      </x:c>
      <x:c r="AE4" s="31" t="n">
        <x:v>45838</x:v>
      </x:c>
      <x:c r="AF4" s="31" t="n">
        <x:v>45869</x:v>
      </x:c>
      <x:c r="AG4" s="31" t="n">
        <x:v>45900</x:v>
      </x:c>
      <x:c r="AH4" s="31" t="n">
        <x:v>45930</x:v>
      </x:c>
      <x:c r="AI4" s="31" t="n">
        <x:v>45961</x:v>
      </x:c>
      <x:c r="AJ4" s="31" t="n">
        <x:v>45991</x:v>
      </x:c>
      <x:c r="AK4" s="31" t="n">
        <x:v>46022</x:v>
      </x:c>
      <x:c r="AL4" s="31" t="n">
        <x:v>46053</x:v>
      </x:c>
      <x:c r="AM4" s="31" t="n">
        <x:v>46081</x:v>
      </x:c>
      <x:c r="AN4" s="31" t="n">
        <x:v>46112</x:v>
      </x:c>
      <x:c r="AO4" s="31" t="n">
        <x:v>46142</x:v>
      </x:c>
      <x:c r="AP4" s="31" t="n">
        <x:v>46173</x:v>
      </x:c>
      <x:c r="AQ4" s="31" t="n">
        <x:v>46203</x:v>
      </x:c>
    </x:row>
    <x:row r="5">
      <x:c r="A5" s="35" t="str">
        <x:v>INTEREST-EARNING ASSETS</x:v>
      </x:c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  <x:c r="AA5" s="35"/>
      <x:c r="AB5" s="35"/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</x:row>
    <x:row r="6">
      <x:c r="A6" s="20" t="str">
        <x:v>  Credit card</x:v>
      </x:c>
      <x:c r="B6" s="39" t="n">
        <x:f>'Net Interest Income'!B6*(('Monthly Balance'!B6+'Monthly Balance'!C6)/2)/((('Monthly Balance'!B6+'Monthly Balance'!C6)/2)+(('Monthly Balance'!C6+'Monthly Balance'!D6)/2)+(('Monthly Balance'!D6+'Monthly Balance'!E6)/2))</x:f>
        <x:v>2017.6666666666667</x:v>
      </x:c>
      <x:c r="C6" s="39" t="n">
        <x:f>'Net Interest Income'!B6*(('Monthly Balance'!C6+'Monthly Balance'!D6)/2)/((('Monthly Balance'!B6+'Monthly Balance'!C6)/2)+(('Monthly Balance'!C6+'Monthly Balance'!D6)/2)+(('Monthly Balance'!D6+'Monthly Balance'!E6)/2))</x:f>
        <x:v>2017.6666666666667</x:v>
      </x:c>
      <x:c r="D6" s="39" t="n">
        <x:f>'Net Interest Income'!B6*(('Monthly Balance'!D6+'Monthly Balance'!E6)/2)/((('Monthly Balance'!B6+'Monthly Balance'!C6)/2)+(('Monthly Balance'!C6+'Monthly Balance'!D6)/2)+(('Monthly Balance'!D6+'Monthly Balance'!E6)/2))</x:f>
        <x:v>2017.6666666666667</x:v>
      </x:c>
      <x:c r="E6" s="39" t="n">
        <x:f>'Net Interest Income'!C6*(('Monthly Balance'!E6+'Monthly Balance'!F6)/2)/((('Monthly Balance'!E6+'Monthly Balance'!F6)/2)+(('Monthly Balance'!F6+'Monthly Balance'!G6)/2)+(('Monthly Balance'!G6+'Monthly Balance'!H6)/2))</x:f>
        <x:v>2059.3583898249435</x:v>
      </x:c>
      <x:c r="F6" s="39" t="n">
        <x:f>'Net Interest Income'!C6*(('Monthly Balance'!F6+'Monthly Balance'!G6)/2)/((('Monthly Balance'!E6+'Monthly Balance'!F6)/2)+(('Monthly Balance'!F6+'Monthly Balance'!G6)/2)+(('Monthly Balance'!G6+'Monthly Balance'!H6)/2))</x:f>
        <x:v>2100.6666666666665</x:v>
      </x:c>
      <x:c r="G6" s="39" t="n">
        <x:f>'Net Interest Income'!C6*(('Monthly Balance'!G6+'Monthly Balance'!H6)/2)/((('Monthly Balance'!E6+'Monthly Balance'!F6)/2)+(('Monthly Balance'!F6+'Monthly Balance'!G6)/2)+(('Monthly Balance'!G6+'Monthly Balance'!H6)/2))</x:f>
        <x:v>2141.9749435083895</x:v>
      </x:c>
      <x:c r="H6" s="39" t="n">
        <x:f>'Net Interest Income'!D6*(('Monthly Balance'!H6+'Monthly Balance'!I6)/2)/((('Monthly Balance'!H6+'Monthly Balance'!I6)/2)+(('Monthly Balance'!I6+'Monthly Balance'!J6)/2)+(('Monthly Balance'!J6+'Monthly Balance'!K6)/2))</x:f>
        <x:v>2270.6739494800136</x:v>
      </x:c>
      <x:c r="I6" s="39" t="n">
        <x:f>'Net Interest Income'!D6*(('Monthly Balance'!I6+'Monthly Balance'!J6)/2)/((('Monthly Balance'!H6+'Monthly Balance'!I6)/2)+(('Monthly Balance'!I6+'Monthly Balance'!J6)/2)+(('Monthly Balance'!J6+'Monthly Balance'!K6)/2))</x:f>
        <x:v>2283.3333333333335</x:v>
      </x:c>
      <x:c r="J6" s="39" t="n">
        <x:f>'Net Interest Income'!D6*(('Monthly Balance'!J6+'Monthly Balance'!K6)/2)/((('Monthly Balance'!H6+'Monthly Balance'!I6)/2)+(('Monthly Balance'!I6+'Monthly Balance'!J6)/2)+(('Monthly Balance'!J6+'Monthly Balance'!K6)/2))</x:f>
        <x:v>2295.992717186653</x:v>
      </x:c>
      <x:c r="K6" s="39" t="n">
        <x:f>'Net Interest Income'!E6*(('Monthly Balance'!K6+'Monthly Balance'!L6)/2)/((('Monthly Balance'!K6+'Monthly Balance'!L6)/2)+(('Monthly Balance'!L6+'Monthly Balance'!M6)/2)+(('Monthly Balance'!M6+'Monthly Balance'!N6)/2))</x:f>
        <x:v>2313.3647996137133</x:v>
      </x:c>
      <x:c r="L6" s="39" t="n">
        <x:f>'Net Interest Income'!E6*(('Monthly Balance'!L6+'Monthly Balance'!M6)/2)/((('Monthly Balance'!K6+'Monthly Balance'!L6)/2)+(('Monthly Balance'!L6+'Monthly Balance'!M6)/2)+(('Monthly Balance'!M6+'Monthly Balance'!N6)/2))</x:f>
        <x:v>2354</x:v>
      </x:c>
      <x:c r="M6" s="39" t="n">
        <x:f>'Net Interest Income'!E6*(('Monthly Balance'!M6+'Monthly Balance'!N6)/2)/((('Monthly Balance'!K6+'Monthly Balance'!L6)/2)+(('Monthly Balance'!L6+'Monthly Balance'!M6)/2)+(('Monthly Balance'!M6+'Monthly Balance'!N6)/2))</x:f>
        <x:v>2394.6352003862867</x:v>
      </x:c>
      <x:c r="N6" s="39" t="n">
        <x:f>'Net Interest Income'!F6*(('Monthly Balance'!N6+'Monthly Balance'!O6)/2)/((('Monthly Balance'!N6+'Monthly Balance'!O6)/2)+(('Monthly Balance'!O6+'Monthly Balance'!P6)/2)+(('Monthly Balance'!P6+'Monthly Balance'!Q6)/2))</x:f>
        <x:v>2386.269866658373</x:v>
      </x:c>
      <x:c r="O6" s="39" t="n">
        <x:f>'Net Interest Income'!F6*(('Monthly Balance'!O6+'Monthly Balance'!P6)/2)/((('Monthly Balance'!N6+'Monthly Balance'!O6)/2)+(('Monthly Balance'!O6+'Monthly Balance'!P6)/2)+(('Monthly Balance'!P6+'Monthly Balance'!Q6)/2))</x:f>
        <x:v>2355.6666666666665</x:v>
      </x:c>
      <x:c r="P6" s="39" t="n">
        <x:f>'Net Interest Income'!F6*(('Monthly Balance'!P6+'Monthly Balance'!Q6)/2)/((('Monthly Balance'!N6+'Monthly Balance'!O6)/2)+(('Monthly Balance'!O6+'Monthly Balance'!P6)/2)+(('Monthly Balance'!P6+'Monthly Balance'!Q6)/2))</x:f>
        <x:v>2325.0634666749606</x:v>
      </x:c>
      <x:c r="Q6" s="39" t="n">
        <x:f>'Net Interest Income'!G6*(('Monthly Balance'!Q6+'Monthly Balance'!R6)/2)/((('Monthly Balance'!Q6+'Monthly Balance'!R6)/2)+(('Monthly Balance'!R6+'Monthly Balance'!S6)/2)+(('Monthly Balance'!S6+'Monthly Balance'!T6)/2))</x:f>
        <x:v>2323.6088891245654</x:v>
      </x:c>
      <x:c r="R6" s="39" t="n">
        <x:f>'Net Interest Income'!G6*(('Monthly Balance'!R6+'Monthly Balance'!S6)/2)/((('Monthly Balance'!Q6+'Monthly Balance'!R6)/2)+(('Monthly Balance'!R6+'Monthly Balance'!S6)/2)+(('Monthly Balance'!S6+'Monthly Balance'!T6)/2))</x:f>
        <x:v>2362.6666666666665</x:v>
      </x:c>
      <x:c r="S6" s="39" t="n">
        <x:f>'Net Interest Income'!G6*(('Monthly Balance'!S6+'Monthly Balance'!T6)/2)/((('Monthly Balance'!Q6+'Monthly Balance'!R6)/2)+(('Monthly Balance'!R6+'Monthly Balance'!S6)/2)+(('Monthly Balance'!S6+'Monthly Balance'!T6)/2))</x:f>
        <x:v>2401.724444208768</x:v>
      </x:c>
      <x:c r="T6" s="39" t="n">
        <x:f>'Net Interest Income'!H6*(('Monthly Balance'!T6+'Monthly Balance'!U6)/2)/((('Monthly Balance'!T6+'Monthly Balance'!U6)/2)+(('Monthly Balance'!U6+'Monthly Balance'!V6)/2)+(('Monthly Balance'!V6+'Monthly Balance'!W6)/2))</x:f>
        <x:v>2530.8829008822004</x:v>
      </x:c>
      <x:c r="U6" s="39" t="n">
        <x:f>'Net Interest Income'!H6*(('Monthly Balance'!U6+'Monthly Balance'!V6)/2)/((('Monthly Balance'!T6+'Monthly Balance'!U6)/2)+(('Monthly Balance'!U6+'Monthly Balance'!V6)/2)+(('Monthly Balance'!V6+'Monthly Balance'!W6)/2))</x:f>
        <x:v>2526</x:v>
      </x:c>
      <x:c r="V6" s="39" t="n">
        <x:f>'Net Interest Income'!H6*(('Monthly Balance'!V6+'Monthly Balance'!W6)/2)/((('Monthly Balance'!T6+'Monthly Balance'!U6)/2)+(('Monthly Balance'!U6+'Monthly Balance'!V6)/2)+(('Monthly Balance'!V6+'Monthly Balance'!W6)/2))</x:f>
        <x:v>2521.1170991177996</x:v>
      </x:c>
      <x:c r="W6" s="39" t="n">
        <x:f>'Net Interest Income'!I6*(('Monthly Balance'!W6+'Monthly Balance'!X6)/2)/((('Monthly Balance'!W6+'Monthly Balance'!X6)/2)+(('Monthly Balance'!X6+'Monthly Balance'!Y6)/2)+(('Monthly Balance'!Y6+'Monthly Balance'!Z6)/2))</x:f>
        <x:v>2459.075790826414</x:v>
      </x:c>
      <x:c r="X6" s="39" t="n">
        <x:f>'Net Interest Income'!I6*(('Monthly Balance'!X6+'Monthly Balance'!Y6)/2)/((('Monthly Balance'!W6+'Monthly Balance'!X6)/2)+(('Monthly Balance'!X6+'Monthly Balance'!Y6)/2)+(('Monthly Balance'!Y6+'Monthly Balance'!Z6)/2))</x:f>
        <x:v>2497.6666666666665</x:v>
      </x:c>
      <x:c r="Y6" s="39" t="n">
        <x:f>'Net Interest Income'!I6*(('Monthly Balance'!Y6+'Monthly Balance'!Z6)/2)/((('Monthly Balance'!W6+'Monthly Balance'!X6)/2)+(('Monthly Balance'!X6+'Monthly Balance'!Y6)/2)+(('Monthly Balance'!Y6+'Monthly Balance'!Z6)/2))</x:f>
        <x:v>2536.2575425069194</x:v>
      </x:c>
      <x:c r="Z6" s="39" t="n">
        <x:f>'Net Interest Income'!J6*(('Monthly Balance'!Z6+'Monthly Balance'!AA6)/2)/((('Monthly Balance'!Z6+'Monthly Balance'!AA6)/2)+(('Monthly Balance'!AA6+'Monthly Balance'!AB6)/2)+(('Monthly Balance'!AB6+'Monthly Balance'!AC6)/2))</x:f>
        <x:v>2463.359828141783</x:v>
      </x:c>
      <x:c r="AA6" s="39" t="n">
        <x:f>'Net Interest Income'!J6*(('Monthly Balance'!AA6+'Monthly Balance'!AB6)/2)/((('Monthly Balance'!Z6+'Monthly Balance'!AA6)/2)+(('Monthly Balance'!AA6+'Monthly Balance'!AB6)/2)+(('Monthly Balance'!AB6+'Monthly Balance'!AC6)/2))</x:f>
        <x:v>2416</x:v>
      </x:c>
      <x:c r="AB6" s="39" t="n">
        <x:f>'Net Interest Income'!J6*(('Monthly Balance'!AB6+'Monthly Balance'!AC6)/2)/((('Monthly Balance'!Z6+'Monthly Balance'!AA6)/2)+(('Monthly Balance'!AA6+'Monthly Balance'!AB6)/2)+(('Monthly Balance'!AB6+'Monthly Balance'!AC6)/2))</x:f>
        <x:v>2368.640171858217</x:v>
      </x:c>
      <x:c r="AC6" s="39" t="n">
        <x:f>'Net Interest Income'!K6*(('Monthly Balance'!AC6+'Monthly Balance'!AD6)/2)/((('Monthly Balance'!AC6+'Monthly Balance'!AD6)/2)+(('Monthly Balance'!AD6+'Monthly Balance'!AE6)/2)+(('Monthly Balance'!AE6+'Monthly Balance'!AF6)/2))</x:f>
        <x:v>2558.616950070394</x:v>
      </x:c>
      <x:c r="AD6" s="39" t="n">
        <x:f>'Net Interest Income'!K6*(('Monthly Balance'!AD6+'Monthly Balance'!AE6)/2)/((('Monthly Balance'!AC6+'Monthly Balance'!AD6)/2)+(('Monthly Balance'!AD6+'Monthly Balance'!AE6)/2)+(('Monthly Balance'!AE6+'Monthly Balance'!AF6)/2))</x:f>
        <x:v>3135.6666666666665</x:v>
      </x:c>
      <x:c r="AE6" s="39" t="n">
        <x:f>'Net Interest Income'!K6*(('Monthly Balance'!AE6+'Monthly Balance'!AF6)/2)/((('Monthly Balance'!AC6+'Monthly Balance'!AD6)/2)+(('Monthly Balance'!AD6+'Monthly Balance'!AE6)/2)+(('Monthly Balance'!AE6+'Monthly Balance'!AF6)/2))</x:f>
        <x:v>3712.71638326294</x:v>
      </x:c>
      <x:c r="AF6" s="39" t="n">
        <x:f>'Net Interest Income'!L6*(('Monthly Balance'!AF6+'Monthly Balance'!AG6)/2)/((('Monthly Balance'!AF6+'Monthly Balance'!AG6)/2)+(('Monthly Balance'!AG6+'Monthly Balance'!AH6)/2)+(('Monthly Balance'!AH6+'Monthly Balance'!AI6)/2))</x:f>
        <x:v>4020.3584454557645</x:v>
      </x:c>
      <x:c r="AG6" s="39" t="n">
        <x:f>'Net Interest Income'!L6*(('Monthly Balance'!AG6+'Monthly Balance'!AH6)/2)/((('Monthly Balance'!AF6+'Monthly Balance'!AG6)/2)+(('Monthly Balance'!AG6+'Monthly Balance'!AH6)/2)+(('Monthly Balance'!AH6+'Monthly Balance'!AI6)/2))</x:f>
        <x:v>4036.3333333333335</x:v>
      </x:c>
      <x:c r="AH6" s="39" t="n">
        <x:f>'Net Interest Income'!L6*(('Monthly Balance'!AH6+'Monthly Balance'!AI6)/2)/((('Monthly Balance'!AF6+'Monthly Balance'!AG6)/2)+(('Monthly Balance'!AG6+'Monthly Balance'!AH6)/2)+(('Monthly Balance'!AH6+'Monthly Balance'!AI6)/2))</x:f>
        <x:v>4052.3082212109025</x:v>
      </x:c>
      <x:c r="AI6" s="39" t="n">
        <x:f>'Net Interest Income'!M6*(('Monthly Balance'!AI6+'Monthly Balance'!AJ6)/2)/((('Monthly Balance'!AI6+'Monthly Balance'!AJ6)/2)+(('Monthly Balance'!AJ6+'Monthly Balance'!AK6)/2)+(('Monthly Balance'!AK6+'Monthly Balance'!AL6)/2))</x:f>
        <x:v>3997.2177544734527</x:v>
      </x:c>
      <x:c r="AJ6" s="39" t="n">
        <x:f>'Net Interest Income'!M6*(('Monthly Balance'!AJ6+'Monthly Balance'!AK6)/2)/((('Monthly Balance'!AI6+'Monthly Balance'!AJ6)/2)+(('Monthly Balance'!AJ6+'Monthly Balance'!AK6)/2)+(('Monthly Balance'!AK6+'Monthly Balance'!AL6)/2))</x:f>
        <x:v>4016.3333333333335</x:v>
      </x:c>
      <x:c r="AK6" s="39" t="n">
        <x:f>'Net Interest Income'!M6*(('Monthly Balance'!AK6+'Monthly Balance'!AL6)/2)/((('Monthly Balance'!AI6+'Monthly Balance'!AJ6)/2)+(('Monthly Balance'!AJ6+'Monthly Balance'!AK6)/2)+(('Monthly Balance'!AK6+'Monthly Balance'!AL6)/2))</x:f>
        <x:v>4035.4489121932143</x:v>
      </x:c>
      <x:c r="AL6" s="39" t="n">
        <x:f>'Net Interest Income'!N6*(('Monthly Balance'!AL6+'Monthly Balance'!AM6)/2)/((('Monthly Balance'!AL6+'Monthly Balance'!AM6)/2)+(('Monthly Balance'!AM6+'Monthly Balance'!AN6)/2)+(('Monthly Balance'!AN6+'Monthly Balance'!AO6)/2))</x:f>
        <x:v>3912.8884776168366</x:v>
      </x:c>
      <x:c r="AM6" s="39" t="n">
        <x:f>'Net Interest Income'!N6*(('Monthly Balance'!AM6+'Monthly Balance'!AN6)/2)/((('Monthly Balance'!AL6+'Monthly Balance'!AM6)/2)+(('Monthly Balance'!AM6+'Monthly Balance'!AN6)/2)+(('Monthly Balance'!AN6+'Monthly Balance'!AO6)/2))</x:f>
        <x:v>3877.6666666666665</x:v>
      </x:c>
      <x:c r="AN6" s="39" t="n">
        <x:f>'Net Interest Income'!N6*(('Monthly Balance'!AN6+'Monthly Balance'!AO6)/2)/((('Monthly Balance'!AL6+'Monthly Balance'!AM6)/2)+(('Monthly Balance'!AM6+'Monthly Balance'!AN6)/2)+(('Monthly Balance'!AN6+'Monthly Balance'!AO6)/2))</x:f>
        <x:v>3842.4448557164965</x:v>
      </x:c>
      <x:c r="AO6" s="39" t="n">
        <x:f>'Net Interest Income'!O6*(('Monthly Balance'!AO6+'Monthly Balance'!AP6)/2)/((('Monthly Balance'!AO6+'Monthly Balance'!AP6)/2)+(('Monthly Balance'!AP6+'Monthly Balance'!AQ6)/2)+(('Monthly Balance'!AQ6+'Monthly Balance'!AR6)/2))</x:f>
        <x:v>3852.57220151157</x:v>
      </x:c>
      <x:c r="AP6" s="39" t="n">
        <x:f>'Net Interest Income'!O6*(('Monthly Balance'!AP6+'Monthly Balance'!AQ6)/2)/((('Monthly Balance'!AO6+'Monthly Balance'!AP6)/2)+(('Monthly Balance'!AP6+'Monthly Balance'!AQ6)/2)+(('Monthly Balance'!AQ6+'Monthly Balance'!AR6)/2))</x:f>
        <x:v>3890</x:v>
      </x:c>
      <x:c r="AQ6" s="39" t="n">
        <x:f>'Net Interest Income'!O6*(('Monthly Balance'!AQ6+'Monthly Balance'!AR6)/2)/((('Monthly Balance'!AO6+'Monthly Balance'!AP6)/2)+(('Monthly Balance'!AP6+'Monthly Balance'!AQ6)/2)+(('Monthly Balance'!AQ6+'Monthly Balance'!AR6)/2))</x:f>
        <x:v>3927.42779848843</x:v>
      </x:c>
    </x:row>
    <x:row r="7">
      <x:c r="A7" s="20" t="str">
        <x:v>  Consumer banking</x:v>
      </x:c>
      <x:c r="B7" s="39" t="n">
        <x:f>'Net Interest Income'!B7*(('Monthly Balance'!B7+'Monthly Balance'!C7)/2)/((('Monthly Balance'!B7+'Monthly Balance'!C7)/2)+(('Monthly Balance'!C7+'Monthly Balance'!D7)/2)+(('Monthly Balance'!D7+'Monthly Balance'!E7)/2))</x:f>
        <x:v>487</x:v>
      </x:c>
      <x:c r="C7" s="39" t="n">
        <x:f>'Net Interest Income'!B7*(('Monthly Balance'!C7+'Monthly Balance'!D7)/2)/((('Monthly Balance'!B7+'Monthly Balance'!C7)/2)+(('Monthly Balance'!C7+'Monthly Balance'!D7)/2)+(('Monthly Balance'!D7+'Monthly Balance'!E7)/2))</x:f>
        <x:v>487</x:v>
      </x:c>
      <x:c r="D7" s="39" t="n">
        <x:f>'Net Interest Income'!B7*(('Monthly Balance'!D7+'Monthly Balance'!E7)/2)/((('Monthly Balance'!B7+'Monthly Balance'!C7)/2)+(('Monthly Balance'!C7+'Monthly Balance'!D7)/2)+(('Monthly Balance'!D7+'Monthly Balance'!E7)/2))</x:f>
        <x:v>487</x:v>
      </x:c>
      <x:c r="E7" s="39" t="n">
        <x:f>'Net Interest Income'!C7*(('Monthly Balance'!E7+'Monthly Balance'!F7)/2)/((('Monthly Balance'!E7+'Monthly Balance'!F7)/2)+(('Monthly Balance'!F7+'Monthly Balance'!G7)/2)+(('Monthly Balance'!G7+'Monthly Balance'!H7)/2))</x:f>
        <x:v>500.8626079843728</x:v>
      </x:c>
      <x:c r="F7" s="39" t="n">
        <x:f>'Net Interest Income'!C7*(('Monthly Balance'!F7+'Monthly Balance'!G7)/2)/((('Monthly Balance'!E7+'Monthly Balance'!F7)/2)+(('Monthly Balance'!F7+'Monthly Balance'!G7)/2)+(('Monthly Balance'!G7+'Monthly Balance'!H7)/2))</x:f>
        <x:v>495.3333333333333</x:v>
      </x:c>
      <x:c r="G7" s="39" t="n">
        <x:f>'Net Interest Income'!C7*(('Monthly Balance'!G7+'Monthly Balance'!H7)/2)/((('Monthly Balance'!E7+'Monthly Balance'!F7)/2)+(('Monthly Balance'!F7+'Monthly Balance'!G7)/2)+(('Monthly Balance'!G7+'Monthly Balance'!H7)/2))</x:f>
        <x:v>489.8040586822939</x:v>
      </x:c>
      <x:c r="H7" s="39" t="n">
        <x:f>'Net Interest Income'!D7*(('Monthly Balance'!H7+'Monthly Balance'!I7)/2)/((('Monthly Balance'!H7+'Monthly Balance'!I7)/2)+(('Monthly Balance'!I7+'Monthly Balance'!J7)/2)+(('Monthly Balance'!J7+'Monthly Balance'!K7)/2))</x:f>
        <x:v>508.9865723099256</x:v>
      </x:c>
      <x:c r="I7" s="39" t="n">
        <x:f>'Net Interest Income'!D7*(('Monthly Balance'!I7+'Monthly Balance'!J7)/2)/((('Monthly Balance'!H7+'Monthly Balance'!I7)/2)+(('Monthly Balance'!I7+'Monthly Balance'!J7)/2)+(('Monthly Balance'!J7+'Monthly Balance'!K7)/2))</x:f>
        <x:v>512.3333333333334</x:v>
      </x:c>
      <x:c r="J7" s="39" t="n">
        <x:f>'Net Interest Income'!D7*(('Monthly Balance'!J7+'Monthly Balance'!K7)/2)/((('Monthly Balance'!H7+'Monthly Balance'!I7)/2)+(('Monthly Balance'!I7+'Monthly Balance'!J7)/2)+(('Monthly Balance'!J7+'Monthly Balance'!K7)/2))</x:f>
        <x:v>515.680094356741</x:v>
      </x:c>
      <x:c r="K7" s="39" t="n">
        <x:f>'Net Interest Income'!E7*(('Monthly Balance'!K7+'Monthly Balance'!L7)/2)/((('Monthly Balance'!K7+'Monthly Balance'!L7)/2)+(('Monthly Balance'!L7+'Monthly Balance'!M7)/2)+(('Monthly Balance'!M7+'Monthly Balance'!N7)/2))</x:f>
        <x:v>526.6531801007557</x:v>
      </x:c>
      <x:c r="L7" s="39" t="n">
        <x:f>'Net Interest Income'!E7*(('Monthly Balance'!L7+'Monthly Balance'!M7)/2)/((('Monthly Balance'!K7+'Monthly Balance'!L7)/2)+(('Monthly Balance'!L7+'Monthly Balance'!M7)/2)+(('Monthly Balance'!M7+'Monthly Balance'!N7)/2))</x:f>
        <x:v>519</x:v>
      </x:c>
      <x:c r="M7" s="39" t="n">
        <x:f>'Net Interest Income'!E7*(('Monthly Balance'!M7+'Monthly Balance'!N7)/2)/((('Monthly Balance'!K7+'Monthly Balance'!L7)/2)+(('Monthly Balance'!L7+'Monthly Balance'!M7)/2)+(('Monthly Balance'!M7+'Monthly Balance'!N7)/2))</x:f>
        <x:v>511.34681989924434</x:v>
      </x:c>
      <x:c r="N7" s="39" t="n">
        <x:f>'Net Interest Income'!F7*(('Monthly Balance'!N7+'Monthly Balance'!O7)/2)/((('Monthly Balance'!N7+'Monthly Balance'!O7)/2)+(('Monthly Balance'!O7+'Monthly Balance'!P7)/2)+(('Monthly Balance'!P7+'Monthly Balance'!Q7)/2))</x:f>
        <x:v>518.7737959424047</x:v>
      </x:c>
      <x:c r="O7" s="39" t="n">
        <x:f>'Net Interest Income'!F7*(('Monthly Balance'!O7+'Monthly Balance'!P7)/2)/((('Monthly Balance'!N7+'Monthly Balance'!O7)/2)+(('Monthly Balance'!O7+'Monthly Balance'!P7)/2)+(('Monthly Balance'!P7+'Monthly Balance'!Q7)/2))</x:f>
        <x:v>521.3333333333334</x:v>
      </x:c>
      <x:c r="P7" s="39" t="n">
        <x:f>'Net Interest Income'!F7*(('Monthly Balance'!P7+'Monthly Balance'!Q7)/2)/((('Monthly Balance'!N7+'Monthly Balance'!O7)/2)+(('Monthly Balance'!O7+'Monthly Balance'!P7)/2)+(('Monthly Balance'!P7+'Monthly Balance'!Q7)/2))</x:f>
        <x:v>523.8928707242619</x:v>
      </x:c>
      <x:c r="Q7" s="39" t="n">
        <x:f>'Net Interest Income'!G7*(('Monthly Balance'!Q7+'Monthly Balance'!R7)/2)/((('Monthly Balance'!Q7+'Monthly Balance'!R7)/2)+(('Monthly Balance'!R7+'Monthly Balance'!S7)/2)+(('Monthly Balance'!S7+'Monthly Balance'!T7)/2))</x:f>
        <x:v>538.225214230759</x:v>
      </x:c>
      <x:c r="R7" s="39" t="n">
        <x:f>'Net Interest Income'!G7*(('Monthly Balance'!R7+'Monthly Balance'!S7)/2)/((('Monthly Balance'!Q7+'Monthly Balance'!R7)/2)+(('Monthly Balance'!R7+'Monthly Balance'!S7)/2)+(('Monthly Balance'!S7+'Monthly Balance'!T7)/2))</x:f>
        <x:v>537</x:v>
      </x:c>
      <x:c r="S7" s="39" t="n">
        <x:f>'Net Interest Income'!G7*(('Monthly Balance'!S7+'Monthly Balance'!T7)/2)/((('Monthly Balance'!Q7+'Monthly Balance'!R7)/2)+(('Monthly Balance'!R7+'Monthly Balance'!S7)/2)+(('Monthly Balance'!S7+'Monthly Balance'!T7)/2))</x:f>
        <x:v>535.774785769241</x:v>
      </x:c>
      <x:c r="T7" s="39" t="n">
        <x:f>'Net Interest Income'!H7*(('Monthly Balance'!T7+'Monthly Balance'!U7)/2)/((('Monthly Balance'!T7+'Monthly Balance'!U7)/2)+(('Monthly Balance'!U7+'Monthly Balance'!V7)/2)+(('Monthly Balance'!V7+'Monthly Balance'!W7)/2))</x:f>
        <x:v>558.7979312698538</x:v>
      </x:c>
      <x:c r="U7" s="39" t="n">
        <x:f>'Net Interest Income'!H7*(('Monthly Balance'!U7+'Monthly Balance'!V7)/2)/((('Monthly Balance'!T7+'Monthly Balance'!U7)/2)+(('Monthly Balance'!U7+'Monthly Balance'!V7)/2)+(('Monthly Balance'!V7+'Monthly Balance'!W7)/2))</x:f>
        <x:v>564</x:v>
      </x:c>
      <x:c r="V7" s="39" t="n">
        <x:f>'Net Interest Income'!H7*(('Monthly Balance'!V7+'Monthly Balance'!W7)/2)/((('Monthly Balance'!T7+'Monthly Balance'!U7)/2)+(('Monthly Balance'!U7+'Monthly Balance'!V7)/2)+(('Monthly Balance'!V7+'Monthly Balance'!W7)/2))</x:f>
        <x:v>569.2020687301462</x:v>
      </x:c>
      <x:c r="W7" s="39" t="n">
        <x:f>'Net Interest Income'!I7*(('Monthly Balance'!W7+'Monthly Balance'!X7)/2)/((('Monthly Balance'!W7+'Monthly Balance'!X7)/2)+(('Monthly Balance'!X7+'Monthly Balance'!Y7)/2)+(('Monthly Balance'!Y7+'Monthly Balance'!Z7)/2))</x:f>
        <x:v>581.6917717266671</x:v>
      </x:c>
      <x:c r="X7" s="39" t="n">
        <x:f>'Net Interest Income'!I7*(('Monthly Balance'!X7+'Monthly Balance'!Y7)/2)/((('Monthly Balance'!W7+'Monthly Balance'!X7)/2)+(('Monthly Balance'!X7+'Monthly Balance'!Y7)/2)+(('Monthly Balance'!Y7+'Monthly Balance'!Z7)/2))</x:f>
        <x:v>581.6666666666666</x:v>
      </x:c>
      <x:c r="Y7" s="39" t="n">
        <x:f>'Net Interest Income'!I7*(('Monthly Balance'!Y7+'Monthly Balance'!Z7)/2)/((('Monthly Balance'!W7+'Monthly Balance'!X7)/2)+(('Monthly Balance'!X7+'Monthly Balance'!Y7)/2)+(('Monthly Balance'!Y7+'Monthly Balance'!Z7)/2))</x:f>
        <x:v>581.6415616066662</x:v>
      </x:c>
      <x:c r="Z7" s="39" t="n">
        <x:f>'Net Interest Income'!J7*(('Monthly Balance'!Z7+'Monthly Balance'!AA7)/2)/((('Monthly Balance'!Z7+'Monthly Balance'!AA7)/2)+(('Monthly Balance'!AA7+'Monthly Balance'!AB7)/2)+(('Monthly Balance'!AB7+'Monthly Balance'!AC7)/2))</x:f>
        <x:v>584.7044342507645</x:v>
      </x:c>
      <x:c r="AA7" s="39" t="n">
        <x:f>'Net Interest Income'!J7*(('Monthly Balance'!AA7+'Monthly Balance'!AB7)/2)/((('Monthly Balance'!Z7+'Monthly Balance'!AA7)/2)+(('Monthly Balance'!AA7+'Monthly Balance'!AB7)/2)+(('Monthly Balance'!AB7+'Monthly Balance'!AC7)/2))</x:f>
        <x:v>591</x:v>
      </x:c>
      <x:c r="AB7" s="39" t="n">
        <x:f>'Net Interest Income'!J7*(('Monthly Balance'!AB7+'Monthly Balance'!AC7)/2)/((('Monthly Balance'!Z7+'Monthly Balance'!AA7)/2)+(('Monthly Balance'!AA7+'Monthly Balance'!AB7)/2)+(('Monthly Balance'!AB7+'Monthly Balance'!AC7)/2))</x:f>
        <x:v>597.2955657492355</x:v>
      </x:c>
      <x:c r="AC7" s="39" t="n">
        <x:f>'Net Interest Income'!K7*(('Monthly Balance'!AC7+'Monthly Balance'!AD7)/2)/((('Monthly Balance'!AC7+'Monthly Balance'!AD7)/2)+(('Monthly Balance'!AD7+'Monthly Balance'!AE7)/2)+(('Monthly Balance'!AE7+'Monthly Balance'!AF7)/2))</x:f>
        <x:v>618.469377336635</x:v>
      </x:c>
      <x:c r="AD7" s="39" t="n">
        <x:f>'Net Interest Income'!K7*(('Monthly Balance'!AD7+'Monthly Balance'!AE7)/2)/((('Monthly Balance'!AC7+'Monthly Balance'!AD7)/2)+(('Monthly Balance'!AD7+'Monthly Balance'!AE7)/2)+(('Monthly Balance'!AE7+'Monthly Balance'!AF7)/2))</x:f>
        <x:v>620.3333333333334</x:v>
      </x:c>
      <x:c r="AE7" s="39" t="n">
        <x:f>'Net Interest Income'!K7*(('Monthly Balance'!AE7+'Monthly Balance'!AF7)/2)/((('Monthly Balance'!AC7+'Monthly Balance'!AD7)/2)+(('Monthly Balance'!AD7+'Monthly Balance'!AE7)/2)+(('Monthly Balance'!AE7+'Monthly Balance'!AF7)/2))</x:f>
        <x:v>622.1972893300317</x:v>
      </x:c>
      <x:c r="AF7" s="39" t="n">
        <x:f>'Net Interest Income'!L7*(('Monthly Balance'!AF7+'Monthly Balance'!AG7)/2)/((('Monthly Balance'!AF7+'Monthly Balance'!AG7)/2)+(('Monthly Balance'!AG7+'Monthly Balance'!AH7)/2)+(('Monthly Balance'!AH7+'Monthly Balance'!AI7)/2))</x:f>
        <x:v>642.9434838082508</x:v>
      </x:c>
      <x:c r="AG7" s="39" t="n">
        <x:f>'Net Interest Income'!L7*(('Monthly Balance'!AG7+'Monthly Balance'!AH7)/2)/((('Monthly Balance'!AF7+'Monthly Balance'!AG7)/2)+(('Monthly Balance'!AG7+'Monthly Balance'!AH7)/2)+(('Monthly Balance'!AH7+'Monthly Balance'!AI7)/2))</x:f>
        <x:v>652.6666666666666</x:v>
      </x:c>
      <x:c r="AH7" s="39" t="n">
        <x:f>'Net Interest Income'!L7*(('Monthly Balance'!AH7+'Monthly Balance'!AI7)/2)/((('Monthly Balance'!AF7+'Monthly Balance'!AG7)/2)+(('Monthly Balance'!AG7+'Monthly Balance'!AH7)/2)+(('Monthly Balance'!AH7+'Monthly Balance'!AI7)/2))</x:f>
        <x:v>662.3898495250826</x:v>
      </x:c>
      <x:c r="AI7" s="39" t="n">
        <x:f>'Net Interest Income'!M7*(('Monthly Balance'!AI7+'Monthly Balance'!AJ7)/2)/((('Monthly Balance'!AI7+'Monthly Balance'!AJ7)/2)+(('Monthly Balance'!AJ7+'Monthly Balance'!AK7)/2)+(('Monthly Balance'!AK7+'Monthly Balance'!AL7)/2))</x:f>
        <x:v>671.443899393035</x:v>
      </x:c>
      <x:c r="AJ7" s="39" t="n">
        <x:f>'Net Interest Income'!M7*(('Monthly Balance'!AJ7+'Monthly Balance'!AK7)/2)/((('Monthly Balance'!AI7+'Monthly Balance'!AJ7)/2)+(('Monthly Balance'!AJ7+'Monthly Balance'!AK7)/2)+(('Monthly Balance'!AK7+'Monthly Balance'!AL7)/2))</x:f>
        <x:v>670.6666666666666</x:v>
      </x:c>
      <x:c r="AK7" s="39" t="n">
        <x:f>'Net Interest Income'!M7*(('Monthly Balance'!AK7+'Monthly Balance'!AL7)/2)/((('Monthly Balance'!AI7+'Monthly Balance'!AJ7)/2)+(('Monthly Balance'!AJ7+'Monthly Balance'!AK7)/2)+(('Monthly Balance'!AK7+'Monthly Balance'!AL7)/2))</x:f>
        <x:v>669.8894339402983</x:v>
      </x:c>
      <x:c r="AL7" s="39" t="n">
        <x:f>'Net Interest Income'!N7*(('Monthly Balance'!AL7+'Monthly Balance'!AM7)/2)/((('Monthly Balance'!AL7+'Monthly Balance'!AM7)/2)+(('Monthly Balance'!AM7+'Monthly Balance'!AN7)/2)+(('Monthly Balance'!AN7+'Monthly Balance'!AO7)/2))</x:f>
        <x:v>663.5961722215092</x:v>
      </x:c>
      <x:c r="AM7" s="39" t="n">
        <x:f>'Net Interest Income'!N7*(('Monthly Balance'!AM7+'Monthly Balance'!AN7)/2)/((('Monthly Balance'!AL7+'Monthly Balance'!AM7)/2)+(('Monthly Balance'!AM7+'Monthly Balance'!AN7)/2)+(('Monthly Balance'!AN7+'Monthly Balance'!AO7)/2))</x:f>
        <x:v>673.3333333333334</x:v>
      </x:c>
      <x:c r="AN7" s="39" t="n">
        <x:f>'Net Interest Income'!N7*(('Monthly Balance'!AN7+'Monthly Balance'!AO7)/2)/((('Monthly Balance'!AL7+'Monthly Balance'!AM7)/2)+(('Monthly Balance'!AM7+'Monthly Balance'!AN7)/2)+(('Monthly Balance'!AN7+'Monthly Balance'!AO7)/2))</x:f>
        <x:v>683.0704944451576</x:v>
      </x:c>
      <x:c r="AO7" s="39" t="n">
        <x:f>'Net Interest Income'!O7*(('Monthly Balance'!AO7+'Monthly Balance'!AP7)/2)/((('Monthly Balance'!AO7+'Monthly Balance'!AP7)/2)+(('Monthly Balance'!AP7+'Monthly Balance'!AQ7)/2)+(('Monthly Balance'!AQ7+'Monthly Balance'!AR7)/2))</x:f>
        <x:v>701.5568111262884</x:v>
      </x:c>
      <x:c r="AP7" s="39" t="n">
        <x:f>'Net Interest Income'!O7*(('Monthly Balance'!AP7+'Monthly Balance'!AQ7)/2)/((('Monthly Balance'!AO7+'Monthly Balance'!AP7)/2)+(('Monthly Balance'!AP7+'Monthly Balance'!AQ7)/2)+(('Monthly Balance'!AQ7+'Monthly Balance'!AR7)/2))</x:f>
        <x:v>707</x:v>
      </x:c>
      <x:c r="AQ7" s="39" t="n">
        <x:f>'Net Interest Income'!O7*(('Monthly Balance'!AQ7+'Monthly Balance'!AR7)/2)/((('Monthly Balance'!AO7+'Monthly Balance'!AP7)/2)+(('Monthly Balance'!AP7+'Monthly Balance'!AQ7)/2)+(('Monthly Balance'!AQ7+'Monthly Balance'!AR7)/2))</x:f>
        <x:v>712.4431888737116</x:v>
      </x:c>
    </x:row>
    <x:row r="8">
      <x:c r="A8" s="20" t="str">
        <x:v>  Commercial banking</x:v>
      </x:c>
      <x:c r="B8" s="39" t="n">
        <x:f>'Net Interest Income'!B8*(('Monthly Balance'!B8+'Monthly Balance'!C8)/2)/((('Monthly Balance'!B8+'Monthly Balance'!C8)/2)+(('Monthly Balance'!C8+'Monthly Balance'!D8)/2)+(('Monthly Balance'!D8+'Monthly Balance'!E8)/2))</x:f>
        <x:v>496</x:v>
      </x:c>
      <x:c r="C8" s="39" t="n">
        <x:f>'Net Interest Income'!B8*(('Monthly Balance'!C8+'Monthly Balance'!D8)/2)/((('Monthly Balance'!B8+'Monthly Balance'!C8)/2)+(('Monthly Balance'!C8+'Monthly Balance'!D8)/2)+(('Monthly Balance'!D8+'Monthly Balance'!E8)/2))</x:f>
        <x:v>496</x:v>
      </x:c>
      <x:c r="D8" s="39" t="n">
        <x:f>'Net Interest Income'!B8*(('Monthly Balance'!D8+'Monthly Balance'!E8)/2)/((('Monthly Balance'!B8+'Monthly Balance'!C8)/2)+(('Monthly Balance'!C8+'Monthly Balance'!D8)/2)+(('Monthly Balance'!D8+'Monthly Balance'!E8)/2))</x:f>
        <x:v>496</x:v>
      </x:c>
      <x:c r="E8" s="39" t="n">
        <x:f>'Net Interest Income'!C8*(('Monthly Balance'!E8+'Monthly Balance'!F8)/2)/((('Monthly Balance'!E8+'Monthly Balance'!F8)/2)+(('Monthly Balance'!F8+'Monthly Balance'!G8)/2)+(('Monthly Balance'!G8+'Monthly Balance'!H8)/2))</x:f>
        <x:v>528.8060828581101</x:v>
      </x:c>
      <x:c r="F8" s="39" t="n">
        <x:f>'Net Interest Income'!C8*(('Monthly Balance'!F8+'Monthly Balance'!G8)/2)/((('Monthly Balance'!E8+'Monthly Balance'!F8)/2)+(('Monthly Balance'!F8+'Monthly Balance'!G8)/2)+(('Monthly Balance'!G8+'Monthly Balance'!H8)/2))</x:f>
        <x:v>526.6666666666666</x:v>
      </x:c>
      <x:c r="G8" s="39" t="n">
        <x:f>'Net Interest Income'!C8*(('Monthly Balance'!G8+'Monthly Balance'!H8)/2)/((('Monthly Balance'!E8+'Monthly Balance'!F8)/2)+(('Monthly Balance'!F8+'Monthly Balance'!G8)/2)+(('Monthly Balance'!G8+'Monthly Balance'!H8)/2))</x:f>
        <x:v>524.5272504752232</x:v>
      </x:c>
      <x:c r="H8" s="39" t="n">
        <x:f>'Net Interest Income'!D8*(('Monthly Balance'!H8+'Monthly Balance'!I8)/2)/((('Monthly Balance'!H8+'Monthly Balance'!I8)/2)+(('Monthly Balance'!I8+'Monthly Balance'!J8)/2)+(('Monthly Balance'!J8+'Monthly Balance'!K8)/2))</x:f>
        <x:v>551.4784495944771</x:v>
      </x:c>
      <x:c r="I8" s="39" t="n">
        <x:f>'Net Interest Income'!D8*(('Monthly Balance'!I8+'Monthly Balance'!J8)/2)/((('Monthly Balance'!H8+'Monthly Balance'!I8)/2)+(('Monthly Balance'!I8+'Monthly Balance'!J8)/2)+(('Monthly Balance'!J8+'Monthly Balance'!K8)/2))</x:f>
        <x:v>547.3333333333334</x:v>
      </x:c>
      <x:c r="J8" s="39" t="n">
        <x:f>'Net Interest Income'!D8*(('Monthly Balance'!J8+'Monthly Balance'!K8)/2)/((('Monthly Balance'!H8+'Monthly Balance'!I8)/2)+(('Monthly Balance'!I8+'Monthly Balance'!J8)/2)+(('Monthly Balance'!J8+'Monthly Balance'!K8)/2))</x:f>
        <x:v>543.1882170721897</x:v>
      </x:c>
      <x:c r="K8" s="39" t="n">
        <x:f>'Net Interest Income'!E8*(('Monthly Balance'!K8+'Monthly Balance'!L8)/2)/((('Monthly Balance'!K8+'Monthly Balance'!L8)/2)+(('Monthly Balance'!L8+'Monthly Balance'!M8)/2)+(('Monthly Balance'!M8+'Monthly Balance'!N8)/2))</x:f>
        <x:v>550.2804873155695</x:v>
      </x:c>
      <x:c r="L8" s="39" t="n">
        <x:f>'Net Interest Income'!E8*(('Monthly Balance'!L8+'Monthly Balance'!M8)/2)/((('Monthly Balance'!K8+'Monthly Balance'!L8)/2)+(('Monthly Balance'!L8+'Monthly Balance'!M8)/2)+(('Monthly Balance'!M8+'Monthly Balance'!N8)/2))</x:f>
        <x:v>551</x:v>
      </x:c>
      <x:c r="M8" s="39" t="n">
        <x:f>'Net Interest Income'!E8*(('Monthly Balance'!M8+'Monthly Balance'!N8)/2)/((('Monthly Balance'!K8+'Monthly Balance'!L8)/2)+(('Monthly Balance'!L8+'Monthly Balance'!M8)/2)+(('Monthly Balance'!M8+'Monthly Balance'!N8)/2))</x:f>
        <x:v>551.7195126844305</x:v>
      </x:c>
      <x:c r="N8" s="39" t="n">
        <x:f>'Net Interest Income'!F8*(('Monthly Balance'!N8+'Monthly Balance'!O8)/2)/((('Monthly Balance'!N8+'Monthly Balance'!O8)/2)+(('Monthly Balance'!O8+'Monthly Balance'!P8)/2)+(('Monthly Balance'!P8+'Monthly Balance'!Q8)/2))</x:f>
        <x:v>541.8535500431921</x:v>
      </x:c>
      <x:c r="O8" s="39" t="n">
        <x:f>'Net Interest Income'!F8*(('Monthly Balance'!O8+'Monthly Balance'!P8)/2)/((('Monthly Balance'!N8+'Monthly Balance'!O8)/2)+(('Monthly Balance'!O8+'Monthly Balance'!P8)/2)+(('Monthly Balance'!P8+'Monthly Balance'!Q8)/2))</x:f>
        <x:v>537.3333333333334</x:v>
      </x:c>
      <x:c r="P8" s="39" t="n">
        <x:f>'Net Interest Income'!F8*(('Monthly Balance'!P8+'Monthly Balance'!Q8)/2)/((('Monthly Balance'!N8+'Monthly Balance'!O8)/2)+(('Monthly Balance'!O8+'Monthly Balance'!P8)/2)+(('Monthly Balance'!P8+'Monthly Balance'!Q8)/2))</x:f>
        <x:v>532.8131166234747</x:v>
      </x:c>
      <x:c r="Q8" s="39" t="n">
        <x:f>'Net Interest Income'!G8*(('Monthly Balance'!Q8+'Monthly Balance'!R8)/2)/((('Monthly Balance'!Q8+'Monthly Balance'!R8)/2)+(('Monthly Balance'!R8+'Monthly Balance'!S8)/2)+(('Monthly Balance'!S8+'Monthly Balance'!T8)/2))</x:f>
        <x:v>537.507998000345</x:v>
      </x:c>
      <x:c r="R8" s="39" t="n">
        <x:f>'Net Interest Income'!G8*(('Monthly Balance'!R8+'Monthly Balance'!S8)/2)/((('Monthly Balance'!Q8+'Monthly Balance'!R8)/2)+(('Monthly Balance'!R8+'Monthly Balance'!S8)/2)+(('Monthly Balance'!S8+'Monthly Balance'!T8)/2))</x:f>
        <x:v>538.6666666666666</x:v>
      </x:c>
      <x:c r="S8" s="39" t="n">
        <x:f>'Net Interest Income'!G8*(('Monthly Balance'!S8+'Monthly Balance'!T8)/2)/((('Monthly Balance'!Q8+'Monthly Balance'!R8)/2)+(('Monthly Balance'!R8+'Monthly Balance'!S8)/2)+(('Monthly Balance'!S8+'Monthly Balance'!T8)/2))</x:f>
        <x:v>539.8253353329884</x:v>
      </x:c>
      <x:c r="T8" s="39" t="n">
        <x:f>'Net Interest Income'!H8*(('Monthly Balance'!T8+'Monthly Balance'!U8)/2)/((('Monthly Balance'!T8+'Monthly Balance'!U8)/2)+(('Monthly Balance'!U8+'Monthly Balance'!V8)/2)+(('Monthly Balance'!V8+'Monthly Balance'!W8)/2))</x:f>
        <x:v>539.6531280921649</x:v>
      </x:c>
      <x:c r="U8" s="39" t="n">
        <x:f>'Net Interest Income'!H8*(('Monthly Balance'!U8+'Monthly Balance'!V8)/2)/((('Monthly Balance'!T8+'Monthly Balance'!U8)/2)+(('Monthly Balance'!U8+'Monthly Balance'!V8)/2)+(('Monthly Balance'!V8+'Monthly Balance'!W8)/2))</x:f>
        <x:v>533.6666666666666</x:v>
      </x:c>
      <x:c r="V8" s="39" t="n">
        <x:f>'Net Interest Income'!H8*(('Monthly Balance'!V8+'Monthly Balance'!W8)/2)/((('Monthly Balance'!T8+'Monthly Balance'!U8)/2)+(('Monthly Balance'!U8+'Monthly Balance'!V8)/2)+(('Monthly Balance'!V8+'Monthly Balance'!W8)/2))</x:f>
        <x:v>527.6802052411683</x:v>
      </x:c>
      <x:c r="W8" s="39" t="n">
        <x:f>'Net Interest Income'!I8*(('Monthly Balance'!W8+'Monthly Balance'!X8)/2)/((('Monthly Balance'!W8+'Monthly Balance'!X8)/2)+(('Monthly Balance'!X8+'Monthly Balance'!Y8)/2)+(('Monthly Balance'!Y8+'Monthly Balance'!Z8)/2))</x:f>
        <x:v>487.7340389938255</x:v>
      </x:c>
      <x:c r="X8" s="39" t="n">
        <x:f>'Net Interest Income'!I8*(('Monthly Balance'!X8+'Monthly Balance'!Y8)/2)/((('Monthly Balance'!W8+'Monthly Balance'!X8)/2)+(('Monthly Balance'!X8+'Monthly Balance'!Y8)/2)+(('Monthly Balance'!Y8+'Monthly Balance'!Z8)/2))</x:f>
        <x:v>490.6666666666667</x:v>
      </x:c>
      <x:c r="Y8" s="39" t="n">
        <x:f>'Net Interest Income'!I8*(('Monthly Balance'!Y8+'Monthly Balance'!Z8)/2)/((('Monthly Balance'!W8+'Monthly Balance'!X8)/2)+(('Monthly Balance'!X8+'Monthly Balance'!Y8)/2)+(('Monthly Balance'!Y8+'Monthly Balance'!Z8)/2))</x:f>
        <x:v>493.5992943395079</x:v>
      </x:c>
      <x:c r="Z8" s="39" t="n">
        <x:f>'Net Interest Income'!J8*(('Monthly Balance'!Z8+'Monthly Balance'!AA8)/2)/((('Monthly Balance'!Z8+'Monthly Balance'!AA8)/2)+(('Monthly Balance'!AA8+'Monthly Balance'!AB8)/2)+(('Monthly Balance'!AB8+'Monthly Balance'!AC8)/2))</x:f>
        <x:v>462.6725127567146</x:v>
      </x:c>
      <x:c r="AA8" s="39" t="n">
        <x:f>'Net Interest Income'!J8*(('Monthly Balance'!AA8+'Monthly Balance'!AB8)/2)/((('Monthly Balance'!Z8+'Monthly Balance'!AA8)/2)+(('Monthly Balance'!AA8+'Monthly Balance'!AB8)/2)+(('Monthly Balance'!AB8+'Monthly Balance'!AC8)/2))</x:f>
        <x:v>460.6666666666667</x:v>
      </x:c>
      <x:c r="AB8" s="39" t="n">
        <x:f>'Net Interest Income'!J8*(('Monthly Balance'!AB8+'Monthly Balance'!AC8)/2)/((('Monthly Balance'!Z8+'Monthly Balance'!AA8)/2)+(('Monthly Balance'!AA8+'Monthly Balance'!AB8)/2)+(('Monthly Balance'!AB8+'Monthly Balance'!AC8)/2))</x:f>
        <x:v>458.66082057661873</x:v>
      </x:c>
      <x:c r="AC8" s="39" t="n">
        <x:f>'Net Interest Income'!K8*(('Monthly Balance'!AC8+'Monthly Balance'!AD8)/2)/((('Monthly Balance'!AC8+'Monthly Balance'!AD8)/2)+(('Monthly Balance'!AD8+'Monthly Balance'!AE8)/2)+(('Monthly Balance'!AE8+'Monthly Balance'!AF8)/2))</x:f>
        <x:v>468.54656140100474</x:v>
      </x:c>
      <x:c r="AD8" s="39" t="n">
        <x:f>'Net Interest Income'!K8*(('Monthly Balance'!AD8+'Monthly Balance'!AE8)/2)/((('Monthly Balance'!AC8+'Monthly Balance'!AD8)/2)+(('Monthly Balance'!AD8+'Monthly Balance'!AE8)/2)+(('Monthly Balance'!AE8+'Monthly Balance'!AF8)/2))</x:f>
        <x:v>473.6666666666667</x:v>
      </x:c>
      <x:c r="AE8" s="39" t="n">
        <x:f>'Net Interest Income'!K8*(('Monthly Balance'!AE8+'Monthly Balance'!AF8)/2)/((('Monthly Balance'!AC8+'Monthly Balance'!AD8)/2)+(('Monthly Balance'!AD8+'Monthly Balance'!AE8)/2)+(('Monthly Balance'!AE8+'Monthly Balance'!AF8)/2))</x:f>
        <x:v>478.7867719323286</x:v>
      </x:c>
      <x:c r="AF8" s="39" t="n">
        <x:f>'Net Interest Income'!L8*(('Monthly Balance'!AF8+'Monthly Balance'!AG8)/2)/((('Monthly Balance'!AF8+'Monthly Balance'!AG8)/2)+(('Monthly Balance'!AG8+'Monthly Balance'!AH8)/2)+(('Monthly Balance'!AH8+'Monthly Balance'!AI8)/2))</x:f>
        <x:v>479.91001529739947</x:v>
      </x:c>
      <x:c r="AG8" s="39" t="n">
        <x:f>'Net Interest Income'!L8*(('Monthly Balance'!AG8+'Monthly Balance'!AH8)/2)/((('Monthly Balance'!AF8+'Monthly Balance'!AG8)/2)+(('Monthly Balance'!AG8+'Monthly Balance'!AH8)/2)+(('Monthly Balance'!AH8+'Monthly Balance'!AI8)/2))</x:f>
        <x:v>475.3333333333333</x:v>
      </x:c>
      <x:c r="AH8" s="39" t="n">
        <x:f>'Net Interest Income'!L8*(('Monthly Balance'!AH8+'Monthly Balance'!AI8)/2)/((('Monthly Balance'!AF8+'Monthly Balance'!AG8)/2)+(('Monthly Balance'!AG8+'Monthly Balance'!AH8)/2)+(('Monthly Balance'!AH8+'Monthly Balance'!AI8)/2))</x:f>
        <x:v>470.7566513692672</x:v>
      </x:c>
      <x:c r="AI8" s="39" t="n">
        <x:f>'Net Interest Income'!M8*(('Monthly Balance'!AI8+'Monthly Balance'!AJ8)/2)/((('Monthly Balance'!AI8+'Monthly Balance'!AJ8)/2)+(('Monthly Balance'!AJ8+'Monthly Balance'!AK8)/2)+(('Monthly Balance'!AK8+'Monthly Balance'!AL8)/2))</x:f>
        <x:v>446.6890304063145</x:v>
      </x:c>
      <x:c r="AJ8" s="39" t="n">
        <x:f>'Net Interest Income'!M8*(('Monthly Balance'!AJ8+'Monthly Balance'!AK8)/2)/((('Monthly Balance'!AI8+'Monthly Balance'!AJ8)/2)+(('Monthly Balance'!AJ8+'Monthly Balance'!AK8)/2)+(('Monthly Balance'!AK8+'Monthly Balance'!AL8)/2))</x:f>
        <x:v>452</x:v>
      </x:c>
      <x:c r="AK8" s="39" t="n">
        <x:f>'Net Interest Income'!M8*(('Monthly Balance'!AK8+'Monthly Balance'!AL8)/2)/((('Monthly Balance'!AI8+'Monthly Balance'!AJ8)/2)+(('Monthly Balance'!AJ8+'Monthly Balance'!AK8)/2)+(('Monthly Balance'!AK8+'Monthly Balance'!AL8)/2))</x:f>
        <x:v>457.3109695936855</x:v>
      </x:c>
      <x:c r="AL8" s="39" t="n">
        <x:f>'Net Interest Income'!N8*(('Monthly Balance'!AL8+'Monthly Balance'!AM8)/2)/((('Monthly Balance'!AL8+'Monthly Balance'!AM8)/2)+(('Monthly Balance'!AM8+'Monthly Balance'!AN8)/2)+(('Monthly Balance'!AN8+'Monthly Balance'!AO8)/2))</x:f>
        <x:v>428.2073192396517</x:v>
      </x:c>
      <x:c r="AM8" s="39" t="n">
        <x:f>'Net Interest Income'!N8*(('Monthly Balance'!AM8+'Monthly Balance'!AN8)/2)/((('Monthly Balance'!AL8+'Monthly Balance'!AM8)/2)+(('Monthly Balance'!AM8+'Monthly Balance'!AN8)/2)+(('Monthly Balance'!AN8+'Monthly Balance'!AO8)/2))</x:f>
        <x:v>426</x:v>
      </x:c>
      <x:c r="AN8" s="39" t="n">
        <x:f>'Net Interest Income'!N8*(('Monthly Balance'!AN8+'Monthly Balance'!AO8)/2)/((('Monthly Balance'!AL8+'Monthly Balance'!AM8)/2)+(('Monthly Balance'!AM8+'Monthly Balance'!AN8)/2)+(('Monthly Balance'!AN8+'Monthly Balance'!AO8)/2))</x:f>
        <x:v>423.7926807603483</x:v>
      </x:c>
      <x:c r="AO8" s="39" t="n">
        <x:f>'Net Interest Income'!O8*(('Monthly Balance'!AO8+'Monthly Balance'!AP8)/2)/((('Monthly Balance'!AO8+'Monthly Balance'!AP8)/2)+(('Monthly Balance'!AP8+'Monthly Balance'!AQ8)/2)+(('Monthly Balance'!AQ8+'Monthly Balance'!AR8)/2))</x:f>
        <x:v>430.5174092209949</x:v>
      </x:c>
      <x:c r="AP8" s="39" t="n">
        <x:f>'Net Interest Income'!O8*(('Monthly Balance'!AP8+'Monthly Balance'!AQ8)/2)/((('Monthly Balance'!AO8+'Monthly Balance'!AP8)/2)+(('Monthly Balance'!AP8+'Monthly Balance'!AQ8)/2)+(('Monthly Balance'!AQ8+'Monthly Balance'!AR8)/2))</x:f>
        <x:v>436</x:v>
      </x:c>
      <x:c r="AQ8" s="39" t="n">
        <x:f>'Net Interest Income'!O8*(('Monthly Balance'!AQ8+'Monthly Balance'!AR8)/2)/((('Monthly Balance'!AO8+'Monthly Balance'!AP8)/2)+(('Monthly Balance'!AP8+'Monthly Balance'!AQ8)/2)+(('Monthly Balance'!AQ8+'Monthly Balance'!AR8)/2))</x:f>
        <x:v>441.4825907790051</x:v>
      </x:c>
    </x:row>
    <x:row r="9">
      <x:c r="A9" s="26" t="str">
        <x:v>  Total loans (incl. HFS)</x:v>
      </x:c>
      <x:c r="B9" s="42" t="n">
        <x:f>'Net Interest Income'!B9*(('Monthly Balance'!B9+'Monthly Balance'!C9)/2)/((('Monthly Balance'!B9+'Monthly Balance'!C9)/2)+(('Monthly Balance'!C9+'Monthly Balance'!D9)/2)+(('Monthly Balance'!D9+'Monthly Balance'!E9)/2))</x:f>
        <x:v>2907.6666666666665</x:v>
      </x:c>
      <x:c r="C9" s="42" t="n">
        <x:f>'Net Interest Income'!B9*(('Monthly Balance'!C9+'Monthly Balance'!D9)/2)/((('Monthly Balance'!B9+'Monthly Balance'!C9)/2)+(('Monthly Balance'!C9+'Monthly Balance'!D9)/2)+(('Monthly Balance'!D9+'Monthly Balance'!E9)/2))</x:f>
        <x:v>2907.6666666666665</x:v>
      </x:c>
      <x:c r="D9" s="42" t="n">
        <x:f>'Net Interest Income'!B9*(('Monthly Balance'!D9+'Monthly Balance'!E9)/2)/((('Monthly Balance'!B9+'Monthly Balance'!C9)/2)+(('Monthly Balance'!C9+'Monthly Balance'!D9)/2)+(('Monthly Balance'!D9+'Monthly Balance'!E9)/2))</x:f>
        <x:v>2907.6666666666665</x:v>
      </x:c>
      <x:c r="E9" s="42" t="n">
        <x:f>'Net Interest Income'!C9*(('Monthly Balance'!E9+'Monthly Balance'!F9)/2)/((('Monthly Balance'!E9+'Monthly Balance'!F9)/2)+(('Monthly Balance'!F9+'Monthly Balance'!G9)/2)+(('Monthly Balance'!G9+'Monthly Balance'!H9)/2))</x:f>
        <x:v>3004.6022685162807</x:v>
      </x:c>
      <x:c r="F9" s="42" t="n">
        <x:f>'Net Interest Income'!C9*(('Monthly Balance'!F9+'Monthly Balance'!G9)/2)/((('Monthly Balance'!E9+'Monthly Balance'!F9)/2)+(('Monthly Balance'!F9+'Monthly Balance'!G9)/2)+(('Monthly Balance'!G9+'Monthly Balance'!H9)/2))</x:f>
        <x:v>3019</x:v>
      </x:c>
      <x:c r="G9" s="42" t="n">
        <x:f>'Net Interest Income'!C9*(('Monthly Balance'!G9+'Monthly Balance'!H9)/2)/((('Monthly Balance'!E9+'Monthly Balance'!F9)/2)+(('Monthly Balance'!F9+'Monthly Balance'!G9)/2)+(('Monthly Balance'!G9+'Monthly Balance'!H9)/2))</x:f>
        <x:v>3033.3977314837193</x:v>
      </x:c>
      <x:c r="H9" s="42" t="n">
        <x:f>'Net Interest Income'!D9*(('Monthly Balance'!H9+'Monthly Balance'!I9)/2)/((('Monthly Balance'!H9+'Monthly Balance'!I9)/2)+(('Monthly Balance'!I9+'Monthly Balance'!J9)/2)+(('Monthly Balance'!J9+'Monthly Balance'!K9)/2))</x:f>
        <x:v>3225.77234169482</x:v>
      </x:c>
      <x:c r="I9" s="42" t="n">
        <x:f>'Net Interest Income'!D9*(('Monthly Balance'!I9+'Monthly Balance'!J9)/2)/((('Monthly Balance'!H9+'Monthly Balance'!I9)/2)+(('Monthly Balance'!I9+'Monthly Balance'!J9)/2)+(('Monthly Balance'!J9+'Monthly Balance'!K9)/2))</x:f>
        <x:v>3232</x:v>
      </x:c>
      <x:c r="J9" s="42" t="n">
        <x:f>'Net Interest Income'!D9*(('Monthly Balance'!J9+'Monthly Balance'!K9)/2)/((('Monthly Balance'!H9+'Monthly Balance'!I9)/2)+(('Monthly Balance'!I9+'Monthly Balance'!J9)/2)+(('Monthly Balance'!J9+'Monthly Balance'!K9)/2))</x:f>
        <x:v>3238.22765830518</x:v>
      </x:c>
      <x:c r="K9" s="42" t="n">
        <x:f>'Net Interest Income'!E9*(('Monthly Balance'!K9+'Monthly Balance'!L9)/2)/((('Monthly Balance'!K9+'Monthly Balance'!L9)/2)+(('Monthly Balance'!L9+'Monthly Balance'!M9)/2)+(('Monthly Balance'!M9+'Monthly Balance'!N9)/2))</x:f>
        <x:v>3294.9258776301185</x:v>
      </x:c>
      <x:c r="L9" s="42" t="n">
        <x:f>'Net Interest Income'!E9*(('Monthly Balance'!L9+'Monthly Balance'!M9)/2)/((('Monthly Balance'!K9+'Monthly Balance'!L9)/2)+(('Monthly Balance'!L9+'Monthly Balance'!M9)/2)+(('Monthly Balance'!M9+'Monthly Balance'!N9)/2))</x:f>
        <x:v>3311.3333333333335</x:v>
      </x:c>
      <x:c r="M9" s="42" t="n">
        <x:f>'Net Interest Income'!E9*(('Monthly Balance'!M9+'Monthly Balance'!N9)/2)/((('Monthly Balance'!K9+'Monthly Balance'!L9)/2)+(('Monthly Balance'!L9+'Monthly Balance'!M9)/2)+(('Monthly Balance'!M9+'Monthly Balance'!N9)/2))</x:f>
        <x:v>3327.740789036548</x:v>
      </x:c>
      <x:c r="N9" s="42" t="n">
        <x:f>'Net Interest Income'!F9*(('Monthly Balance'!N9+'Monthly Balance'!O9)/2)/((('Monthly Balance'!N9+'Monthly Balance'!O9)/2)+(('Monthly Balance'!O9+'Monthly Balance'!P9)/2)+(('Monthly Balance'!P9+'Monthly Balance'!Q9)/2))</x:f>
        <x:v>3331.200623083892</x:v>
      </x:c>
      <x:c r="O9" s="42" t="n">
        <x:f>'Net Interest Income'!F9*(('Monthly Balance'!O9+'Monthly Balance'!P9)/2)/((('Monthly Balance'!N9+'Monthly Balance'!O9)/2)+(('Monthly Balance'!O9+'Monthly Balance'!P9)/2)+(('Monthly Balance'!P9+'Monthly Balance'!Q9)/2))</x:f>
        <x:v>3306.6666666666665</x:v>
      </x:c>
      <x:c r="P9" s="42" t="n">
        <x:f>'Net Interest Income'!F9*(('Monthly Balance'!P9+'Monthly Balance'!Q9)/2)/((('Monthly Balance'!N9+'Monthly Balance'!O9)/2)+(('Monthly Balance'!O9+'Monthly Balance'!P9)/2)+(('Monthly Balance'!P9+'Monthly Balance'!Q9)/2))</x:f>
        <x:v>3282.1327102494415</x:v>
      </x:c>
      <x:c r="Q9" s="42" t="n">
        <x:f>'Net Interest Income'!G9*(('Monthly Balance'!Q9+'Monthly Balance'!R9)/2)/((('Monthly Balance'!Q9+'Monthly Balance'!R9)/2)+(('Monthly Balance'!R9+'Monthly Balance'!S9)/2)+(('Monthly Balance'!S9+'Monthly Balance'!T9)/2))</x:f>
        <x:v>3304.4776926738505</x:v>
      </x:c>
      <x:c r="R9" s="42" t="n">
        <x:f>'Net Interest Income'!G9*(('Monthly Balance'!R9+'Monthly Balance'!S9)/2)/((('Monthly Balance'!Q9+'Monthly Balance'!R9)/2)+(('Monthly Balance'!R9+'Monthly Balance'!S9)/2)+(('Monthly Balance'!S9+'Monthly Balance'!T9)/2))</x:f>
        <x:v>3331</x:v>
      </x:c>
      <x:c r="S9" s="42" t="n">
        <x:f>'Net Interest Income'!G9*(('Monthly Balance'!S9+'Monthly Balance'!T9)/2)/((('Monthly Balance'!Q9+'Monthly Balance'!R9)/2)+(('Monthly Balance'!R9+'Monthly Balance'!S9)/2)+(('Monthly Balance'!S9+'Monthly Balance'!T9)/2))</x:f>
        <x:v>3357.5223073261495</x:v>
      </x:c>
      <x:c r="T9" s="42" t="n">
        <x:f>'Net Interest Income'!H9*(('Monthly Balance'!T9+'Monthly Balance'!U9)/2)/((('Monthly Balance'!T9+'Monthly Balance'!U9)/2)+(('Monthly Balance'!U9+'Monthly Balance'!V9)/2)+(('Monthly Balance'!V9+'Monthly Balance'!W9)/2))</x:f>
        <x:v>3522.1380421728227</x:v>
      </x:c>
      <x:c r="U9" s="42" t="n">
        <x:f>'Net Interest Income'!H9*(('Monthly Balance'!U9+'Monthly Balance'!V9)/2)/((('Monthly Balance'!T9+'Monthly Balance'!U9)/2)+(('Monthly Balance'!U9+'Monthly Balance'!V9)/2)+(('Monthly Balance'!V9+'Monthly Balance'!W9)/2))</x:f>
        <x:v>3515.6666666666665</x:v>
      </x:c>
      <x:c r="V9" s="42" t="n">
        <x:f>'Net Interest Income'!H9*(('Monthly Balance'!V9+'Monthly Balance'!W9)/2)/((('Monthly Balance'!T9+'Monthly Balance'!U9)/2)+(('Monthly Balance'!U9+'Monthly Balance'!V9)/2)+(('Monthly Balance'!V9+'Monthly Balance'!W9)/2))</x:f>
        <x:v>3509.195291160511</x:v>
      </x:c>
      <x:c r="W9" s="42" t="n">
        <x:f>'Net Interest Income'!I9*(('Monthly Balance'!W9+'Monthly Balance'!X9)/2)/((('Monthly Balance'!W9+'Monthly Balance'!X9)/2)+(('Monthly Balance'!X9+'Monthly Balance'!Y9)/2)+(('Monthly Balance'!Y9+'Monthly Balance'!Z9)/2))</x:f>
        <x:v>3446.1407546010555</x:v>
      </x:c>
      <x:c r="X9" s="42" t="n">
        <x:f>'Net Interest Income'!I9*(('Monthly Balance'!X9+'Monthly Balance'!Y9)/2)/((('Monthly Balance'!W9+'Monthly Balance'!X9)/2)+(('Monthly Balance'!X9+'Monthly Balance'!Y9)/2)+(('Monthly Balance'!Y9+'Monthly Balance'!Z9)/2))</x:f>
        <x:v>3478</x:v>
      </x:c>
      <x:c r="Y9" s="42" t="n">
        <x:f>'Net Interest Income'!I9*(('Monthly Balance'!Y9+'Monthly Balance'!Z9)/2)/((('Monthly Balance'!W9+'Monthly Balance'!X9)/2)+(('Monthly Balance'!X9+'Monthly Balance'!Y9)/2)+(('Monthly Balance'!Y9+'Monthly Balance'!Z9)/2))</x:f>
        <x:v>3509.8592453989445</x:v>
      </x:c>
      <x:c r="Z9" s="42" t="n">
        <x:f>'Net Interest Income'!J9*(('Monthly Balance'!Z9+'Monthly Balance'!AA9)/2)/((('Monthly Balance'!Z9+'Monthly Balance'!AA9)/2)+(('Monthly Balance'!AA9+'Monthly Balance'!AB9)/2)+(('Monthly Balance'!AB9+'Monthly Balance'!AC9)/2))</x:f>
        <x:v>3413.0718271032733</x:v>
      </x:c>
      <x:c r="AA9" s="42" t="n">
        <x:f>'Net Interest Income'!J9*(('Monthly Balance'!AA9+'Monthly Balance'!AB9)/2)/((('Monthly Balance'!Z9+'Monthly Balance'!AA9)/2)+(('Monthly Balance'!AA9+'Monthly Balance'!AB9)/2)+(('Monthly Balance'!AB9+'Monthly Balance'!AC9)/2))</x:f>
        <x:v>3385.6666666666665</x:v>
      </x:c>
      <x:c r="AB9" s="42" t="n">
        <x:f>'Net Interest Income'!J9*(('Monthly Balance'!AB9+'Monthly Balance'!AC9)/2)/((('Monthly Balance'!Z9+'Monthly Balance'!AA9)/2)+(('Monthly Balance'!AA9+'Monthly Balance'!AB9)/2)+(('Monthly Balance'!AB9+'Monthly Balance'!AC9)/2))</x:f>
        <x:v>3358.26150623006</x:v>
      </x:c>
      <x:c r="AC9" s="42" t="n">
        <x:f>'Net Interest Income'!K9*(('Monthly Balance'!AC9+'Monthly Balance'!AD9)/2)/((('Monthly Balance'!AC9+'Monthly Balance'!AD9)/2)+(('Monthly Balance'!AD9+'Monthly Balance'!AE9)/2)+(('Monthly Balance'!AE9+'Monthly Balance'!AF9)/2))</x:f>
        <x:v>3713.4808506903623</x:v>
      </x:c>
      <x:c r="AD9" s="42" t="n">
        <x:f>'Net Interest Income'!K9*(('Monthly Balance'!AD9+'Monthly Balance'!AE9)/2)/((('Monthly Balance'!AC9+'Monthly Balance'!AD9)/2)+(('Monthly Balance'!AD9+'Monthly Balance'!AE9)/2)+(('Monthly Balance'!AE9+'Monthly Balance'!AF9)/2))</x:f>
        <x:v>4149.666666666667</x:v>
      </x:c>
      <x:c r="AE9" s="42" t="n">
        <x:f>'Net Interest Income'!K9*(('Monthly Balance'!AE9+'Monthly Balance'!AF9)/2)/((('Monthly Balance'!AC9+'Monthly Balance'!AD9)/2)+(('Monthly Balance'!AD9+'Monthly Balance'!AE9)/2)+(('Monthly Balance'!AE9+'Monthly Balance'!AF9)/2))</x:f>
        <x:v>4585.852482642971</x:v>
      </x:c>
      <x:c r="AF9" s="42" t="n">
        <x:f>'Net Interest Income'!L9*(('Monthly Balance'!AF9+'Monthly Balance'!AG9)/2)/((('Monthly Balance'!AF9+'Monthly Balance'!AG9)/2)+(('Monthly Balance'!AG9+'Monthly Balance'!AH9)/2)+(('Monthly Balance'!AH9+'Monthly Balance'!AI9)/2))</x:f>
        <x:v>5059.7877824051575</x:v>
      </x:c>
      <x:c r="AG9" s="42" t="n">
        <x:f>'Net Interest Income'!L9*(('Monthly Balance'!AG9+'Monthly Balance'!AH9)/2)/((('Monthly Balance'!AF9+'Monthly Balance'!AG9)/2)+(('Monthly Balance'!AG9+'Monthly Balance'!AH9)/2)+(('Monthly Balance'!AH9+'Monthly Balance'!AI9)/2))</x:f>
        <x:v>5076.333333333333</x:v>
      </x:c>
      <x:c r="AH9" s="42" t="n">
        <x:f>'Net Interest Income'!L9*(('Monthly Balance'!AH9+'Monthly Balance'!AI9)/2)/((('Monthly Balance'!AF9+'Monthly Balance'!AG9)/2)+(('Monthly Balance'!AG9+'Monthly Balance'!AH9)/2)+(('Monthly Balance'!AH9+'Monthly Balance'!AI9)/2))</x:f>
        <x:v>5092.8788842615095</x:v>
      </x:c>
      <x:c r="AI9" s="42" t="n">
        <x:f>'Net Interest Income'!M9*(('Monthly Balance'!AI9+'Monthly Balance'!AJ9)/2)/((('Monthly Balance'!AI9+'Monthly Balance'!AJ9)/2)+(('Monthly Balance'!AJ9+'Monthly Balance'!AK9)/2)+(('Monthly Balance'!AK9+'Monthly Balance'!AL9)/2))</x:f>
        <x:v>5036.472413844659</x:v>
      </x:c>
      <x:c r="AJ9" s="42" t="n">
        <x:f>'Net Interest Income'!M9*(('Monthly Balance'!AJ9+'Monthly Balance'!AK9)/2)/((('Monthly Balance'!AI9+'Monthly Balance'!AJ9)/2)+(('Monthly Balance'!AJ9+'Monthly Balance'!AK9)/2)+(('Monthly Balance'!AK9+'Monthly Balance'!AL9)/2))</x:f>
        <x:v>5062</x:v>
      </x:c>
      <x:c r="AK9" s="42" t="n">
        <x:f>'Net Interest Income'!M9*(('Monthly Balance'!AK9+'Monthly Balance'!AL9)/2)/((('Monthly Balance'!AI9+'Monthly Balance'!AJ9)/2)+(('Monthly Balance'!AJ9+'Monthly Balance'!AK9)/2)+(('Monthly Balance'!AK9+'Monthly Balance'!AL9)/2))</x:f>
        <x:v>5087.527586155341</x:v>
      </x:c>
      <x:c r="AL9" s="42" t="n">
        <x:f>'Net Interest Income'!N9*(('Monthly Balance'!AL9+'Monthly Balance'!AM9)/2)/((('Monthly Balance'!AL9+'Monthly Balance'!AM9)/2)+(('Monthly Balance'!AM9+'Monthly Balance'!AN9)/2)+(('Monthly Balance'!AN9+'Monthly Balance'!AO9)/2))</x:f>
        <x:v>4930.232650858316</x:v>
      </x:c>
      <x:c r="AM9" s="42" t="n">
        <x:f>'Net Interest Income'!N9*(('Monthly Balance'!AM9+'Monthly Balance'!AN9)/2)/((('Monthly Balance'!AL9+'Monthly Balance'!AM9)/2)+(('Monthly Balance'!AM9+'Monthly Balance'!AN9)/2)+(('Monthly Balance'!AN9+'Monthly Balance'!AO9)/2))</x:f>
        <x:v>4911.666666666667</x:v>
      </x:c>
      <x:c r="AN9" s="42" t="n">
        <x:f>'Net Interest Income'!N9*(('Monthly Balance'!AN9+'Monthly Balance'!AO9)/2)/((('Monthly Balance'!AL9+'Monthly Balance'!AM9)/2)+(('Monthly Balance'!AM9+'Monthly Balance'!AN9)/2)+(('Monthly Balance'!AN9+'Monthly Balance'!AO9)/2))</x:f>
        <x:v>4893.100682475017</x:v>
      </x:c>
      <x:c r="AO9" s="42" t="n">
        <x:f>'Net Interest Income'!O9*(('Monthly Balance'!AO9+'Monthly Balance'!AP9)/2)/((('Monthly Balance'!AO9+'Monthly Balance'!AP9)/2)+(('Monthly Balance'!AP9+'Monthly Balance'!AQ9)/2)+(('Monthly Balance'!AQ9+'Monthly Balance'!AR9)/2))</x:f>
        <x:v>4921.423218437373</x:v>
      </x:c>
      <x:c r="AP9" s="42" t="n">
        <x:f>'Net Interest Income'!O9*(('Monthly Balance'!AP9+'Monthly Balance'!AQ9)/2)/((('Monthly Balance'!AO9+'Monthly Balance'!AP9)/2)+(('Monthly Balance'!AP9+'Monthly Balance'!AQ9)/2)+(('Monthly Balance'!AQ9+'Monthly Balance'!AR9)/2))</x:f>
        <x:v>4970.333333333333</x:v>
      </x:c>
      <x:c r="AQ9" s="42" t="n">
        <x:f>'Net Interest Income'!O9*(('Monthly Balance'!AQ9+'Monthly Balance'!AR9)/2)/((('Monthly Balance'!AO9+'Monthly Balance'!AP9)/2)+(('Monthly Balance'!AP9+'Monthly Balance'!AQ9)/2)+(('Monthly Balance'!AQ9+'Monthly Balance'!AR9)/2))</x:f>
        <x:v>5019.243448229294</x:v>
      </x:c>
    </x:row>
    <x:row r="10">
      <x:c r="A10" s="20" t="str">
        <x:v>  Investment securities</x:v>
      </x:c>
      <x:c r="B10" s="39" t="n">
        <x:f>'Net Interest Income'!B10*(('Monthly Balance'!B10+'Monthly Balance'!C10)/2)/((('Monthly Balance'!B10+'Monthly Balance'!C10)/2)+(('Monthly Balance'!C10+'Monthly Balance'!D10)/2)+(('Monthly Balance'!D10+'Monthly Balance'!E10)/2))</x:f>
        <x:v>205</x:v>
      </x:c>
      <x:c r="C10" s="39" t="n">
        <x:f>'Net Interest Income'!B10*(('Monthly Balance'!C10+'Monthly Balance'!D10)/2)/((('Monthly Balance'!B10+'Monthly Balance'!C10)/2)+(('Monthly Balance'!C10+'Monthly Balance'!D10)/2)+(('Monthly Balance'!D10+'Monthly Balance'!E10)/2))</x:f>
        <x:v>205</x:v>
      </x:c>
      <x:c r="D10" s="39" t="n">
        <x:f>'Net Interest Income'!B10*(('Monthly Balance'!D10+'Monthly Balance'!E10)/2)/((('Monthly Balance'!B10+'Monthly Balance'!C10)/2)+(('Monthly Balance'!C10+'Monthly Balance'!D10)/2)+(('Monthly Balance'!D10+'Monthly Balance'!E10)/2))</x:f>
        <x:v>205</x:v>
      </x:c>
      <x:c r="E10" s="39" t="n">
        <x:f>'Net Interest Income'!C10*(('Monthly Balance'!E10+'Monthly Balance'!F10)/2)/((('Monthly Balance'!E10+'Monthly Balance'!F10)/2)+(('Monthly Balance'!F10+'Monthly Balance'!G10)/2)+(('Monthly Balance'!G10+'Monthly Balance'!H10)/2))</x:f>
        <x:v>212.94635197902085</x:v>
      </x:c>
      <x:c r="F10" s="39" t="n">
        <x:f>'Net Interest Income'!C10*(('Monthly Balance'!F10+'Monthly Balance'!G10)/2)/((('Monthly Balance'!E10+'Monthly Balance'!F10)/2)+(('Monthly Balance'!F10+'Monthly Balance'!G10)/2)+(('Monthly Balance'!G10+'Monthly Balance'!H10)/2))</x:f>
        <x:v>213</x:v>
      </x:c>
      <x:c r="G10" s="39" t="n">
        <x:f>'Net Interest Income'!C10*(('Monthly Balance'!G10+'Monthly Balance'!H10)/2)/((('Monthly Balance'!E10+'Monthly Balance'!F10)/2)+(('Monthly Balance'!F10+'Monthly Balance'!G10)/2)+(('Monthly Balance'!G10+'Monthly Balance'!H10)/2))</x:f>
        <x:v>213.05364802097915</x:v>
      </x:c>
      <x:c r="H10" s="39" t="n">
        <x:f>'Net Interest Income'!D10*(('Monthly Balance'!H10+'Monthly Balance'!I10)/2)/((('Monthly Balance'!H10+'Monthly Balance'!I10)/2)+(('Monthly Balance'!I10+'Monthly Balance'!J10)/2)+(('Monthly Balance'!J10+'Monthly Balance'!K10)/2))</x:f>
        <x:v>212.46251541540974</x:v>
      </x:c>
      <x:c r="I10" s="39" t="n">
        <x:f>'Net Interest Income'!D10*(('Monthly Balance'!I10+'Monthly Balance'!J10)/2)/((('Monthly Balance'!H10+'Monthly Balance'!I10)/2)+(('Monthly Balance'!I10+'Monthly Balance'!J10)/2)+(('Monthly Balance'!J10+'Monthly Balance'!K10)/2))</x:f>
        <x:v>209</x:v>
      </x:c>
      <x:c r="J10" s="39" t="n">
        <x:f>'Net Interest Income'!D10*(('Monthly Balance'!J10+'Monthly Balance'!K10)/2)/((('Monthly Balance'!H10+'Monthly Balance'!I10)/2)+(('Monthly Balance'!I10+'Monthly Balance'!J10)/2)+(('Monthly Balance'!J10+'Monthly Balance'!K10)/2))</x:f>
        <x:v>205.53748458459026</x:v>
      </x:c>
      <x:c r="K10" s="39" t="n">
        <x:f>'Net Interest Income'!E10*(('Monthly Balance'!K10+'Monthly Balance'!L10)/2)/((('Monthly Balance'!K10+'Monthly Balance'!L10)/2)+(('Monthly Balance'!L10+'Monthly Balance'!M10)/2)+(('Monthly Balance'!M10+'Monthly Balance'!N10)/2))</x:f>
        <x:v>218.00044748786328</x:v>
      </x:c>
      <x:c r="L10" s="39" t="n">
        <x:f>'Net Interest Income'!E10*(('Monthly Balance'!L10+'Monthly Balance'!M10)/2)/((('Monthly Balance'!K10+'Monthly Balance'!L10)/2)+(('Monthly Balance'!L10+'Monthly Balance'!M10)/2)+(('Monthly Balance'!M10+'Monthly Balance'!N10)/2))</x:f>
        <x:v>223</x:v>
      </x:c>
      <x:c r="M10" s="39" t="n">
        <x:f>'Net Interest Income'!E10*(('Monthly Balance'!M10+'Monthly Balance'!N10)/2)/((('Monthly Balance'!K10+'Monthly Balance'!L10)/2)+(('Monthly Balance'!L10+'Monthly Balance'!M10)/2)+(('Monthly Balance'!M10+'Monthly Balance'!N10)/2))</x:f>
        <x:v>227.99955251213672</x:v>
      </x:c>
      <x:c r="N10" s="39" t="n">
        <x:f>'Net Interest Income'!F10*(('Monthly Balance'!N10+'Monthly Balance'!O10)/2)/((('Monthly Balance'!N10+'Monthly Balance'!O10)/2)+(('Monthly Balance'!O10+'Monthly Balance'!P10)/2)+(('Monthly Balance'!P10+'Monthly Balance'!Q10)/2))</x:f>
        <x:v>234.24451819991492</x:v>
      </x:c>
      <x:c r="O10" s="39" t="n">
        <x:f>'Net Interest Income'!F10*(('Monthly Balance'!O10+'Monthly Balance'!P10)/2)/((('Monthly Balance'!N10+'Monthly Balance'!O10)/2)+(('Monthly Balance'!O10+'Monthly Balance'!P10)/2)+(('Monthly Balance'!P10+'Monthly Balance'!Q10)/2))</x:f>
        <x:v>229</x:v>
      </x:c>
      <x:c r="P10" s="39" t="n">
        <x:f>'Net Interest Income'!F10*(('Monthly Balance'!P10+'Monthly Balance'!Q10)/2)/((('Monthly Balance'!N10+'Monthly Balance'!O10)/2)+(('Monthly Balance'!O10+'Monthly Balance'!P10)/2)+(('Monthly Balance'!P10+'Monthly Balance'!Q10)/2))</x:f>
        <x:v>223.75548180008508</x:v>
      </x:c>
      <x:c r="Q10" s="39" t="n">
        <x:f>'Net Interest Income'!G10*(('Monthly Balance'!Q10+'Monthly Balance'!R10)/2)/((('Monthly Balance'!Q10+'Monthly Balance'!R10)/2)+(('Monthly Balance'!R10+'Monthly Balance'!S10)/2)+(('Monthly Balance'!S10+'Monthly Balance'!T10)/2))</x:f>
        <x:v>226.44551457525614</x:v>
      </x:c>
      <x:c r="R10" s="39" t="n">
        <x:f>'Net Interest Income'!G10*(('Monthly Balance'!R10+'Monthly Balance'!S10)/2)/((('Monthly Balance'!Q10+'Monthly Balance'!R10)/2)+(('Monthly Balance'!R10+'Monthly Balance'!S10)/2)+(('Monthly Balance'!S10+'Monthly Balance'!T10)/2))</x:f>
        <x:v>233.33333333333334</x:v>
      </x:c>
      <x:c r="S10" s="39" t="n">
        <x:f>'Net Interest Income'!G10*(('Monthly Balance'!S10+'Monthly Balance'!T10)/2)/((('Monthly Balance'!Q10+'Monthly Balance'!R10)/2)+(('Monthly Balance'!R10+'Monthly Balance'!S10)/2)+(('Monthly Balance'!S10+'Monthly Balance'!T10)/2))</x:f>
        <x:v>240.22115209141052</x:v>
      </x:c>
      <x:c r="T10" s="39" t="n">
        <x:f>'Net Interest Income'!H10*(('Monthly Balance'!T10+'Monthly Balance'!U10)/2)/((('Monthly Balance'!T10+'Monthly Balance'!U10)/2)+(('Monthly Balance'!U10+'Monthly Balance'!V10)/2)+(('Monthly Balance'!V10+'Monthly Balance'!W10)/2))</x:f>
        <x:v>249.40092376035184</x:v>
      </x:c>
      <x:c r="U10" s="39" t="n">
        <x:f>'Net Interest Income'!H10*(('Monthly Balance'!U10+'Monthly Balance'!V10)/2)/((('Monthly Balance'!T10+'Monthly Balance'!U10)/2)+(('Monthly Balance'!U10+'Monthly Balance'!V10)/2)+(('Monthly Balance'!V10+'Monthly Balance'!W10)/2))</x:f>
        <x:v>244.33333333333334</x:v>
      </x:c>
      <x:c r="V10" s="39" t="n">
        <x:f>'Net Interest Income'!H10*(('Monthly Balance'!V10+'Monthly Balance'!W10)/2)/((('Monthly Balance'!T10+'Monthly Balance'!U10)/2)+(('Monthly Balance'!U10+'Monthly Balance'!V10)/2)+(('Monthly Balance'!V10+'Monthly Balance'!W10)/2))</x:f>
        <x:v>239.2657429063148</x:v>
      </x:c>
      <x:c r="W10" s="39" t="n">
        <x:f>'Net Interest Income'!I10*(('Monthly Balance'!W10+'Monthly Balance'!X10)/2)/((('Monthly Balance'!W10+'Monthly Balance'!X10)/2)+(('Monthly Balance'!X10+'Monthly Balance'!Y10)/2)+(('Monthly Balance'!Y10+'Monthly Balance'!Z10)/2))</x:f>
        <x:v>242.9543608642243</x:v>
      </x:c>
      <x:c r="X10" s="39" t="n">
        <x:f>'Net Interest Income'!I10*(('Monthly Balance'!X10+'Monthly Balance'!Y10)/2)/((('Monthly Balance'!W10+'Monthly Balance'!X10)/2)+(('Monthly Balance'!X10+'Monthly Balance'!Y10)/2)+(('Monthly Balance'!Y10+'Monthly Balance'!Z10)/2))</x:f>
        <x:v>251</x:v>
      </x:c>
      <x:c r="Y10" s="39" t="n">
        <x:f>'Net Interest Income'!I10*(('Monthly Balance'!Y10+'Monthly Balance'!Z10)/2)/((('Monthly Balance'!W10+'Monthly Balance'!X10)/2)+(('Monthly Balance'!X10+'Monthly Balance'!Y10)/2)+(('Monthly Balance'!Y10+'Monthly Balance'!Z10)/2))</x:f>
        <x:v>259.04563913577573</x:v>
      </x:c>
      <x:c r="Z10" s="39" t="n">
        <x:f>'Net Interest Income'!J10*(('Monthly Balance'!Z10+'Monthly Balance'!AA10)/2)/((('Monthly Balance'!Z10+'Monthly Balance'!AA10)/2)+(('Monthly Balance'!AA10+'Monthly Balance'!AB10)/2)+(('Monthly Balance'!AB10+'Monthly Balance'!AC10)/2))</x:f>
        <x:v>264.12169591968643</x:v>
      </x:c>
      <x:c r="AA10" s="39" t="n">
        <x:f>'Net Interest Income'!J10*(('Monthly Balance'!AA10+'Monthly Balance'!AB10)/2)/((('Monthly Balance'!Z10+'Monthly Balance'!AA10)/2)+(('Monthly Balance'!AA10+'Monthly Balance'!AB10)/2)+(('Monthly Balance'!AB10+'Monthly Balance'!AC10)/2))</x:f>
        <x:v>256.6666666666667</x:v>
      </x:c>
      <x:c r="AB10" s="39" t="n">
        <x:f>'Net Interest Income'!J10*(('Monthly Balance'!AB10+'Monthly Balance'!AC10)/2)/((('Monthly Balance'!Z10+'Monthly Balance'!AA10)/2)+(('Monthly Balance'!AA10+'Monthly Balance'!AB10)/2)+(('Monthly Balance'!AB10+'Monthly Balance'!AC10)/2))</x:f>
        <x:v>249.2116374136469</x:v>
      </x:c>
      <x:c r="AC10" s="39" t="n">
        <x:f>'Net Interest Income'!K10*(('Monthly Balance'!AC10+'Monthly Balance'!AD10)/2)/((('Monthly Balance'!AC10+'Monthly Balance'!AD10)/2)+(('Monthly Balance'!AD10+'Monthly Balance'!AE10)/2)+(('Monthly Balance'!AE10+'Monthly Balance'!AF10)/2))</x:f>
        <x:v>253.08894239957195</x:v>
      </x:c>
      <x:c r="AD10" s="39" t="n">
        <x:f>'Net Interest Income'!K10*(('Monthly Balance'!AD10+'Monthly Balance'!AE10)/2)/((('Monthly Balance'!AC10+'Monthly Balance'!AD10)/2)+(('Monthly Balance'!AD10+'Monthly Balance'!AE10)/2)+(('Monthly Balance'!AE10+'Monthly Balance'!AF10)/2))</x:f>
        <x:v>261.3333333333333</x:v>
      </x:c>
      <x:c r="AE10" s="39" t="n">
        <x:f>'Net Interest Income'!K10*(('Monthly Balance'!AE10+'Monthly Balance'!AF10)/2)/((('Monthly Balance'!AC10+'Monthly Balance'!AD10)/2)+(('Monthly Balance'!AD10+'Monthly Balance'!AE10)/2)+(('Monthly Balance'!AE10+'Monthly Balance'!AF10)/2))</x:f>
        <x:v>269.5777242670947</x:v>
      </x:c>
      <x:c r="AF10" s="39" t="n">
        <x:f>'Net Interest Income'!L10*(('Monthly Balance'!AF10+'Monthly Balance'!AG10)/2)/((('Monthly Balance'!AF10+'Monthly Balance'!AG10)/2)+(('Monthly Balance'!AG10+'Monthly Balance'!AH10)/2)+(('Monthly Balance'!AH10+'Monthly Balance'!AI10)/2))</x:f>
        <x:v>276.69108001395443</x:v>
      </x:c>
      <x:c r="AG10" s="39" t="n">
        <x:f>'Net Interest Income'!L10*(('Monthly Balance'!AG10+'Monthly Balance'!AH10)/2)/((('Monthly Balance'!AF10+'Monthly Balance'!AG10)/2)+(('Monthly Balance'!AG10+'Monthly Balance'!AH10)/2)+(('Monthly Balance'!AH10+'Monthly Balance'!AI10)/2))</x:f>
        <x:v>274.3333333333333</x:v>
      </x:c>
      <x:c r="AH10" s="39" t="n">
        <x:f>'Net Interest Income'!L10*(('Monthly Balance'!AH10+'Monthly Balance'!AI10)/2)/((('Monthly Balance'!AF10+'Monthly Balance'!AG10)/2)+(('Monthly Balance'!AG10+'Monthly Balance'!AH10)/2)+(('Monthly Balance'!AH10+'Monthly Balance'!AI10)/2))</x:f>
        <x:v>271.97558665271225</x:v>
      </x:c>
      <x:c r="AI10" s="39" t="n">
        <x:f>'Net Interest Income'!M10*(('Monthly Balance'!AI10+'Monthly Balance'!AJ10)/2)/((('Monthly Balance'!AI10+'Monthly Balance'!AJ10)/2)+(('Monthly Balance'!AJ10+'Monthly Balance'!AK10)/2)+(('Monthly Balance'!AK10+'Monthly Balance'!AL10)/2))</x:f>
        <x:v>275.7556788474491</x:v>
      </x:c>
      <x:c r="AJ10" s="39" t="n">
        <x:f>'Net Interest Income'!M10*(('Monthly Balance'!AJ10+'Monthly Balance'!AK10)/2)/((('Monthly Balance'!AI10+'Monthly Balance'!AJ10)/2)+(('Monthly Balance'!AJ10+'Monthly Balance'!AK10)/2)+(('Monthly Balance'!AK10+'Monthly Balance'!AL10)/2))</x:f>
        <x:v>280.3333333333333</x:v>
      </x:c>
      <x:c r="AK10" s="39" t="n">
        <x:f>'Net Interest Income'!M10*(('Monthly Balance'!AK10+'Monthly Balance'!AL10)/2)/((('Monthly Balance'!AI10+'Monthly Balance'!AJ10)/2)+(('Monthly Balance'!AJ10+'Monthly Balance'!AK10)/2)+(('Monthly Balance'!AK10+'Monthly Balance'!AL10)/2))</x:f>
        <x:v>284.9109878192176</x:v>
      </x:c>
      <x:c r="AL10" s="39" t="n">
        <x:f>'Net Interest Income'!N10*(('Monthly Balance'!AL10+'Monthly Balance'!AM10)/2)/((('Monthly Balance'!AL10+'Monthly Balance'!AM10)/2)+(('Monthly Balance'!AM10+'Monthly Balance'!AN10)/2)+(('Monthly Balance'!AN10+'Monthly Balance'!AO10)/2))</x:f>
        <x:v>280.94592872065954</x:v>
      </x:c>
      <x:c r="AM10" s="39" t="n">
        <x:f>'Net Interest Income'!N10*(('Monthly Balance'!AM10+'Monthly Balance'!AN10)/2)/((('Monthly Balance'!AL10+'Monthly Balance'!AM10)/2)+(('Monthly Balance'!AM10+'Monthly Balance'!AN10)/2)+(('Monthly Balance'!AN10+'Monthly Balance'!AO10)/2))</x:f>
        <x:v>277.3333333333333</x:v>
      </x:c>
      <x:c r="AN10" s="39" t="n">
        <x:f>'Net Interest Income'!N10*(('Monthly Balance'!AN10+'Monthly Balance'!AO10)/2)/((('Monthly Balance'!AL10+'Monthly Balance'!AM10)/2)+(('Monthly Balance'!AM10+'Monthly Balance'!AN10)/2)+(('Monthly Balance'!AN10+'Monthly Balance'!AO10)/2))</x:f>
        <x:v>273.7207379460071</x:v>
      </x:c>
      <x:c r="AO10" s="39" t="n">
        <x:f>'Net Interest Income'!O10*(('Monthly Balance'!AO10+'Monthly Balance'!AP10)/2)/((('Monthly Balance'!AO10+'Monthly Balance'!AP10)/2)+(('Monthly Balance'!AP10+'Monthly Balance'!AQ10)/2)+(('Monthly Balance'!AQ10+'Monthly Balance'!AR10)/2))</x:f>
        <x:v>276.7790092511501</x:v>
      </x:c>
      <x:c r="AP10" s="39" t="n">
        <x:f>'Net Interest Income'!O10*(('Monthly Balance'!AP10+'Monthly Balance'!AQ10)/2)/((('Monthly Balance'!AO10+'Monthly Balance'!AP10)/2)+(('Monthly Balance'!AP10+'Monthly Balance'!AQ10)/2)+(('Monthly Balance'!AQ10+'Monthly Balance'!AR10)/2))</x:f>
        <x:v>283.3333333333333</x:v>
      </x:c>
      <x:c r="AQ10" s="39" t="n">
        <x:f>'Net Interest Income'!O10*(('Monthly Balance'!AQ10+'Monthly Balance'!AR10)/2)/((('Monthly Balance'!AO10+'Monthly Balance'!AP10)/2)+(('Monthly Balance'!AP10+'Monthly Balance'!AQ10)/2)+(('Monthly Balance'!AQ10+'Monthly Balance'!AR10)/2))</x:f>
        <x:v>289.88765741551657</x:v>
      </x:c>
    </x:row>
    <x:row r="11">
      <x:c r="A11" s="20" t="str">
        <x:v>  Cash equivalents and other</x:v>
      </x:c>
      <x:c r="B11" s="39" t="n">
        <x:f>'Net Interest Income'!B11*(('Monthly Balance'!B11+'Monthly Balance'!C11)/2)/((('Monthly Balance'!B11+'Monthly Balance'!C11)/2)+(('Monthly Balance'!C11+'Monthly Balance'!D11)/2)+(('Monthly Balance'!D11+'Monthly Balance'!E11)/2))</x:f>
        <x:v>138.66666666666666</x:v>
      </x:c>
      <x:c r="C11" s="39" t="n">
        <x:f>'Net Interest Income'!B11*(('Monthly Balance'!C11+'Monthly Balance'!D11)/2)/((('Monthly Balance'!B11+'Monthly Balance'!C11)/2)+(('Monthly Balance'!C11+'Monthly Balance'!D11)/2)+(('Monthly Balance'!D11+'Monthly Balance'!E11)/2))</x:f>
        <x:v>138.66666666666666</x:v>
      </x:c>
      <x:c r="D11" s="39" t="n">
        <x:f>'Net Interest Income'!B11*(('Monthly Balance'!D11+'Monthly Balance'!E11)/2)/((('Monthly Balance'!B11+'Monthly Balance'!C11)/2)+(('Monthly Balance'!C11+'Monthly Balance'!D11)/2)+(('Monthly Balance'!D11+'Monthly Balance'!E11)/2))</x:f>
        <x:v>138.66666666666666</x:v>
      </x:c>
      <x:c r="E11" s="39" t="n">
        <x:f>'Net Interest Income'!C11*(('Monthly Balance'!E11+'Monthly Balance'!F11)/2)/((('Monthly Balance'!E11+'Monthly Balance'!F11)/2)+(('Monthly Balance'!F11+'Monthly Balance'!G11)/2)+(('Monthly Balance'!G11+'Monthly Balance'!H11)/2))</x:f>
        <x:v>152.1293481061582</x:v>
      </x:c>
      <x:c r="F11" s="39" t="n">
        <x:f>'Net Interest Income'!C11*(('Monthly Balance'!F11+'Monthly Balance'!G11)/2)/((('Monthly Balance'!E11+'Monthly Balance'!F11)/2)+(('Monthly Balance'!F11+'Monthly Balance'!G11)/2)+(('Monthly Balance'!G11+'Monthly Balance'!H11)/2))</x:f>
        <x:v>156.66666666666666</x:v>
      </x:c>
      <x:c r="G11" s="39" t="n">
        <x:f>'Net Interest Income'!C11*(('Monthly Balance'!G11+'Monthly Balance'!H11)/2)/((('Monthly Balance'!E11+'Monthly Balance'!F11)/2)+(('Monthly Balance'!F11+'Monthly Balance'!G11)/2)+(('Monthly Balance'!G11+'Monthly Balance'!H11)/2))</x:f>
        <x:v>161.20398522717514</x:v>
      </x:c>
      <x:c r="H11" s="39" t="n">
        <x:f>'Net Interest Income'!D11*(('Monthly Balance'!H11+'Monthly Balance'!I11)/2)/((('Monthly Balance'!H11+'Monthly Balance'!I11)/2)+(('Monthly Balance'!I11+'Monthly Balance'!J11)/2)+(('Monthly Balance'!J11+'Monthly Balance'!K11)/2))</x:f>
        <x:v>178.32588663119617</x:v>
      </x:c>
      <x:c r="I11" s="39" t="n">
        <x:f>'Net Interest Income'!D11*(('Monthly Balance'!I11+'Monthly Balance'!J11)/2)/((('Monthly Balance'!H11+'Monthly Balance'!I11)/2)+(('Monthly Balance'!I11+'Monthly Balance'!J11)/2)+(('Monthly Balance'!J11+'Monthly Balance'!K11)/2))</x:f>
        <x:v>183.33333333333334</x:v>
      </x:c>
      <x:c r="J11" s="39" t="n">
        <x:f>'Net Interest Income'!D11*(('Monthly Balance'!J11+'Monthly Balance'!K11)/2)/((('Monthly Balance'!H11+'Monthly Balance'!I11)/2)+(('Monthly Balance'!I11+'Monthly Balance'!J11)/2)+(('Monthly Balance'!J11+'Monthly Balance'!K11)/2))</x:f>
        <x:v>188.3407800354705</x:v>
      </x:c>
      <x:c r="K11" s="39" t="n">
        <x:f>'Net Interest Income'!E11*(('Monthly Balance'!K11+'Monthly Balance'!L11)/2)/((('Monthly Balance'!K11+'Monthly Balance'!L11)/2)+(('Monthly Balance'!L11+'Monthly Balance'!M11)/2)+(('Monthly Balance'!M11+'Monthly Balance'!N11)/2))</x:f>
        <x:v>187.41155555555557</x:v>
      </x:c>
      <x:c r="L11" s="39" t="n">
        <x:f>'Net Interest Income'!E11*(('Monthly Balance'!L11+'Monthly Balance'!M11)/2)/((('Monthly Balance'!K11+'Monthly Balance'!L11)/2)+(('Monthly Balance'!L11+'Monthly Balance'!M11)/2)+(('Monthly Balance'!M11+'Monthly Balance'!N11)/2))</x:f>
        <x:v>180.66666666666666</x:v>
      </x:c>
      <x:c r="M11" s="39" t="n">
        <x:f>'Net Interest Income'!E11*(('Monthly Balance'!M11+'Monthly Balance'!N11)/2)/((('Monthly Balance'!K11+'Monthly Balance'!L11)/2)+(('Monthly Balance'!L11+'Monthly Balance'!M11)/2)+(('Monthly Balance'!M11+'Monthly Balance'!N11)/2))</x:f>
        <x:v>173.92177777777778</x:v>
      </x:c>
      <x:c r="N11" s="39" t="n">
        <x:f>'Net Interest Income'!F11*(('Monthly Balance'!N11+'Monthly Balance'!O11)/2)/((('Monthly Balance'!N11+'Monthly Balance'!O11)/2)+(('Monthly Balance'!O11+'Monthly Balance'!P11)/2)+(('Monthly Balance'!P11+'Monthly Balance'!Q11)/2))</x:f>
        <x:v>177.33594447880162</x:v>
      </x:c>
      <x:c r="O11" s="39" t="n">
        <x:f>'Net Interest Income'!F11*(('Monthly Balance'!O11+'Monthly Balance'!P11)/2)/((('Monthly Balance'!N11+'Monthly Balance'!O11)/2)+(('Monthly Balance'!O11+'Monthly Balance'!P11)/2)+(('Monthly Balance'!P11+'Monthly Balance'!Q11)/2))</x:f>
        <x:v>190</x:v>
      </x:c>
      <x:c r="P11" s="39" t="n">
        <x:f>'Net Interest Income'!F11*(('Monthly Balance'!P11+'Monthly Balance'!Q11)/2)/((('Monthly Balance'!N11+'Monthly Balance'!O11)/2)+(('Monthly Balance'!O11+'Monthly Balance'!P11)/2)+(('Monthly Balance'!P11+'Monthly Balance'!Q11)/2))</x:f>
        <x:v>202.66405552119838</x:v>
      </x:c>
      <x:c r="Q11" s="39" t="n">
        <x:f>'Net Interest Income'!G11*(('Monthly Balance'!Q11+'Monthly Balance'!R11)/2)/((('Monthly Balance'!Q11+'Monthly Balance'!R11)/2)+(('Monthly Balance'!R11+'Monthly Balance'!S11)/2)+(('Monthly Balance'!S11+'Monthly Balance'!T11)/2))</x:f>
        <x:v>202.64903864903866</x:v>
      </x:c>
      <x:c r="R11" s="39" t="n">
        <x:f>'Net Interest Income'!G11*(('Monthly Balance'!R11+'Monthly Balance'!S11)/2)/((('Monthly Balance'!Q11+'Monthly Balance'!R11)/2)+(('Monthly Balance'!R11+'Monthly Balance'!S11)/2)+(('Monthly Balance'!S11+'Monthly Balance'!T11)/2))</x:f>
        <x:v>195.66666666666666</x:v>
      </x:c>
      <x:c r="S11" s="39" t="n">
        <x:f>'Net Interest Income'!G11*(('Monthly Balance'!S11+'Monthly Balance'!T11)/2)/((('Monthly Balance'!Q11+'Monthly Balance'!R11)/2)+(('Monthly Balance'!R11+'Monthly Balance'!S11)/2)+(('Monthly Balance'!S11+'Monthly Balance'!T11)/2))</x:f>
        <x:v>188.68429468429466</x:v>
      </x:c>
      <x:c r="T11" s="39" t="n">
        <x:f>'Net Interest Income'!H11*(('Monthly Balance'!T11+'Monthly Balance'!U11)/2)/((('Monthly Balance'!T11+'Monthly Balance'!U11)/2)+(('Monthly Balance'!U11+'Monthly Balance'!V11)/2)+(('Monthly Balance'!V11+'Monthly Balance'!W11)/2))</x:f>
        <x:v>187.6750754078178</x:v>
      </x:c>
      <x:c r="U11" s="39" t="n">
        <x:f>'Net Interest Income'!H11*(('Monthly Balance'!U11+'Monthly Balance'!V11)/2)/((('Monthly Balance'!T11+'Monthly Balance'!U11)/2)+(('Monthly Balance'!U11+'Monthly Balance'!V11)/2)+(('Monthly Balance'!V11+'Monthly Balance'!W11)/2))</x:f>
        <x:v>193.33333333333334</x:v>
      </x:c>
      <x:c r="V11" s="39" t="n">
        <x:f>'Net Interest Income'!H11*(('Monthly Balance'!V11+'Monthly Balance'!W11)/2)/((('Monthly Balance'!T11+'Monthly Balance'!U11)/2)+(('Monthly Balance'!U11+'Monthly Balance'!V11)/2)+(('Monthly Balance'!V11+'Monthly Balance'!W11)/2))</x:f>
        <x:v>198.9915912588489</x:v>
      </x:c>
      <x:c r="W11" s="39" t="n">
        <x:f>'Net Interest Income'!I11*(('Monthly Balance'!W11+'Monthly Balance'!X11)/2)/((('Monthly Balance'!W11+'Monthly Balance'!X11)/2)+(('Monthly Balance'!X11+'Monthly Balance'!Y11)/2)+(('Monthly Balance'!Y11+'Monthly Balance'!Z11)/2))</x:f>
        <x:v>179.0621728362972</x:v>
      </x:c>
      <x:c r="X11" s="39" t="n">
        <x:f>'Net Interest Income'!I11*(('Monthly Balance'!X11+'Monthly Balance'!Y11)/2)/((('Monthly Balance'!W11+'Monthly Balance'!X11)/2)+(('Monthly Balance'!X11+'Monthly Balance'!Y11)/2)+(('Monthly Balance'!Y11+'Monthly Balance'!Z11)/2))</x:f>
        <x:v>176.66666666666666</x:v>
      </x:c>
      <x:c r="Y11" s="39" t="n">
        <x:f>'Net Interest Income'!I11*(('Monthly Balance'!Y11+'Monthly Balance'!Z11)/2)/((('Monthly Balance'!W11+'Monthly Balance'!X11)/2)+(('Monthly Balance'!X11+'Monthly Balance'!Y11)/2)+(('Monthly Balance'!Y11+'Monthly Balance'!Z11)/2))</x:f>
        <x:v>174.27116049703613</x:v>
      </x:c>
      <x:c r="Z11" s="39" t="n">
        <x:f>'Net Interest Income'!J11*(('Monthly Balance'!Z11+'Monthly Balance'!AA11)/2)/((('Monthly Balance'!Z11+'Monthly Balance'!AA11)/2)+(('Monthly Balance'!AA11+'Monthly Balance'!AB11)/2)+(('Monthly Balance'!AB11+'Monthly Balance'!AC11)/2))</x:f>
        <x:v>158.79884523306578</x:v>
      </x:c>
      <x:c r="AA11" s="39" t="n">
        <x:f>'Net Interest Income'!J11*(('Monthly Balance'!AA11+'Monthly Balance'!AB11)/2)/((('Monthly Balance'!Z11+'Monthly Balance'!AA11)/2)+(('Monthly Balance'!AA11+'Monthly Balance'!AB11)/2)+(('Monthly Balance'!AB11+'Monthly Balance'!AC11)/2))</x:f>
        <x:v>163.66666666666666</x:v>
      </x:c>
      <x:c r="AB11" s="39" t="n">
        <x:f>'Net Interest Income'!J11*(('Monthly Balance'!AB11+'Monthly Balance'!AC11)/2)/((('Monthly Balance'!Z11+'Monthly Balance'!AA11)/2)+(('Monthly Balance'!AA11+'Monthly Balance'!AB11)/2)+(('Monthly Balance'!AB11+'Monthly Balance'!AC11)/2))</x:f>
        <x:v>168.53448810026757</x:v>
      </x:c>
      <x:c r="AC11" s="39" t="n">
        <x:f>'Net Interest Income'!K11*(('Monthly Balance'!AC11+'Monthly Balance'!AD11)/2)/((('Monthly Balance'!AC11+'Monthly Balance'!AD11)/2)+(('Monthly Balance'!AD11+'Monthly Balance'!AE11)/2)+(('Monthly Balance'!AE11+'Monthly Balance'!AF11)/2))</x:f>
        <x:v>188.6312230383584</x:v>
      </x:c>
      <x:c r="AD11" s="39" t="n">
        <x:f>'Net Interest Income'!K11*(('Monthly Balance'!AD11+'Monthly Balance'!AE11)/2)/((('Monthly Balance'!AC11+'Monthly Balance'!AD11)/2)+(('Monthly Balance'!AD11+'Monthly Balance'!AE11)/2)+(('Monthly Balance'!AE11+'Monthly Balance'!AF11)/2))</x:f>
        <x:v>198.33333333333334</x:v>
      </x:c>
      <x:c r="AE11" s="39" t="n">
        <x:f>'Net Interest Income'!K11*(('Monthly Balance'!AE11+'Monthly Balance'!AF11)/2)/((('Monthly Balance'!AC11+'Monthly Balance'!AD11)/2)+(('Monthly Balance'!AD11+'Monthly Balance'!AE11)/2)+(('Monthly Balance'!AE11+'Monthly Balance'!AF11)/2))</x:f>
        <x:v>208.0354436283083</x:v>
      </x:c>
      <x:c r="AF11" s="39" t="n">
        <x:f>'Net Interest Income'!L11*(('Monthly Balance'!AF11+'Monthly Balance'!AG11)/2)/((('Monthly Balance'!AF11+'Monthly Balance'!AG11)/2)+(('Monthly Balance'!AG11+'Monthly Balance'!AH11)/2)+(('Monthly Balance'!AH11+'Monthly Balance'!AI11)/2))</x:f>
        <x:v>238.66397939562862</x:v>
      </x:c>
      <x:c r="AG11" s="39" t="n">
        <x:f>'Net Interest Income'!L11*(('Monthly Balance'!AG11+'Monthly Balance'!AH11)/2)/((('Monthly Balance'!AF11+'Monthly Balance'!AG11)/2)+(('Monthly Balance'!AG11+'Monthly Balance'!AH11)/2)+(('Monthly Balance'!AH11+'Monthly Balance'!AI11)/2))</x:f>
        <x:v>237</x:v>
      </x:c>
      <x:c r="AH11" s="39" t="n">
        <x:f>'Net Interest Income'!L11*(('Monthly Balance'!AH11+'Monthly Balance'!AI11)/2)/((('Monthly Balance'!AF11+'Monthly Balance'!AG11)/2)+(('Monthly Balance'!AG11+'Monthly Balance'!AH11)/2)+(('Monthly Balance'!AH11+'Monthly Balance'!AI11)/2))</x:f>
        <x:v>235.33602060437138</x:v>
      </x:c>
      <x:c r="AI11" s="39" t="n">
        <x:f>'Net Interest Income'!M11*(('Monthly Balance'!AI11+'Monthly Balance'!AJ11)/2)/((('Monthly Balance'!AI11+'Monthly Balance'!AJ11)/2)+(('Monthly Balance'!AJ11+'Monthly Balance'!AK11)/2)+(('Monthly Balance'!AK11+'Monthly Balance'!AL11)/2))</x:f>
        <x:v>207.91434227100953</x:v>
      </x:c>
      <x:c r="AJ11" s="39" t="n">
        <x:f>'Net Interest Income'!M11*(('Monthly Balance'!AJ11+'Monthly Balance'!AK11)/2)/((('Monthly Balance'!AI11+'Monthly Balance'!AJ11)/2)+(('Monthly Balance'!AJ11+'Monthly Balance'!AK11)/2)+(('Monthly Balance'!AK11+'Monthly Balance'!AL11)/2))</x:f>
        <x:v>220</x:v>
      </x:c>
      <x:c r="AK11" s="39" t="n">
        <x:f>'Net Interest Income'!M11*(('Monthly Balance'!AK11+'Monthly Balance'!AL11)/2)/((('Monthly Balance'!AI11+'Monthly Balance'!AJ11)/2)+(('Monthly Balance'!AJ11+'Monthly Balance'!AK11)/2)+(('Monthly Balance'!AK11+'Monthly Balance'!AL11)/2))</x:f>
        <x:v>232.08565772899047</x:v>
      </x:c>
      <x:c r="AL11" s="39" t="n">
        <x:f>'Net Interest Income'!N11*(('Monthly Balance'!AL11+'Monthly Balance'!AM11)/2)/((('Monthly Balance'!AL11+'Monthly Balance'!AM11)/2)+(('Monthly Balance'!AM11+'Monthly Balance'!AN11)/2)+(('Monthly Balance'!AN11+'Monthly Balance'!AO11)/2))</x:f>
        <x:v>208.19696788899603</x:v>
      </x:c>
      <x:c r="AM11" s="39" t="n">
        <x:f>'Net Interest Income'!N11*(('Monthly Balance'!AM11+'Monthly Balance'!AN11)/2)/((('Monthly Balance'!AL11+'Monthly Balance'!AM11)/2)+(('Monthly Balance'!AM11+'Monthly Balance'!AN11)/2)+(('Monthly Balance'!AN11+'Monthly Balance'!AO11)/2))</x:f>
        <x:v>221.33333333333334</x:v>
      </x:c>
      <x:c r="AN11" s="39" t="n">
        <x:f>'Net Interest Income'!N11*(('Monthly Balance'!AN11+'Monthly Balance'!AO11)/2)/((('Monthly Balance'!AL11+'Monthly Balance'!AM11)/2)+(('Monthly Balance'!AM11+'Monthly Balance'!AN11)/2)+(('Monthly Balance'!AN11+'Monthly Balance'!AO11)/2))</x:f>
        <x:v>234.46969877767066</x:v>
      </x:c>
      <x:c r="AO11" s="39" t="n">
        <x:f>'Net Interest Income'!O11*(('Monthly Balance'!AO11+'Monthly Balance'!AP11)/2)/((('Monthly Balance'!AO11+'Monthly Balance'!AP11)/2)+(('Monthly Balance'!AP11+'Monthly Balance'!AQ11)/2)+(('Monthly Balance'!AQ11+'Monthly Balance'!AR11)/2))</x:f>
        <x:v>232.10645770878477</x:v>
      </x:c>
      <x:c r="AP11" s="39" t="n">
        <x:f>'Net Interest Income'!O11*(('Monthly Balance'!AP11+'Monthly Balance'!AQ11)/2)/((('Monthly Balance'!AO11+'Monthly Balance'!AP11)/2)+(('Monthly Balance'!AP11+'Monthly Balance'!AQ11)/2)+(('Monthly Balance'!AQ11+'Monthly Balance'!AR11)/2))</x:f>
        <x:v>208</x:v>
      </x:c>
      <x:c r="AQ11" s="39" t="n">
        <x:f>'Net Interest Income'!O11*(('Monthly Balance'!AQ11+'Monthly Balance'!AR11)/2)/((('Monthly Balance'!AO11+'Monthly Balance'!AP11)/2)+(('Monthly Balance'!AP11+'Monthly Balance'!AQ11)/2)+(('Monthly Balance'!AQ11+'Monthly Balance'!AR11)/2))</x:f>
        <x:v>183.89354229121525</x:v>
      </x:c>
    </x:row>
    <x:row r="12">
      <x:c r="A12" s="26" t="str">
        <x:v>  Total interest-earning assets</x:v>
      </x:c>
      <x:c r="B12" s="42" t="n">
        <x:f>SUM(B9:B11)</x:f>
        <x:v>3251.333333333333</x:v>
      </x:c>
      <x:c r="C12" s="42" t="n">
        <x:f>SUM(C9:C11)</x:f>
        <x:v>3251.333333333333</x:v>
      </x:c>
      <x:c r="D12" s="42" t="n">
        <x:f>SUM(D9:D11)</x:f>
        <x:v>3251.333333333333</x:v>
      </x:c>
      <x:c r="E12" s="42" t="n">
        <x:f>SUM(E9:E11)</x:f>
        <x:v>3369.6779686014597</x:v>
      </x:c>
      <x:c r="F12" s="42" t="n">
        <x:f>SUM(F9:F11)</x:f>
        <x:v>3388.6666666666665</x:v>
      </x:c>
      <x:c r="G12" s="42" t="n">
        <x:f>SUM(G9:G11)</x:f>
        <x:v>3407.6553647318738</x:v>
      </x:c>
      <x:c r="H12" s="42" t="n">
        <x:f>SUM(H9:H11)</x:f>
        <x:v>3616.560743741426</x:v>
      </x:c>
      <x:c r="I12" s="42" t="n">
        <x:f>SUM(I9:I11)</x:f>
        <x:v>3624.3333333333335</x:v>
      </x:c>
      <x:c r="J12" s="42" t="n">
        <x:f>SUM(J9:J11)</x:f>
        <x:v>3632.1059229252405</x:v>
      </x:c>
      <x:c r="K12" s="42" t="n">
        <x:f>SUM(K9:K11)</x:f>
        <x:v>3700.3378806735373</x:v>
      </x:c>
      <x:c r="L12" s="42" t="n">
        <x:f>SUM(L9:L11)</x:f>
        <x:v>3715</x:v>
      </x:c>
      <x:c r="M12" s="42" t="n">
        <x:f>SUM(M9:M11)</x:f>
        <x:v>3729.6621193264623</x:v>
      </x:c>
      <x:c r="N12" s="42" t="n">
        <x:f>SUM(N9:N11)</x:f>
        <x:v>3742.7810857626087</x:v>
      </x:c>
      <x:c r="O12" s="42" t="n">
        <x:f>SUM(O9:O11)</x:f>
        <x:v>3725.6666666666665</x:v>
      </x:c>
      <x:c r="P12" s="42" t="n">
        <x:f>SUM(P9:P11)</x:f>
        <x:v>3708.552247570725</x:v>
      </x:c>
      <x:c r="Q12" s="42" t="n">
        <x:f>SUM(Q9:Q11)</x:f>
        <x:v>3733.5722458981454</x:v>
      </x:c>
      <x:c r="R12" s="42" t="n">
        <x:f>SUM(R9:R11)</x:f>
        <x:v>3760</x:v>
      </x:c>
      <x:c r="S12" s="42" t="n">
        <x:f>SUM(S9:S11)</x:f>
        <x:v>3786.427754101855</x:v>
      </x:c>
      <x:c r="T12" s="42" t="n">
        <x:f>SUM(T9:T11)</x:f>
        <x:v>3959.2140413409925</x:v>
      </x:c>
      <x:c r="U12" s="42" t="n">
        <x:f>SUM(U9:U11)</x:f>
        <x:v>3953.3333333333335</x:v>
      </x:c>
      <x:c r="V12" s="42" t="n">
        <x:f>SUM(V9:V11)</x:f>
        <x:v>3947.4526253256745</x:v>
      </x:c>
      <x:c r="W12" s="42" t="n">
        <x:f>SUM(W9:W11)</x:f>
        <x:v>3868.157288301577</x:v>
      </x:c>
      <x:c r="X12" s="42" t="n">
        <x:f>SUM(X9:X11)</x:f>
        <x:v>3905.6666666666665</x:v>
      </x:c>
      <x:c r="Y12" s="42" t="n">
        <x:f>SUM(Y9:Y11)</x:f>
        <x:v>3943.176045031756</x:v>
      </x:c>
      <x:c r="Z12" s="42" t="n">
        <x:f>SUM(Z9:Z11)</x:f>
        <x:v>3835.9923682560257</x:v>
      </x:c>
      <x:c r="AA12" s="42" t="n">
        <x:f>SUM(AA9:AA11)</x:f>
        <x:v>3805.9999999999995</x:v>
      </x:c>
      <x:c r="AB12" s="42" t="n">
        <x:f>SUM(AB9:AB11)</x:f>
        <x:v>3776.0076317439743</x:v>
      </x:c>
      <x:c r="AC12" s="42" t="n">
        <x:f>SUM(AC9:AC11)</x:f>
        <x:v>4155.201016128292</x:v>
      </x:c>
      <x:c r="AD12" s="42" t="n">
        <x:f>SUM(AD9:AD11)</x:f>
        <x:v>4609.333333333333</x:v>
      </x:c>
      <x:c r="AE12" s="42" t="n">
        <x:f>SUM(AE9:AE11)</x:f>
        <x:v>5063.465650538375</x:v>
      </x:c>
      <x:c r="AF12" s="42" t="n">
        <x:f>SUM(AF9:AF11)</x:f>
        <x:v>5575.14284181474</x:v>
      </x:c>
      <x:c r="AG12" s="42" t="n">
        <x:f>SUM(AG9:AG11)</x:f>
        <x:v>5587.666666666666</x:v>
      </x:c>
      <x:c r="AH12" s="42" t="n">
        <x:f>SUM(AH9:AH11)</x:f>
        <x:v>5600.190491518593</x:v>
      </x:c>
      <x:c r="AI12" s="42" t="n">
        <x:f>SUM(AI9:AI11)</x:f>
        <x:v>5520.142434963118</x:v>
      </x:c>
      <x:c r="AJ12" s="42" t="n">
        <x:f>SUM(AJ9:AJ11)</x:f>
        <x:v>5562.333333333333</x:v>
      </x:c>
      <x:c r="AK12" s="42" t="n">
        <x:f>SUM(AK9:AK11)</x:f>
        <x:v>5604.524231703549</x:v>
      </x:c>
      <x:c r="AL12" s="42" t="n">
        <x:f>SUM(AL9:AL11)</x:f>
        <x:v>5419.375547467972</x:v>
      </x:c>
      <x:c r="AM12" s="42" t="n">
        <x:f>SUM(AM9:AM11)</x:f>
        <x:v>5410.333333333333</x:v>
      </x:c>
      <x:c r="AN12" s="42" t="n">
        <x:f>SUM(AN9:AN11)</x:f>
        <x:v>5401.291119198694</x:v>
      </x:c>
      <x:c r="AO12" s="42" t="n">
        <x:f>SUM(AO9:AO11)</x:f>
        <x:v>5430.308685397308</x:v>
      </x:c>
      <x:c r="AP12" s="42" t="n">
        <x:f>SUM(AP9:AP11)</x:f>
        <x:v>5461.666666666666</x:v>
      </x:c>
      <x:c r="AQ12" s="42" t="n">
        <x:f>SUM(AQ9:AQ11)</x:f>
        <x:v>5493.024647936026</x:v>
      </x:c>
    </x:row>
    <x:row r="13">
      <x:c r="A13" s="20"/>
      <x:c r="B13" s="39"/>
      <x:c r="C13" s="39"/>
      <x:c r="D13" s="39"/>
      <x:c r="E13" s="39"/>
      <x:c r="F13" s="39"/>
      <x:c r="G13" s="39"/>
      <x:c r="H13" s="39"/>
      <x:c r="I13" s="39"/>
      <x:c r="J13" s="39"/>
      <x:c r="K13" s="39"/>
      <x:c r="L13" s="39"/>
      <x:c r="M13" s="39"/>
      <x:c r="N13" s="39"/>
      <x:c r="O13" s="39"/>
      <x:c r="P13" s="39"/>
      <x:c r="Q13" s="39"/>
      <x:c r="R13" s="39"/>
      <x:c r="S13" s="39"/>
      <x:c r="T13" s="39"/>
      <x:c r="U13" s="39"/>
      <x:c r="V13" s="39"/>
      <x:c r="W13" s="39"/>
      <x:c r="X13" s="39"/>
      <x:c r="Y13" s="39"/>
      <x:c r="Z13" s="39"/>
      <x:c r="AA13" s="39"/>
      <x:c r="AB13" s="39"/>
      <x:c r="AC13" s="39"/>
      <x:c r="AD13" s="39"/>
      <x:c r="AE13" s="39"/>
      <x:c r="AF13" s="39"/>
      <x:c r="AG13" s="39"/>
      <x:c r="AH13" s="39"/>
      <x:c r="AI13" s="39"/>
      <x:c r="AJ13" s="39"/>
      <x:c r="AK13" s="39"/>
      <x:c r="AL13" s="39"/>
      <x:c r="AM13" s="39"/>
      <x:c r="AN13" s="39"/>
      <x:c r="AO13" s="39"/>
      <x:c r="AP13" s="39"/>
      <x:c r="AQ13" s="39"/>
    </x:row>
    <x:row r="14">
      <x:c r="A14" s="35" t="str">
        <x:v>INTEREST-BEARING LIABILITIES</x:v>
      </x:c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  <x:c r="AA14" s="41"/>
      <x:c r="AB14" s="41"/>
      <x:c r="AC14" s="41"/>
      <x:c r="AD14" s="41"/>
      <x:c r="AE14" s="41"/>
      <x:c r="AF14" s="41"/>
      <x:c r="AG14" s="41"/>
      <x:c r="AH14" s="41"/>
      <x:c r="AI14" s="41"/>
      <x:c r="AJ14" s="41"/>
      <x:c r="AK14" s="41"/>
      <x:c r="AL14" s="41"/>
      <x:c r="AM14" s="41"/>
      <x:c r="AN14" s="41"/>
      <x:c r="AO14" s="41"/>
      <x:c r="AP14" s="41"/>
      <x:c r="AQ14" s="41"/>
    </x:row>
    <x:row r="15">
      <x:c r="A15" s="20" t="str">
        <x:v>  Interest-bearing deposits</x:v>
      </x:c>
      <x:c r="B15" s="39" t="n">
        <x:f>'Net Interest Income'!B15*(('Monthly Balance'!B15+'Monthly Balance'!C15)/2)/((('Monthly Balance'!B15+'Monthly Balance'!C15)/2)+(('Monthly Balance'!C15+'Monthly Balance'!D15)/2)+(('Monthly Balance'!D15+'Monthly Balance'!E15)/2))</x:f>
        <x:v>618.6666666666666</x:v>
      </x:c>
      <x:c r="C15" s="39" t="n">
        <x:f>'Net Interest Income'!B15*(('Monthly Balance'!C15+'Monthly Balance'!D15)/2)/((('Monthly Balance'!B15+'Monthly Balance'!C15)/2)+(('Monthly Balance'!C15+'Monthly Balance'!D15)/2)+(('Monthly Balance'!D15+'Monthly Balance'!E15)/2))</x:f>
        <x:v>618.6666666666666</x:v>
      </x:c>
      <x:c r="D15" s="39" t="n">
        <x:f>'Net Interest Income'!B15*(('Monthly Balance'!D15+'Monthly Balance'!E15)/2)/((('Monthly Balance'!B15+'Monthly Balance'!C15)/2)+(('Monthly Balance'!C15+'Monthly Balance'!D15)/2)+(('Monthly Balance'!D15+'Monthly Balance'!E15)/2))</x:f>
        <x:v>618.6666666666666</x:v>
      </x:c>
      <x:c r="E15" s="39" t="n">
        <x:f>'Net Interest Income'!C15*(('Monthly Balance'!E15+'Monthly Balance'!F15)/2)/((('Monthly Balance'!E15+'Monthly Balance'!F15)/2)+(('Monthly Balance'!F15+'Monthly Balance'!G15)/2)+(('Monthly Balance'!G15+'Monthly Balance'!H15)/2))</x:f>
        <x:v>751.8609066847165</x:v>
      </x:c>
      <x:c r="F15" s="39" t="n">
        <x:f>'Net Interest Income'!C15*(('Monthly Balance'!F15+'Monthly Balance'!G15)/2)/((('Monthly Balance'!E15+'Monthly Balance'!F15)/2)+(('Monthly Balance'!F15+'Monthly Balance'!G15)/2)+(('Monthly Balance'!G15+'Monthly Balance'!H15)/2))</x:f>
        <x:v>759</x:v>
      </x:c>
      <x:c r="G15" s="39" t="n">
        <x:f>'Net Interest Income'!C15*(('Monthly Balance'!G15+'Monthly Balance'!H15)/2)/((('Monthly Balance'!E15+'Monthly Balance'!F15)/2)+(('Monthly Balance'!F15+'Monthly Balance'!G15)/2)+(('Monthly Balance'!G15+'Monthly Balance'!H15)/2))</x:f>
        <x:v>766.1390933152835</x:v>
      </x:c>
      <x:c r="H15" s="39" t="n">
        <x:f>'Net Interest Income'!D15*(('Monthly Balance'!H15+'Monthly Balance'!I15)/2)/((('Monthly Balance'!H15+'Monthly Balance'!I15)/2)+(('Monthly Balance'!I15+'Monthly Balance'!J15)/2)+(('Monthly Balance'!J15+'Monthly Balance'!K15)/2))</x:f>
        <x:v>873.2598541357273</x:v>
      </x:c>
      <x:c r="I15" s="39" t="n">
        <x:f>'Net Interest Income'!D15*(('Monthly Balance'!I15+'Monthly Balance'!J15)/2)/((('Monthly Balance'!H15+'Monthly Balance'!I15)/2)+(('Monthly Balance'!I15+'Monthly Balance'!J15)/2)+(('Monthly Balance'!J15+'Monthly Balance'!K15)/2))</x:f>
        <x:v>870.3333333333334</x:v>
      </x:c>
      <x:c r="J15" s="39" t="n">
        <x:f>'Net Interest Income'!D15*(('Monthly Balance'!J15+'Monthly Balance'!K15)/2)/((('Monthly Balance'!H15+'Monthly Balance'!I15)/2)+(('Monthly Balance'!I15+'Monthly Balance'!J15)/2)+(('Monthly Balance'!J15+'Monthly Balance'!K15)/2))</x:f>
        <x:v>867.4068125309394</x:v>
      </x:c>
      <x:c r="K15" s="39" t="n">
        <x:f>'Net Interest Income'!E15*(('Monthly Balance'!K15+'Monthly Balance'!L15)/2)/((('Monthly Balance'!K15+'Monthly Balance'!L15)/2)+(('Monthly Balance'!L15+'Monthly Balance'!M15)/2)+(('Monthly Balance'!M15+'Monthly Balance'!N15)/2))</x:f>
        <x:v>910.3716994590364</x:v>
      </x:c>
      <x:c r="L15" s="39" t="n">
        <x:f>'Net Interest Income'!E15*(('Monthly Balance'!L15+'Monthly Balance'!M15)/2)/((('Monthly Balance'!K15+'Monthly Balance'!L15)/2)+(('Monthly Balance'!L15+'Monthly Balance'!M15)/2)+(('Monthly Balance'!M15+'Monthly Balance'!N15)/2))</x:f>
        <x:v>915</x:v>
      </x:c>
      <x:c r="M15" s="39" t="n">
        <x:f>'Net Interest Income'!E15*(('Monthly Balance'!M15+'Monthly Balance'!N15)/2)/((('Monthly Balance'!K15+'Monthly Balance'!L15)/2)+(('Monthly Balance'!L15+'Monthly Balance'!M15)/2)+(('Monthly Balance'!M15+'Monthly Balance'!N15)/2))</x:f>
        <x:v>919.6283005409636</x:v>
      </x:c>
      <x:c r="N15" s="39" t="n">
        <x:f>'Net Interest Income'!F15*(('Monthly Balance'!N15+'Monthly Balance'!O15)/2)/((('Monthly Balance'!N15+'Monthly Balance'!O15)/2)+(('Monthly Balance'!O15+'Monthly Balance'!P15)/2)+(('Monthly Balance'!P15+'Monthly Balance'!Q15)/2))</x:f>
        <x:v>938.8953102702324</x:v>
      </x:c>
      <x:c r="O15" s="39" t="n">
        <x:f>'Net Interest Income'!F15*(('Monthly Balance'!O15+'Monthly Balance'!P15)/2)/((('Monthly Balance'!N15+'Monthly Balance'!O15)/2)+(('Monthly Balance'!O15+'Monthly Balance'!P15)/2)+(('Monthly Balance'!P15+'Monthly Balance'!Q15)/2))</x:f>
        <x:v>937.3333333333334</x:v>
      </x:c>
      <x:c r="P15" s="39" t="n">
        <x:f>'Net Interest Income'!F15*(('Monthly Balance'!P15+'Monthly Balance'!Q15)/2)/((('Monthly Balance'!N15+'Monthly Balance'!O15)/2)+(('Monthly Balance'!O15+'Monthly Balance'!P15)/2)+(('Monthly Balance'!P15+'Monthly Balance'!Q15)/2))</x:f>
        <x:v>935.7713563964343</x:v>
      </x:c>
      <x:c r="Q15" s="39" t="n">
        <x:f>'Net Interest Income'!G15*(('Monthly Balance'!Q15+'Monthly Balance'!R15)/2)/((('Monthly Balance'!Q15+'Monthly Balance'!R15)/2)+(('Monthly Balance'!R15+'Monthly Balance'!S15)/2)+(('Monthly Balance'!S15+'Monthly Balance'!T15)/2))</x:f>
        <x:v>948.245207663605</x:v>
      </x:c>
      <x:c r="R15" s="39" t="n">
        <x:f>'Net Interest Income'!G15*(('Monthly Balance'!R15+'Monthly Balance'!S15)/2)/((('Monthly Balance'!Q15+'Monthly Balance'!R15)/2)+(('Monthly Balance'!R15+'Monthly Balance'!S15)/2)+(('Monthly Balance'!S15+'Monthly Balance'!T15)/2))</x:f>
        <x:v>958</x:v>
      </x:c>
      <x:c r="S15" s="39" t="n">
        <x:f>'Net Interest Income'!G15*(('Monthly Balance'!S15+'Monthly Balance'!T15)/2)/((('Monthly Balance'!Q15+'Monthly Balance'!R15)/2)+(('Monthly Balance'!R15+'Monthly Balance'!S15)/2)+(('Monthly Balance'!S15+'Monthly Balance'!T15)/2))</x:f>
        <x:v>967.754792336395</x:v>
      </x:c>
      <x:c r="T15" s="39" t="n">
        <x:f>'Net Interest Income'!H15*(('Monthly Balance'!T15+'Monthly Balance'!U15)/2)/((('Monthly Balance'!T15+'Monthly Balance'!U15)/2)+(('Monthly Balance'!U15+'Monthly Balance'!V15)/2)+(('Monthly Balance'!V15+'Monthly Balance'!W15)/2))</x:f>
        <x:v>987.7148159903801</x:v>
      </x:c>
      <x:c r="U15" s="39" t="n">
        <x:f>'Net Interest Income'!H15*(('Monthly Balance'!U15+'Monthly Balance'!V15)/2)/((('Monthly Balance'!T15+'Monthly Balance'!U15)/2)+(('Monthly Balance'!U15+'Monthly Balance'!V15)/2)+(('Monthly Balance'!V15+'Monthly Balance'!W15)/2))</x:f>
        <x:v>981.6666666666666</x:v>
      </x:c>
      <x:c r="V15" s="39" t="n">
        <x:f>'Net Interest Income'!H15*(('Monthly Balance'!V15+'Monthly Balance'!W15)/2)/((('Monthly Balance'!T15+'Monthly Balance'!U15)/2)+(('Monthly Balance'!U15+'Monthly Balance'!V15)/2)+(('Monthly Balance'!V15+'Monthly Balance'!W15)/2))</x:f>
        <x:v>975.6185173429533</x:v>
      </x:c>
      <x:c r="W15" s="39" t="n">
        <x:f>'Net Interest Income'!I15*(('Monthly Balance'!W15+'Monthly Balance'!X15)/2)/((('Monthly Balance'!W15+'Monthly Balance'!X15)/2)+(('Monthly Balance'!X15+'Monthly Balance'!Y15)/2)+(('Monthly Balance'!Y15+'Monthly Balance'!Z15)/2))</x:f>
        <x:v>934.6104577528497</x:v>
      </x:c>
      <x:c r="X15" s="39" t="n">
        <x:f>'Net Interest Income'!I15*(('Monthly Balance'!X15+'Monthly Balance'!Y15)/2)/((('Monthly Balance'!W15+'Monthly Balance'!X15)/2)+(('Monthly Balance'!X15+'Monthly Balance'!Y15)/2)+(('Monthly Balance'!Y15+'Monthly Balance'!Z15)/2))</x:f>
        <x:v>954</x:v>
      </x:c>
      <x:c r="Y15" s="39" t="n">
        <x:f>'Net Interest Income'!I15*(('Monthly Balance'!Y15+'Monthly Balance'!Z15)/2)/((('Monthly Balance'!W15+'Monthly Balance'!X15)/2)+(('Monthly Balance'!X15+'Monthly Balance'!Y15)/2)+(('Monthly Balance'!Y15+'Monthly Balance'!Z15)/2))</x:f>
        <x:v>973.3895422471503</x:v>
      </x:c>
      <x:c r="Z15" s="39" t="n">
        <x:f>'Net Interest Income'!J15*(('Monthly Balance'!Z15+'Monthly Balance'!AA15)/2)/((('Monthly Balance'!Z15+'Monthly Balance'!AA15)/2)+(('Monthly Balance'!AA15+'Monthly Balance'!AB15)/2)+(('Monthly Balance'!AB15+'Monthly Balance'!AC15)/2))</x:f>
        <x:v>911.9469768726815</x:v>
      </x:c>
      <x:c r="AA15" s="39" t="n">
        <x:f>'Net Interest Income'!J15*(('Monthly Balance'!AA15+'Monthly Balance'!AB15)/2)/((('Monthly Balance'!Z15+'Monthly Balance'!AA15)/2)+(('Monthly Balance'!AA15+'Monthly Balance'!AB15)/2)+(('Monthly Balance'!AB15+'Monthly Balance'!AC15)/2))</x:f>
        <x:v>905</x:v>
      </x:c>
      <x:c r="AB15" s="39" t="n">
        <x:f>'Net Interest Income'!J15*(('Monthly Balance'!AB15+'Monthly Balance'!AC15)/2)/((('Monthly Balance'!Z15+'Monthly Balance'!AA15)/2)+(('Monthly Balance'!AA15+'Monthly Balance'!AB15)/2)+(('Monthly Balance'!AB15+'Monthly Balance'!AC15)/2))</x:f>
        <x:v>898.0530231273185</x:v>
      </x:c>
      <x:c r="AC15" s="39" t="n">
        <x:f>'Net Interest Income'!K15*(('Monthly Balance'!AC15+'Monthly Balance'!AD15)/2)/((('Monthly Balance'!AC15+'Monthly Balance'!AD15)/2)+(('Monthly Balance'!AD15+'Monthly Balance'!AE15)/2)+(('Monthly Balance'!AE15+'Monthly Balance'!AF15)/2))</x:f>
        <x:v>944.7429820641507</x:v>
      </x:c>
      <x:c r="AD15" s="39" t="n">
        <x:f>'Net Interest Income'!K15*(('Monthly Balance'!AD15+'Monthly Balance'!AE15)/2)/((('Monthly Balance'!AC15+'Monthly Balance'!AD15)/2)+(('Monthly Balance'!AD15+'Monthly Balance'!AE15)/2)+(('Monthly Balance'!AE15+'Monthly Balance'!AF15)/2))</x:f>
        <x:v>1040</x:v>
      </x:c>
      <x:c r="AE15" s="39" t="n">
        <x:f>'Net Interest Income'!K15*(('Monthly Balance'!AE15+'Monthly Balance'!AF15)/2)/((('Monthly Balance'!AC15+'Monthly Balance'!AD15)/2)+(('Monthly Balance'!AD15+'Monthly Balance'!AE15)/2)+(('Monthly Balance'!AE15+'Monthly Balance'!AF15)/2))</x:f>
        <x:v>1135.2570179358493</x:v>
      </x:c>
      <x:c r="AF15" s="39" t="n">
        <x:f>'Net Interest Income'!L15*(('Monthly Balance'!AF15+'Monthly Balance'!AG15)/2)/((('Monthly Balance'!AF15+'Monthly Balance'!AG15)/2)+(('Monthly Balance'!AG15+'Monthly Balance'!AH15)/2)+(('Monthly Balance'!AH15+'Monthly Balance'!AI15)/2))</x:f>
        <x:v>1200.4567159696674</x:v>
      </x:c>
      <x:c r="AG15" s="39" t="n">
        <x:f>'Net Interest Income'!L15*(('Monthly Balance'!AG15+'Monthly Balance'!AH15)/2)/((('Monthly Balance'!AF15+'Monthly Balance'!AG15)/2)+(('Monthly Balance'!AG15+'Monthly Balance'!AH15)/2)+(('Monthly Balance'!AH15+'Monthly Balance'!AI15)/2))</x:f>
        <x:v>1199</x:v>
      </x:c>
      <x:c r="AH15" s="39" t="n">
        <x:f>'Net Interest Income'!L15*(('Monthly Balance'!AH15+'Monthly Balance'!AI15)/2)/((('Monthly Balance'!AF15+'Monthly Balance'!AG15)/2)+(('Monthly Balance'!AG15+'Monthly Balance'!AH15)/2)+(('Monthly Balance'!AH15+'Monthly Balance'!AI15)/2))</x:f>
        <x:v>1197.5432840303326</x:v>
      </x:c>
      <x:c r="AI15" s="39" t="n">
        <x:f>'Net Interest Income'!M15*(('Monthly Balance'!AI15+'Monthly Balance'!AJ15)/2)/((('Monthly Balance'!AI15+'Monthly Balance'!AJ15)/2)+(('Monthly Balance'!AJ15+'Monthly Balance'!AK15)/2)+(('Monthly Balance'!AK15+'Monthly Balance'!AL15)/2))</x:f>
        <x:v>1156.475014396138</x:v>
      </x:c>
      <x:c r="AJ15" s="39" t="n">
        <x:f>'Net Interest Income'!M15*(('Monthly Balance'!AJ15+'Monthly Balance'!AK15)/2)/((('Monthly Balance'!AI15+'Monthly Balance'!AJ15)/2)+(('Monthly Balance'!AJ15+'Monthly Balance'!AK15)/2)+(('Monthly Balance'!AK15+'Monthly Balance'!AL15)/2))</x:f>
        <x:v>1164.3333333333333</x:v>
      </x:c>
      <x:c r="AK15" s="39" t="n">
        <x:f>'Net Interest Income'!M15*(('Monthly Balance'!AK15+'Monthly Balance'!AL15)/2)/((('Monthly Balance'!AI15+'Monthly Balance'!AJ15)/2)+(('Monthly Balance'!AJ15+'Monthly Balance'!AK15)/2)+(('Monthly Balance'!AK15+'Monthly Balance'!AL15)/2))</x:f>
        <x:v>1172.1916522705287</x:v>
      </x:c>
      <x:c r="AL15" s="39" t="n">
        <x:f>'Net Interest Income'!N15*(('Monthly Balance'!AL15+'Monthly Balance'!AM15)/2)/((('Monthly Balance'!AL15+'Monthly Balance'!AM15)/2)+(('Monthly Balance'!AM15+'Monthly Balance'!AN15)/2)+(('Monthly Balance'!AN15+'Monthly Balance'!AO15)/2))</x:f>
        <x:v>1121.9106043274028</x:v>
      </x:c>
      <x:c r="AM15" s="39" t="n">
        <x:f>'Net Interest Income'!N15*(('Monthly Balance'!AM15+'Monthly Balance'!AN15)/2)/((('Monthly Balance'!AL15+'Monthly Balance'!AM15)/2)+(('Monthly Balance'!AM15+'Monthly Balance'!AN15)/2)+(('Monthly Balance'!AN15+'Monthly Balance'!AO15)/2))</x:f>
        <x:v>1129</x:v>
      </x:c>
      <x:c r="AN15" s="39" t="n">
        <x:f>'Net Interest Income'!N15*(('Monthly Balance'!AN15+'Monthly Balance'!AO15)/2)/((('Monthly Balance'!AL15+'Monthly Balance'!AM15)/2)+(('Monthly Balance'!AM15+'Monthly Balance'!AN15)/2)+(('Monthly Balance'!AN15+'Monthly Balance'!AO15)/2))</x:f>
        <x:v>1136.0893956725972</x:v>
      </x:c>
      <x:c r="AO15" s="39" t="n">
        <x:f>'Net Interest Income'!O15*(('Monthly Balance'!AO15+'Monthly Balance'!AP15)/2)/((('Monthly Balance'!AO15+'Monthly Balance'!AP15)/2)+(('Monthly Balance'!AP15+'Monthly Balance'!AQ15)/2)+(('Monthly Balance'!AQ15+'Monthly Balance'!AR15)/2))</x:f>
        <x:v>1109.5643895352362</x:v>
      </x:c>
      <x:c r="AP15" s="39" t="n">
        <x:f>'Net Interest Income'!O15*(('Monthly Balance'!AP15+'Monthly Balance'!AQ15)/2)/((('Monthly Balance'!AO15+'Monthly Balance'!AP15)/2)+(('Monthly Balance'!AP15+'Monthly Balance'!AQ15)/2)+(('Monthly Balance'!AQ15+'Monthly Balance'!AR15)/2))</x:f>
        <x:v>1112.6666666666667</x:v>
      </x:c>
      <x:c r="AQ15" s="39" t="n">
        <x:f>'Net Interest Income'!O15*(('Monthly Balance'!AQ15+'Monthly Balance'!AR15)/2)/((('Monthly Balance'!AO15+'Monthly Balance'!AP15)/2)+(('Monthly Balance'!AP15+'Monthly Balance'!AQ15)/2)+(('Monthly Balance'!AQ15+'Monthly Balance'!AR15)/2))</x:f>
        <x:v>1115.768943798097</x:v>
      </x:c>
    </x:row>
    <x:row r="16">
      <x:c r="A16" s="20" t="str">
        <x:v>  Securitized debt obligations</x:v>
      </x:c>
      <x:c r="B16" s="39" t="n">
        <x:f>'Net Interest Income'!B16*(('Monthly Balance'!B16+'Monthly Balance'!C16)/2)/((('Monthly Balance'!B16+'Monthly Balance'!C16)/2)+(('Monthly Balance'!C16+'Monthly Balance'!D16)/2)+(('Monthly Balance'!D16+'Monthly Balance'!E16)/2))</x:f>
        <x:v>70.33333333333333</x:v>
      </x:c>
      <x:c r="C16" s="39" t="n">
        <x:f>'Net Interest Income'!B16*(('Monthly Balance'!C16+'Monthly Balance'!D16)/2)/((('Monthly Balance'!B16+'Monthly Balance'!C16)/2)+(('Monthly Balance'!C16+'Monthly Balance'!D16)/2)+(('Monthly Balance'!D16+'Monthly Balance'!E16)/2))</x:f>
        <x:v>70.33333333333333</x:v>
      </x:c>
      <x:c r="D16" s="39" t="n">
        <x:f>'Net Interest Income'!B16*(('Monthly Balance'!D16+'Monthly Balance'!E16)/2)/((('Monthly Balance'!B16+'Monthly Balance'!C16)/2)+(('Monthly Balance'!C16+'Monthly Balance'!D16)/2)+(('Monthly Balance'!D16+'Monthly Balance'!E16)/2))</x:f>
        <x:v>70.33333333333333</x:v>
      </x:c>
      <x:c r="E16" s="39" t="n">
        <x:f>'Net Interest Income'!C16*(('Monthly Balance'!E16+'Monthly Balance'!F16)/2)/((('Monthly Balance'!E16+'Monthly Balance'!F16)/2)+(('Monthly Balance'!F16+'Monthly Balance'!G16)/2)+(('Monthly Balance'!G16+'Monthly Balance'!H16)/2))</x:f>
        <x:v>77.13208160611235</x:v>
      </x:c>
      <x:c r="F16" s="39" t="n">
        <x:f>'Net Interest Income'!C16*(('Monthly Balance'!F16+'Monthly Balance'!G16)/2)/((('Monthly Balance'!E16+'Monthly Balance'!F16)/2)+(('Monthly Balance'!F16+'Monthly Balance'!G16)/2)+(('Monthly Balance'!G16+'Monthly Balance'!H16)/2))</x:f>
        <x:v>78.66666666666667</x:v>
      </x:c>
      <x:c r="G16" s="39" t="n">
        <x:f>'Net Interest Income'!C16*(('Monthly Balance'!G16+'Monthly Balance'!H16)/2)/((('Monthly Balance'!E16+'Monthly Balance'!F16)/2)+(('Monthly Balance'!F16+'Monthly Balance'!G16)/2)+(('Monthly Balance'!G16+'Monthly Balance'!H16)/2))</x:f>
        <x:v>80.20125172722099</x:v>
      </x:c>
      <x:c r="H16" s="39" t="n">
        <x:f>'Net Interest Income'!D16*(('Monthly Balance'!H16+'Monthly Balance'!I16)/2)/((('Monthly Balance'!H16+'Monthly Balance'!I16)/2)+(('Monthly Balance'!I16+'Monthly Balance'!J16)/2)+(('Monthly Balance'!J16+'Monthly Balance'!K16)/2))</x:f>
        <x:v>85.01280525808828</x:v>
      </x:c>
      <x:c r="I16" s="39" t="n">
        <x:f>'Net Interest Income'!D16*(('Monthly Balance'!I16+'Monthly Balance'!J16)/2)/((('Monthly Balance'!H16+'Monthly Balance'!I16)/2)+(('Monthly Balance'!I16+'Monthly Balance'!J16)/2)+(('Monthly Balance'!J16+'Monthly Balance'!K16)/2))</x:f>
        <x:v>83</x:v>
      </x:c>
      <x:c r="J16" s="39" t="n">
        <x:f>'Net Interest Income'!D16*(('Monthly Balance'!J16+'Monthly Balance'!K16)/2)/((('Monthly Balance'!H16+'Monthly Balance'!I16)/2)+(('Monthly Balance'!I16+'Monthly Balance'!J16)/2)+(('Monthly Balance'!J16+'Monthly Balance'!K16)/2))</x:f>
        <x:v>80.98719474191172</x:v>
      </x:c>
      <x:c r="K16" s="39" t="n">
        <x:f>'Net Interest Income'!E16*(('Monthly Balance'!K16+'Monthly Balance'!L16)/2)/((('Monthly Balance'!K16+'Monthly Balance'!L16)/2)+(('Monthly Balance'!L16+'Monthly Balance'!M16)/2)+(('Monthly Balance'!M16+'Monthly Balance'!N16)/2))</x:f>
        <x:v>84.36283393123513</x:v>
      </x:c>
      <x:c r="L16" s="39" t="n">
        <x:f>'Net Interest Income'!E16*(('Monthly Balance'!L16+'Monthly Balance'!M16)/2)/((('Monthly Balance'!K16+'Monthly Balance'!L16)/2)+(('Monthly Balance'!L16+'Monthly Balance'!M16)/2)+(('Monthly Balance'!M16+'Monthly Balance'!N16)/2))</x:f>
        <x:v>87.66666666666667</x:v>
      </x:c>
      <x:c r="M16" s="39" t="n">
        <x:f>'Net Interest Income'!E16*(('Monthly Balance'!M16+'Monthly Balance'!N16)/2)/((('Monthly Balance'!K16+'Monthly Balance'!L16)/2)+(('Monthly Balance'!L16+'Monthly Balance'!M16)/2)+(('Monthly Balance'!M16+'Monthly Balance'!N16)/2))</x:f>
        <x:v>90.97049940209821</x:v>
      </x:c>
      <x:c r="N16" s="39" t="n">
        <x:f>'Net Interest Income'!F16*(('Monthly Balance'!N16+'Monthly Balance'!O16)/2)/((('Monthly Balance'!N16+'Monthly Balance'!O16)/2)+(('Monthly Balance'!O16+'Monthly Balance'!P16)/2)+(('Monthly Balance'!P16+'Monthly Balance'!Q16)/2))</x:f>
        <x:v>90.93148688046647</x:v>
      </x:c>
      <x:c r="O16" s="39" t="n">
        <x:f>'Net Interest Income'!F16*(('Monthly Balance'!O16+'Monthly Balance'!P16)/2)/((('Monthly Balance'!N16+'Monthly Balance'!O16)/2)+(('Monthly Balance'!O16+'Monthly Balance'!P16)/2)+(('Monthly Balance'!P16+'Monthly Balance'!Q16)/2))</x:f>
        <x:v>87</x:v>
      </x:c>
      <x:c r="P16" s="39" t="n">
        <x:f>'Net Interest Income'!F16*(('Monthly Balance'!P16+'Monthly Balance'!Q16)/2)/((('Monthly Balance'!N16+'Monthly Balance'!O16)/2)+(('Monthly Balance'!O16+'Monthly Balance'!P16)/2)+(('Monthly Balance'!P16+'Monthly Balance'!Q16)/2))</x:f>
        <x:v>83.06851311953353</x:v>
      </x:c>
      <x:c r="Q16" s="39" t="n">
        <x:f>'Net Interest Income'!G16*(('Monthly Balance'!Q16+'Monthly Balance'!R16)/2)/((('Monthly Balance'!Q16+'Monthly Balance'!R16)/2)+(('Monthly Balance'!R16+'Monthly Balance'!S16)/2)+(('Monthly Balance'!S16+'Monthly Balance'!T16)/2))</x:f>
        <x:v>83.28970891588357</x:v>
      </x:c>
      <x:c r="R16" s="39" t="n">
        <x:f>'Net Interest Income'!G16*(('Monthly Balance'!R16+'Monthly Balance'!S16)/2)/((('Monthly Balance'!Q16+'Monthly Balance'!R16)/2)+(('Monthly Balance'!R16+'Monthly Balance'!S16)/2)+(('Monthly Balance'!S16+'Monthly Balance'!T16)/2))</x:f>
        <x:v>86</x:v>
      </x:c>
      <x:c r="S16" s="39" t="n">
        <x:f>'Net Interest Income'!G16*(('Monthly Balance'!S16+'Monthly Balance'!T16)/2)/((('Monthly Balance'!Q16+'Monthly Balance'!R16)/2)+(('Monthly Balance'!R16+'Monthly Balance'!S16)/2)+(('Monthly Balance'!S16+'Monthly Balance'!T16)/2))</x:f>
        <x:v>88.71029108411643</x:v>
      </x:c>
      <x:c r="T16" s="39" t="n">
        <x:f>'Net Interest Income'!H16*(('Monthly Balance'!T16+'Monthly Balance'!U16)/2)/((('Monthly Balance'!T16+'Monthly Balance'!U16)/2)+(('Monthly Balance'!U16+'Monthly Balance'!V16)/2)+(('Monthly Balance'!V16+'Monthly Balance'!W16)/2))</x:f>
        <x:v>86.02677951114761</x:v>
      </x:c>
      <x:c r="U16" s="39" t="n">
        <x:f>'Net Interest Income'!H16*(('Monthly Balance'!U16+'Monthly Balance'!V16)/2)/((('Monthly Balance'!T16+'Monthly Balance'!U16)/2)+(('Monthly Balance'!U16+'Monthly Balance'!V16)/2)+(('Monthly Balance'!V16+'Monthly Balance'!W16)/2))</x:f>
        <x:v>78</x:v>
      </x:c>
      <x:c r="V16" s="39" t="n">
        <x:f>'Net Interest Income'!H16*(('Monthly Balance'!V16+'Monthly Balance'!W16)/2)/((('Monthly Balance'!T16+'Monthly Balance'!U16)/2)+(('Monthly Balance'!U16+'Monthly Balance'!V16)/2)+(('Monthly Balance'!V16+'Monthly Balance'!W16)/2))</x:f>
        <x:v>69.9732204888524</x:v>
      </x:c>
      <x:c r="W16" s="39" t="n">
        <x:f>'Net Interest Income'!I16*(('Monthly Balance'!W16+'Monthly Balance'!X16)/2)/((('Monthly Balance'!W16+'Monthly Balance'!X16)/2)+(('Monthly Balance'!X16+'Monthly Balance'!Y16)/2)+(('Monthly Balance'!Y16+'Monthly Balance'!Z16)/2))</x:f>
        <x:v>63.658698242478394</x:v>
      </x:c>
      <x:c r="X16" s="39" t="n">
        <x:f>'Net Interest Income'!I16*(('Monthly Balance'!X16+'Monthly Balance'!Y16)/2)/((('Monthly Balance'!W16+'Monthly Balance'!X16)/2)+(('Monthly Balance'!X16+'Monthly Balance'!Y16)/2)+(('Monthly Balance'!Y16+'Monthly Balance'!Z16)/2))</x:f>
        <x:v>68.33333333333333</x:v>
      </x:c>
      <x:c r="Y16" s="39" t="n">
        <x:f>'Net Interest Income'!I16*(('Monthly Balance'!Y16+'Monthly Balance'!Z16)/2)/((('Monthly Balance'!W16+'Monthly Balance'!X16)/2)+(('Monthly Balance'!X16+'Monthly Balance'!Y16)/2)+(('Monthly Balance'!Y16+'Monthly Balance'!Z16)/2))</x:f>
        <x:v>73.00796842418828</x:v>
      </x:c>
      <x:c r="Z16" s="39" t="n">
        <x:f>'Net Interest Income'!J16*(('Monthly Balance'!Z16+'Monthly Balance'!AA16)/2)/((('Monthly Balance'!Z16+'Monthly Balance'!AA16)/2)+(('Monthly Balance'!AA16+'Monthly Balance'!AB16)/2)+(('Monthly Balance'!AB16+'Monthly Balance'!AC16)/2))</x:f>
        <x:v>66.41426132271664</x:v>
      </x:c>
      <x:c r="AA16" s="39" t="n">
        <x:f>'Net Interest Income'!J16*(('Monthly Balance'!AA16+'Monthly Balance'!AB16)/2)/((('Monthly Balance'!Z16+'Monthly Balance'!AA16)/2)+(('Monthly Balance'!AA16+'Monthly Balance'!AB16)/2)+(('Monthly Balance'!AB16+'Monthly Balance'!AC16)/2))</x:f>
        <x:v>58.666666666666664</x:v>
      </x:c>
      <x:c r="AB16" s="39" t="n">
        <x:f>'Net Interest Income'!J16*(('Monthly Balance'!AB16+'Monthly Balance'!AC16)/2)/((('Monthly Balance'!Z16+'Monthly Balance'!AA16)/2)+(('Monthly Balance'!AA16+'Monthly Balance'!AB16)/2)+(('Monthly Balance'!AB16+'Monthly Balance'!AC16)/2))</x:f>
        <x:v>50.919072010616695</x:v>
      </x:c>
      <x:c r="AC16" s="39" t="n">
        <x:f>'Net Interest Income'!K16*(('Monthly Balance'!AC16+'Monthly Balance'!AD16)/2)/((('Monthly Balance'!AC16+'Monthly Balance'!AD16)/2)+(('Monthly Balance'!AD16+'Monthly Balance'!AE16)/2)+(('Monthly Balance'!AE16+'Monthly Balance'!AF16)/2))</x:f>
        <x:v>48.98889996336902</x:v>
      </x:c>
      <x:c r="AD16" s="39" t="n">
        <x:f>'Net Interest Income'!K16*(('Monthly Balance'!AD16+'Monthly Balance'!AE16)/2)/((('Monthly Balance'!AC16+'Monthly Balance'!AD16)/2)+(('Monthly Balance'!AD16+'Monthly Balance'!AE16)/2)+(('Monthly Balance'!AE16+'Monthly Balance'!AF16)/2))</x:f>
        <x:v>54.666666666666664</x:v>
      </x:c>
      <x:c r="AE16" s="39" t="n">
        <x:f>'Net Interest Income'!K16*(('Monthly Balance'!AE16+'Monthly Balance'!AF16)/2)/((('Monthly Balance'!AC16+'Monthly Balance'!AD16)/2)+(('Monthly Balance'!AD16+'Monthly Balance'!AE16)/2)+(('Monthly Balance'!AE16+'Monthly Balance'!AF16)/2))</x:f>
        <x:v>60.34443336996431</x:v>
      </x:c>
      <x:c r="AF16" s="39" t="n">
        <x:f>'Net Interest Income'!L16*(('Monthly Balance'!AF16+'Monthly Balance'!AG16)/2)/((('Monthly Balance'!AF16+'Monthly Balance'!AG16)/2)+(('Monthly Balance'!AG16+'Monthly Balance'!AH16)/2)+(('Monthly Balance'!AH16+'Monthly Balance'!AI16)/2))</x:f>
        <x:v>61.119152669195245</x:v>
      </x:c>
      <x:c r="AG16" s="39" t="n">
        <x:f>'Net Interest Income'!L16*(('Monthly Balance'!AG16+'Monthly Balance'!AH16)/2)/((('Monthly Balance'!AF16+'Monthly Balance'!AG16)/2)+(('Monthly Balance'!AG16+'Monthly Balance'!AH16)/2)+(('Monthly Balance'!AH16+'Monthly Balance'!AI16)/2))</x:f>
        <x:v>55</x:v>
      </x:c>
      <x:c r="AH16" s="39" t="n">
        <x:f>'Net Interest Income'!L16*(('Monthly Balance'!AH16+'Monthly Balance'!AI16)/2)/((('Monthly Balance'!AF16+'Monthly Balance'!AG16)/2)+(('Monthly Balance'!AG16+'Monthly Balance'!AH16)/2)+(('Monthly Balance'!AH16+'Monthly Balance'!AI16)/2))</x:f>
        <x:v>48.88084733080476</x:v>
      </x:c>
      <x:c r="AI16" s="39" t="n">
        <x:f>'Net Interest Income'!M16*(('Monthly Balance'!AI16+'Monthly Balance'!AJ16)/2)/((('Monthly Balance'!AI16+'Monthly Balance'!AJ16)/2)+(('Monthly Balance'!AJ16+'Monthly Balance'!AK16)/2)+(('Monthly Balance'!AK16+'Monthly Balance'!AL16)/2))</x:f>
        <x:v>46.48694874223766</x:v>
      </x:c>
      <x:c r="AJ16" s="39" t="n">
        <x:f>'Net Interest Income'!M16*(('Monthly Balance'!AJ16+'Monthly Balance'!AK16)/2)/((('Monthly Balance'!AI16+'Monthly Balance'!AJ16)/2)+(('Monthly Balance'!AJ16+'Monthly Balance'!AK16)/2)+(('Monthly Balance'!AK16+'Monthly Balance'!AL16)/2))</x:f>
        <x:v>51.666666666666664</x:v>
      </x:c>
      <x:c r="AK16" s="39" t="n">
        <x:f>'Net Interest Income'!M16*(('Monthly Balance'!AK16+'Monthly Balance'!AL16)/2)/((('Monthly Balance'!AI16+'Monthly Balance'!AJ16)/2)+(('Monthly Balance'!AJ16+'Monthly Balance'!AK16)/2)+(('Monthly Balance'!AK16+'Monthly Balance'!AL16)/2))</x:f>
        <x:v>56.84638459109567</x:v>
      </x:c>
      <x:c r="AL16" s="39" t="n">
        <x:f>'Net Interest Income'!N16*(('Monthly Balance'!AL16+'Monthly Balance'!AM16)/2)/((('Monthly Balance'!AL16+'Monthly Balance'!AM16)/2)+(('Monthly Balance'!AM16+'Monthly Balance'!AN16)/2)+(('Monthly Balance'!AN16+'Monthly Balance'!AO16)/2))</x:f>
        <x:v>52.26659185636422</x:v>
      </x:c>
      <x:c r="AM16" s="39" t="n">
        <x:f>'Net Interest Income'!N16*(('Monthly Balance'!AM16+'Monthly Balance'!AN16)/2)/((('Monthly Balance'!AL16+'Monthly Balance'!AM16)/2)+(('Monthly Balance'!AM16+'Monthly Balance'!AN16)/2)+(('Monthly Balance'!AN16+'Monthly Balance'!AO16)/2))</x:f>
        <x:v>47</x:v>
      </x:c>
      <x:c r="AN16" s="39" t="n">
        <x:f>'Net Interest Income'!N16*(('Monthly Balance'!AN16+'Monthly Balance'!AO16)/2)/((('Monthly Balance'!AL16+'Monthly Balance'!AM16)/2)+(('Monthly Balance'!AM16+'Monthly Balance'!AN16)/2)+(('Monthly Balance'!AN16+'Monthly Balance'!AO16)/2))</x:f>
        <x:v>41.73340814363578</x:v>
      </x:c>
      <x:c r="AO16" s="39" t="n">
        <x:f>'Net Interest Income'!O16*(('Monthly Balance'!AO16+'Monthly Balance'!AP16)/2)/((('Monthly Balance'!AO16+'Monthly Balance'!AP16)/2)+(('Monthly Balance'!AP16+'Monthly Balance'!AQ16)/2)+(('Monthly Balance'!AQ16+'Monthly Balance'!AR16)/2))</x:f>
        <x:v>39.48223748773307</x:v>
      </x:c>
      <x:c r="AP16" s="39" t="n">
        <x:f>'Net Interest Income'!O16*(('Monthly Balance'!AP16+'Monthly Balance'!AQ16)/2)/((('Monthly Balance'!AO16+'Monthly Balance'!AP16)/2)+(('Monthly Balance'!AP16+'Monthly Balance'!AQ16)/2)+(('Monthly Balance'!AQ16+'Monthly Balance'!AR16)/2))</x:f>
        <x:v>39</x:v>
      </x:c>
      <x:c r="AQ16" s="39" t="n">
        <x:f>'Net Interest Income'!O16*(('Monthly Balance'!AQ16+'Monthly Balance'!AR16)/2)/((('Monthly Balance'!AO16+'Monthly Balance'!AP16)/2)+(('Monthly Balance'!AP16+'Monthly Balance'!AQ16)/2)+(('Monthly Balance'!AQ16+'Monthly Balance'!AR16)/2))</x:f>
        <x:v>38.51776251226693</x:v>
      </x:c>
    </x:row>
    <x:row r="17">
      <x:c r="A17" s="20" t="str">
        <x:v>  Senior and subordinated notes</x:v>
      </x:c>
      <x:c r="B17" s="39" t="n">
        <x:f>'Net Interest Income'!B17*(('Monthly Balance'!B17+'Monthly Balance'!C17)/2)/((('Monthly Balance'!B17+'Monthly Balance'!C17)/2)+(('Monthly Balance'!C17+'Monthly Balance'!D17)/2)+(('Monthly Balance'!D17+'Monthly Balance'!E17)/2))</x:f>
        <x:v>163</x:v>
      </x:c>
      <x:c r="C17" s="39" t="n">
        <x:f>'Net Interest Income'!B17*(('Monthly Balance'!C17+'Monthly Balance'!D17)/2)/((('Monthly Balance'!B17+'Monthly Balance'!C17)/2)+(('Monthly Balance'!C17+'Monthly Balance'!D17)/2)+(('Monthly Balance'!D17+'Monthly Balance'!E17)/2))</x:f>
        <x:v>163</x:v>
      </x:c>
      <x:c r="D17" s="39" t="n">
        <x:f>'Net Interest Income'!B17*(('Monthly Balance'!D17+'Monthly Balance'!E17)/2)/((('Monthly Balance'!B17+'Monthly Balance'!C17)/2)+(('Monthly Balance'!C17+'Monthly Balance'!D17)/2)+(('Monthly Balance'!D17+'Monthly Balance'!E17)/2))</x:f>
        <x:v>163</x:v>
      </x:c>
      <x:c r="E17" s="39" t="n">
        <x:f>'Net Interest Income'!C17*(('Monthly Balance'!E17+'Monthly Balance'!F17)/2)/((('Monthly Balance'!E17+'Monthly Balance'!F17)/2)+(('Monthly Balance'!F17+'Monthly Balance'!G17)/2)+(('Monthly Balance'!G17+'Monthly Balance'!H17)/2))</x:f>
        <x:v>175.90274416188677</x:v>
      </x:c>
      <x:c r="F17" s="39" t="n">
        <x:f>'Net Interest Income'!C17*(('Monthly Balance'!F17+'Monthly Balance'!G17)/2)/((('Monthly Balance'!E17+'Monthly Balance'!F17)/2)+(('Monthly Balance'!F17+'Monthly Balance'!G17)/2)+(('Monthly Balance'!G17+'Monthly Balance'!H17)/2))</x:f>
        <x:v>176</x:v>
      </x:c>
      <x:c r="G17" s="39" t="n">
        <x:f>'Net Interest Income'!C17*(('Monthly Balance'!G17+'Monthly Balance'!H17)/2)/((('Monthly Balance'!E17+'Monthly Balance'!F17)/2)+(('Monthly Balance'!F17+'Monthly Balance'!G17)/2)+(('Monthly Balance'!G17+'Monthly Balance'!H17)/2))</x:f>
        <x:v>176.09725583811323</x:v>
      </x:c>
      <x:c r="H17" s="39" t="n">
        <x:f>'Net Interest Income'!D17*(('Monthly Balance'!H17+'Monthly Balance'!I17)/2)/((('Monthly Balance'!H17+'Monthly Balance'!I17)/2)+(('Monthly Balance'!I17+'Monthly Balance'!J17)/2)+(('Monthly Balance'!J17+'Monthly Balance'!K17)/2))</x:f>
        <x:v>187.54670811919718</x:v>
      </x:c>
      <x:c r="I17" s="39" t="n">
        <x:f>'Net Interest Income'!D17*(('Monthly Balance'!I17+'Monthly Balance'!J17)/2)/((('Monthly Balance'!H17+'Monthly Balance'!I17)/2)+(('Monthly Balance'!I17+'Monthly Balance'!J17)/2)+(('Monthly Balance'!J17+'Monthly Balance'!K17)/2))</x:f>
        <x:v>193</x:v>
      </x:c>
      <x:c r="J17" s="39" t="n">
        <x:f>'Net Interest Income'!D17*(('Monthly Balance'!J17+'Monthly Balance'!K17)/2)/((('Monthly Balance'!H17+'Monthly Balance'!I17)/2)+(('Monthly Balance'!I17+'Monthly Balance'!J17)/2)+(('Monthly Balance'!J17+'Monthly Balance'!K17)/2))</x:f>
        <x:v>198.45329188080282</x:v>
      </x:c>
      <x:c r="K17" s="39" t="n">
        <x:f>'Net Interest Income'!E17*(('Monthly Balance'!K17+'Monthly Balance'!L17)/2)/((('Monthly Balance'!K17+'Monthly Balance'!L17)/2)+(('Monthly Balance'!L17+'Monthly Balance'!M17)/2)+(('Monthly Balance'!M17+'Monthly Balance'!N17)/2))</x:f>
        <x:v>203.72342013516138</x:v>
      </x:c>
      <x:c r="L17" s="39" t="n">
        <x:f>'Net Interest Income'!E17*(('Monthly Balance'!L17+'Monthly Balance'!M17)/2)/((('Monthly Balance'!K17+'Monthly Balance'!L17)/2)+(('Monthly Balance'!L17+'Monthly Balance'!M17)/2)+(('Monthly Balance'!M17+'Monthly Balance'!N17)/2))</x:f>
        <x:v>202.66666666666666</x:v>
      </x:c>
      <x:c r="M17" s="39" t="n">
        <x:f>'Net Interest Income'!E17*(('Monthly Balance'!M17+'Monthly Balance'!N17)/2)/((('Monthly Balance'!K17+'Monthly Balance'!L17)/2)+(('Monthly Balance'!L17+'Monthly Balance'!M17)/2)+(('Monthly Balance'!M17+'Monthly Balance'!N17)/2))</x:f>
        <x:v>201.60991319817194</x:v>
      </x:c>
      <x:c r="N17" s="39" t="n">
        <x:f>'Net Interest Income'!F17*(('Monthly Balance'!N17+'Monthly Balance'!O17)/2)/((('Monthly Balance'!N17+'Monthly Balance'!O17)/2)+(('Monthly Balance'!O17+'Monthly Balance'!P17)/2)+(('Monthly Balance'!P17+'Monthly Balance'!Q17)/2))</x:f>
        <x:v>202.57276499746465</x:v>
      </x:c>
      <x:c r="O17" s="39" t="n">
        <x:f>'Net Interest Income'!F17*(('Monthly Balance'!O17+'Monthly Balance'!P17)/2)/((('Monthly Balance'!N17+'Monthly Balance'!O17)/2)+(('Monthly Balance'!O17+'Monthly Balance'!P17)/2)+(('Monthly Balance'!P17+'Monthly Balance'!Q17)/2))</x:f>
        <x:v>202</x:v>
      </x:c>
      <x:c r="P17" s="39" t="n">
        <x:f>'Net Interest Income'!F17*(('Monthly Balance'!P17+'Monthly Balance'!Q17)/2)/((('Monthly Balance'!N17+'Monthly Balance'!O17)/2)+(('Monthly Balance'!O17+'Monthly Balance'!P17)/2)+(('Monthly Balance'!P17+'Monthly Balance'!Q17)/2))</x:f>
        <x:v>201.42723500253535</x:v>
      </x:c>
      <x:c r="Q17" s="39" t="n">
        <x:f>'Net Interest Income'!G17*(('Monthly Balance'!Q17+'Monthly Balance'!R17)/2)/((('Monthly Balance'!Q17+'Monthly Balance'!R17)/2)+(('Monthly Balance'!R17+'Monthly Balance'!S17)/2)+(('Monthly Balance'!S17+'Monthly Balance'!T17)/2))</x:f>
        <x:v>201.64656638044204</x:v>
      </x:c>
      <x:c r="R17" s="39" t="n">
        <x:f>'Net Interest Income'!G17*(('Monthly Balance'!R17+'Monthly Balance'!S17)/2)/((('Monthly Balance'!Q17+'Monthly Balance'!R17)/2)+(('Monthly Balance'!R17+'Monthly Balance'!S17)/2)+(('Monthly Balance'!S17+'Monthly Balance'!T17)/2))</x:f>
        <x:v>197</x:v>
      </x:c>
      <x:c r="S17" s="39" t="n">
        <x:f>'Net Interest Income'!G17*(('Monthly Balance'!S17+'Monthly Balance'!T17)/2)/((('Monthly Balance'!Q17+'Monthly Balance'!R17)/2)+(('Monthly Balance'!R17+'Monthly Balance'!S17)/2)+(('Monthly Balance'!S17+'Monthly Balance'!T17)/2))</x:f>
        <x:v>192.35343361955796</x:v>
      </x:c>
      <x:c r="T17" s="39" t="n">
        <x:f>'Net Interest Income'!H17*(('Monthly Balance'!T17+'Monthly Balance'!U17)/2)/((('Monthly Balance'!T17+'Monthly Balance'!U17)/2)+(('Monthly Balance'!U17+'Monthly Balance'!V17)/2)+(('Monthly Balance'!V17+'Monthly Balance'!W17)/2))</x:f>
        <x:v>189.74223997725136</x:v>
      </x:c>
      <x:c r="U17" s="39" t="n">
        <x:f>'Net Interest Income'!H17*(('Monthly Balance'!U17+'Monthly Balance'!V17)/2)/((('Monthly Balance'!T17+'Monthly Balance'!U17)/2)+(('Monthly Balance'!U17+'Monthly Balance'!V17)/2)+(('Monthly Balance'!V17+'Monthly Balance'!W17)/2))</x:f>
        <x:v>198.66666666666666</x:v>
      </x:c>
      <x:c r="V17" s="39" t="n">
        <x:f>'Net Interest Income'!H17*(('Monthly Balance'!V17+'Monthly Balance'!W17)/2)/((('Monthly Balance'!T17+'Monthly Balance'!U17)/2)+(('Monthly Balance'!U17+'Monthly Balance'!V17)/2)+(('Monthly Balance'!V17+'Monthly Balance'!W17)/2))</x:f>
        <x:v>207.59109335608198</x:v>
      </x:c>
      <x:c r="W17" s="39" t="n">
        <x:f>'Net Interest Income'!I17*(('Monthly Balance'!W17+'Monthly Balance'!X17)/2)/((('Monthly Balance'!W17+'Monthly Balance'!X17)/2)+(('Monthly Balance'!X17+'Monthly Balance'!Y17)/2)+(('Monthly Balance'!Y17+'Monthly Balance'!Z17)/2))</x:f>
        <x:v>192.88434140655355</x:v>
      </x:c>
      <x:c r="X17" s="39" t="n">
        <x:f>'Net Interest Income'!I17*(('Monthly Balance'!X17+'Monthly Balance'!Y17)/2)/((('Monthly Balance'!W17+'Monthly Balance'!X17)/2)+(('Monthly Balance'!X17+'Monthly Balance'!Y17)/2)+(('Monthly Balance'!Y17+'Monthly Balance'!Z17)/2))</x:f>
        <x:v>180</x:v>
      </x:c>
      <x:c r="Y17" s="39" t="n">
        <x:f>'Net Interest Income'!I17*(('Monthly Balance'!Y17+'Monthly Balance'!Z17)/2)/((('Monthly Balance'!W17+'Monthly Balance'!X17)/2)+(('Monthly Balance'!X17+'Monthly Balance'!Y17)/2)+(('Monthly Balance'!Y17+'Monthly Balance'!Z17)/2))</x:f>
        <x:v>167.11565859344645</x:v>
      </x:c>
      <x:c r="Z17" s="39" t="n">
        <x:f>'Net Interest Income'!J17*(('Monthly Balance'!Z17+'Monthly Balance'!AA17)/2)/((('Monthly Balance'!Z17+'Monthly Balance'!AA17)/2)+(('Monthly Balance'!AA17+'Monthly Balance'!AB17)/2)+(('Monthly Balance'!AB17+'Monthly Balance'!AC17)/2))</x:f>
        <x:v>158.11045904630026</x:v>
      </x:c>
      <x:c r="AA17" s="39" t="n">
        <x:f>'Net Interest Income'!J17*(('Monthly Balance'!AA17+'Monthly Balance'!AB17)/2)/((('Monthly Balance'!Z17+'Monthly Balance'!AA17)/2)+(('Monthly Balance'!AA17+'Monthly Balance'!AB17)/2)+(('Monthly Balance'!AB17+'Monthly Balance'!AC17)/2))</x:f>
        <x:v>168.33333333333334</x:v>
      </x:c>
      <x:c r="AB17" s="39" t="n">
        <x:f>'Net Interest Income'!J17*(('Monthly Balance'!AB17+'Monthly Balance'!AC17)/2)/((('Monthly Balance'!Z17+'Monthly Balance'!AA17)/2)+(('Monthly Balance'!AA17+'Monthly Balance'!AB17)/2)+(('Monthly Balance'!AB17+'Monthly Balance'!AC17)/2))</x:f>
        <x:v>178.5562076203664</x:v>
      </x:c>
      <x:c r="AC17" s="39" t="n">
        <x:f>'Net Interest Income'!K17*(('Monthly Balance'!AC17+'Monthly Balance'!AD17)/2)/((('Monthly Balance'!AC17+'Monthly Balance'!AD17)/2)+(('Monthly Balance'!AD17+'Monthly Balance'!AE17)/2)+(('Monthly Balance'!AE17+'Monthly Balance'!AF17)/2))</x:f>
        <x:v>179.1362456396528</x:v>
      </x:c>
      <x:c r="AD17" s="39" t="n">
        <x:f>'Net Interest Income'!K17*(('Monthly Balance'!AD17+'Monthly Balance'!AE17)/2)/((('Monthly Balance'!AC17+'Monthly Balance'!AD17)/2)+(('Monthly Balance'!AD17+'Monthly Balance'!AE17)/2)+(('Monthly Balance'!AE17+'Monthly Balance'!AF17)/2))</x:f>
        <x:v>178.33333333333334</x:v>
      </x:c>
      <x:c r="AE17" s="39" t="n">
        <x:f>'Net Interest Income'!K17*(('Monthly Balance'!AE17+'Monthly Balance'!AF17)/2)/((('Monthly Balance'!AC17+'Monthly Balance'!AD17)/2)+(('Monthly Balance'!AD17+'Monthly Balance'!AE17)/2)+(('Monthly Balance'!AE17+'Monthly Balance'!AF17)/2))</x:f>
        <x:v>177.53042102701386</x:v>
      </x:c>
      <x:c r="AF17" s="39" t="n">
        <x:f>'Net Interest Income'!L17*(('Monthly Balance'!AF17+'Monthly Balance'!AG17)/2)/((('Monthly Balance'!AF17+'Monthly Balance'!AG17)/2)+(('Monthly Balance'!AG17+'Monthly Balance'!AH17)/2)+(('Monthly Balance'!AH17+'Monthly Balance'!AI17)/2))</x:f>
        <x:v>181.08520805763854</x:v>
      </x:c>
      <x:c r="AG17" s="39" t="n">
        <x:f>'Net Interest Income'!L17*(('Monthly Balance'!AG17+'Monthly Balance'!AH17)/2)/((('Monthly Balance'!AF17+'Monthly Balance'!AG17)/2)+(('Monthly Balance'!AG17+'Monthly Balance'!AH17)/2)+(('Monthly Balance'!AH17+'Monthly Balance'!AI17)/2))</x:f>
        <x:v>194</x:v>
      </x:c>
      <x:c r="AH17" s="39" t="n">
        <x:f>'Net Interest Income'!L17*(('Monthly Balance'!AH17+'Monthly Balance'!AI17)/2)/((('Monthly Balance'!AF17+'Monthly Balance'!AG17)/2)+(('Monthly Balance'!AG17+'Monthly Balance'!AH17)/2)+(('Monthly Balance'!AH17+'Monthly Balance'!AI17)/2))</x:f>
        <x:v>206.91479194236146</x:v>
      </x:c>
      <x:c r="AI17" s="39" t="n">
        <x:f>'Net Interest Income'!M17*(('Monthly Balance'!AI17+'Monthly Balance'!AJ17)/2)/((('Monthly Balance'!AI17+'Monthly Balance'!AJ17)/2)+(('Monthly Balance'!AJ17+'Monthly Balance'!AK17)/2)+(('Monthly Balance'!AK17+'Monthly Balance'!AL17)/2))</x:f>
        <x:v>194.59592641261497</x:v>
      </x:c>
      <x:c r="AJ17" s="39" t="n">
        <x:f>'Net Interest Income'!M17*(('Monthly Balance'!AJ17+'Monthly Balance'!AK17)/2)/((('Monthly Balance'!AI17+'Monthly Balance'!AJ17)/2)+(('Monthly Balance'!AJ17+'Monthly Balance'!AK17)/2)+(('Monthly Balance'!AK17+'Monthly Balance'!AL17)/2))</x:f>
        <x:v>183.33333333333334</x:v>
      </x:c>
      <x:c r="AK17" s="39" t="n">
        <x:f>'Net Interest Income'!M17*(('Monthly Balance'!AK17+'Monthly Balance'!AL17)/2)/((('Monthly Balance'!AI17+'Monthly Balance'!AJ17)/2)+(('Monthly Balance'!AJ17+'Monthly Balance'!AK17)/2)+(('Monthly Balance'!AK17+'Monthly Balance'!AL17)/2))</x:f>
        <x:v>172.07074025405169</x:v>
      </x:c>
      <x:c r="AL17" s="39" t="n">
        <x:f>'Net Interest Income'!N17*(('Monthly Balance'!AL17+'Monthly Balance'!AM17)/2)/((('Monthly Balance'!AL17+'Monthly Balance'!AM17)/2)+(('Monthly Balance'!AM17+'Monthly Balance'!AN17)/2)+(('Monthly Balance'!AN17+'Monthly Balance'!AO17)/2))</x:f>
        <x:v>162.70159183122243</x:v>
      </x:c>
      <x:c r="AM17" s="39" t="n">
        <x:f>'Net Interest Income'!N17*(('Monthly Balance'!AM17+'Monthly Balance'!AN17)/2)/((('Monthly Balance'!AL17+'Monthly Balance'!AM17)/2)+(('Monthly Balance'!AM17+'Monthly Balance'!AN17)/2)+(('Monthly Balance'!AN17+'Monthly Balance'!AO17)/2))</x:f>
        <x:v>177.33333333333334</x:v>
      </x:c>
      <x:c r="AN17" s="39" t="n">
        <x:f>'Net Interest Income'!N17*(('Monthly Balance'!AN17+'Monthly Balance'!AO17)/2)/((('Monthly Balance'!AL17+'Monthly Balance'!AM17)/2)+(('Monthly Balance'!AM17+'Monthly Balance'!AN17)/2)+(('Monthly Balance'!AN17+'Monthly Balance'!AO17)/2))</x:f>
        <x:v>191.96507483544423</x:v>
      </x:c>
      <x:c r="AO17" s="39" t="n">
        <x:f>'Net Interest Income'!O17*(('Monthly Balance'!AO17+'Monthly Balance'!AP17)/2)/((('Monthly Balance'!AO17+'Monthly Balance'!AP17)/2)+(('Monthly Balance'!AP17+'Monthly Balance'!AQ17)/2)+(('Monthly Balance'!AQ17+'Monthly Balance'!AR17)/2))</x:f>
        <x:v>194.28748792528197</x:v>
      </x:c>
      <x:c r="AP17" s="39" t="n">
        <x:f>'Net Interest Income'!O17*(('Monthly Balance'!AP17+'Monthly Balance'!AQ17)/2)/((('Monthly Balance'!AO17+'Monthly Balance'!AP17)/2)+(('Monthly Balance'!AP17+'Monthly Balance'!AQ17)/2)+(('Monthly Balance'!AQ17+'Monthly Balance'!AR17)/2))</x:f>
        <x:v>178.33333333333334</x:v>
      </x:c>
      <x:c r="AQ17" s="39" t="n">
        <x:f>'Net Interest Income'!O17*(('Monthly Balance'!AQ17+'Monthly Balance'!AR17)/2)/((('Monthly Balance'!AO17+'Monthly Balance'!AP17)/2)+(('Monthly Balance'!AP17+'Monthly Balance'!AQ17)/2)+(('Monthly Balance'!AQ17+'Monthly Balance'!AR17)/2))</x:f>
        <x:v>162.37917874138472</x:v>
      </x:c>
    </x:row>
    <x:row r="18">
      <x:c r="A18" s="20" t="str">
        <x:v>  Other borrowings</x:v>
      </x:c>
      <x:c r="B18" s="39" t="n">
        <x:f>'Net Interest Income'!B18*(('Monthly Balance'!B18+'Monthly Balance'!C18)/2)/((('Monthly Balance'!B18+'Monthly Balance'!C18)/2)+(('Monthly Balance'!C18+'Monthly Balance'!D18)/2)+(('Monthly Balance'!D18+'Monthly Balance'!E18)/2))</x:f>
        <x:v>4</x:v>
      </x:c>
      <x:c r="C18" s="39" t="n">
        <x:f>'Net Interest Income'!B18*(('Monthly Balance'!C18+'Monthly Balance'!D18)/2)/((('Monthly Balance'!B18+'Monthly Balance'!C18)/2)+(('Monthly Balance'!C18+'Monthly Balance'!D18)/2)+(('Monthly Balance'!D18+'Monthly Balance'!E18)/2))</x:f>
        <x:v>4</x:v>
      </x:c>
      <x:c r="D18" s="39" t="n">
        <x:f>'Net Interest Income'!B18*(('Monthly Balance'!D18+'Monthly Balance'!E18)/2)/((('Monthly Balance'!B18+'Monthly Balance'!C18)/2)+(('Monthly Balance'!C18+'Monthly Balance'!D18)/2)+(('Monthly Balance'!D18+'Monthly Balance'!E18)/2))</x:f>
        <x:v>4</x:v>
      </x:c>
      <x:c r="E18" s="39" t="n">
        <x:f>'Net Interest Income'!C18*(('Monthly Balance'!E18+'Monthly Balance'!F18)/2)/((('Monthly Balance'!E18+'Monthly Balance'!F18)/2)+(('Monthly Balance'!F18+'Monthly Balance'!G18)/2)+(('Monthly Balance'!G18+'Monthly Balance'!H18)/2))</x:f>
        <x:v>3.9073997519636214</x:v>
      </x:c>
      <x:c r="F18" s="39" t="n">
        <x:f>'Net Interest Income'!C18*(('Monthly Balance'!F18+'Monthly Balance'!G18)/2)/((('Monthly Balance'!E18+'Monthly Balance'!F18)/2)+(('Monthly Balance'!F18+'Monthly Balance'!G18)/2)+(('Monthly Balance'!G18+'Monthly Balance'!H18)/2))</x:f>
        <x:v>4</x:v>
      </x:c>
      <x:c r="G18" s="39" t="n">
        <x:f>'Net Interest Income'!C18*(('Monthly Balance'!G18+'Monthly Balance'!H18)/2)/((('Monthly Balance'!E18+'Monthly Balance'!F18)/2)+(('Monthly Balance'!F18+'Monthly Balance'!G18)/2)+(('Monthly Balance'!G18+'Monthly Balance'!H18)/2))</x:f>
        <x:v>4.092600248036379</x:v>
      </x:c>
      <x:c r="H18" s="39" t="n">
        <x:f>'Net Interest Income'!D18*(('Monthly Balance'!H18+'Monthly Balance'!I18)/2)/((('Monthly Balance'!H18+'Monthly Balance'!I18)/2)+(('Monthly Balance'!I18+'Monthly Balance'!J18)/2)+(('Monthly Balance'!J18+'Monthly Balance'!K18)/2))</x:f>
        <x:v>3.696320258794986</x:v>
      </x:c>
      <x:c r="I18" s="39" t="n">
        <x:f>'Net Interest Income'!D18*(('Monthly Balance'!I18+'Monthly Balance'!J18)/2)/((('Monthly Balance'!H18+'Monthly Balance'!I18)/2)+(('Monthly Balance'!I18+'Monthly Balance'!J18)/2)+(('Monthly Balance'!J18+'Monthly Balance'!K18)/2))</x:f>
        <x:v>3.6666666666666665</x:v>
      </x:c>
      <x:c r="J18" s="39" t="n">
        <x:f>'Net Interest Income'!D18*(('Monthly Balance'!J18+'Monthly Balance'!K18)/2)/((('Monthly Balance'!H18+'Monthly Balance'!I18)/2)+(('Monthly Balance'!I18+'Monthly Balance'!J18)/2)+(('Monthly Balance'!J18+'Monthly Balance'!K18)/2))</x:f>
        <x:v>3.6370130745383475</x:v>
      </x:c>
      <x:c r="K18" s="39" t="n">
        <x:f>'Net Interest Income'!E18*(('Monthly Balance'!K18+'Monthly Balance'!L18)/2)/((('Monthly Balance'!K18+'Monthly Balance'!L18)/2)+(('Monthly Balance'!L18+'Monthly Balance'!M18)/2)+(('Monthly Balance'!M18+'Monthly Balance'!N18)/2))</x:f>
        <x:v>3.4252154968267505</x:v>
      </x:c>
      <x:c r="L18" s="39" t="n">
        <x:f>'Net Interest Income'!E18*(('Monthly Balance'!L18+'Monthly Balance'!M18)/2)/((('Monthly Balance'!K18+'Monthly Balance'!L18)/2)+(('Monthly Balance'!L18+'Monthly Balance'!M18)/2)+(('Monthly Balance'!M18+'Monthly Balance'!N18)/2))</x:f>
        <x:v>3.3333333333333335</x:v>
      </x:c>
      <x:c r="M18" s="39" t="n">
        <x:f>'Net Interest Income'!E18*(('Monthly Balance'!M18+'Monthly Balance'!N18)/2)/((('Monthly Balance'!K18+'Monthly Balance'!L18)/2)+(('Monthly Balance'!L18+'Monthly Balance'!M18)/2)+(('Monthly Balance'!M18+'Monthly Balance'!N18)/2))</x:f>
        <x:v>3.241451169839916</x:v>
      </x:c>
      <x:c r="N18" s="39" t="n">
        <x:f>'Net Interest Income'!F18*(('Monthly Balance'!N18+'Monthly Balance'!O18)/2)/((('Monthly Balance'!N18+'Monthly Balance'!O18)/2)+(('Monthly Balance'!O18+'Monthly Balance'!P18)/2)+(('Monthly Balance'!P18+'Monthly Balance'!Q18)/2))</x:f>
        <x:v>3.2172121552652517</x:v>
      </x:c>
      <x:c r="O18" s="39" t="n">
        <x:f>'Net Interest Income'!F18*(('Monthly Balance'!O18+'Monthly Balance'!P18)/2)/((('Monthly Balance'!N18+'Monthly Balance'!O18)/2)+(('Monthly Balance'!O18+'Monthly Balance'!P18)/2)+(('Monthly Balance'!P18+'Monthly Balance'!Q18)/2))</x:f>
        <x:v>3.3333333333333335</x:v>
      </x:c>
      <x:c r="P18" s="39" t="n">
        <x:f>'Net Interest Income'!F18*(('Monthly Balance'!P18+'Monthly Balance'!Q18)/2)/((('Monthly Balance'!N18+'Monthly Balance'!O18)/2)+(('Monthly Balance'!O18+'Monthly Balance'!P18)/2)+(('Monthly Balance'!P18+'Monthly Balance'!Q18)/2))</x:f>
        <x:v>3.449454511401415</x:v>
      </x:c>
      <x:c r="Q18" s="39" t="n">
        <x:f>'Net Interest Income'!G18*(('Monthly Balance'!Q18+'Monthly Balance'!R18)/2)/((('Monthly Balance'!Q18+'Monthly Balance'!R18)/2)+(('Monthly Balance'!R18+'Monthly Balance'!S18)/2)+(('Monthly Balance'!S18+'Monthly Balance'!T18)/2))</x:f>
        <x:v>3.6617816857625014</x:v>
      </x:c>
      <x:c r="R18" s="39" t="n">
        <x:f>'Net Interest Income'!G18*(('Monthly Balance'!R18+'Monthly Balance'!S18)/2)/((('Monthly Balance'!Q18+'Monthly Balance'!R18)/2)+(('Monthly Balance'!R18+'Monthly Balance'!S18)/2)+(('Monthly Balance'!S18+'Monthly Balance'!T18)/2))</x:f>
        <x:v>3.6666666666666665</x:v>
      </x:c>
      <x:c r="S18" s="39" t="n">
        <x:f>'Net Interest Income'!G18*(('Monthly Balance'!S18+'Monthly Balance'!T18)/2)/((('Monthly Balance'!Q18+'Monthly Balance'!R18)/2)+(('Monthly Balance'!R18+'Monthly Balance'!S18)/2)+(('Monthly Balance'!S18+'Monthly Balance'!T18)/2))</x:f>
        <x:v>3.671551647570832</x:v>
      </x:c>
      <x:c r="T18" s="39" t="n">
        <x:f>'Net Interest Income'!H18*(('Monthly Balance'!T18+'Monthly Balance'!U18)/2)/((('Monthly Balance'!T18+'Monthly Balance'!U18)/2)+(('Monthly Balance'!U18+'Monthly Balance'!V18)/2)+(('Monthly Balance'!V18+'Monthly Balance'!W18)/2))</x:f>
        <x:v>3.0987861029719554</x:v>
      </x:c>
      <x:c r="U18" s="39" t="n">
        <x:f>'Net Interest Income'!H18*(('Monthly Balance'!U18+'Monthly Balance'!V18)/2)/((('Monthly Balance'!T18+'Monthly Balance'!U18)/2)+(('Monthly Balance'!U18+'Monthly Balance'!V18)/2)+(('Monthly Balance'!V18+'Monthly Balance'!W18)/2))</x:f>
        <x:v>3</x:v>
      </x:c>
      <x:c r="V18" s="39" t="n">
        <x:f>'Net Interest Income'!H18*(('Monthly Balance'!V18+'Monthly Balance'!W18)/2)/((('Monthly Balance'!T18+'Monthly Balance'!U18)/2)+(('Monthly Balance'!U18+'Monthly Balance'!V18)/2)+(('Monthly Balance'!V18+'Monthly Balance'!W18)/2))</x:f>
        <x:v>2.9012138970280446</x:v>
      </x:c>
      <x:c r="W18" s="39" t="n">
        <x:f>'Net Interest Income'!I18*(('Monthly Balance'!W18+'Monthly Balance'!X18)/2)/((('Monthly Balance'!W18+'Monthly Balance'!X18)/2)+(('Monthly Balance'!X18+'Monthly Balance'!Y18)/2)+(('Monthly Balance'!Y18+'Monthly Balance'!Z18)/2))</x:f>
        <x:v>3.825514403292181</x:v>
      </x:c>
      <x:c r="X18" s="39" t="n">
        <x:f>'Net Interest Income'!I18*(('Monthly Balance'!X18+'Monthly Balance'!Y18)/2)/((('Monthly Balance'!W18+'Monthly Balance'!X18)/2)+(('Monthly Balance'!X18+'Monthly Balance'!Y18)/2)+(('Monthly Balance'!Y18+'Monthly Balance'!Z18)/2))</x:f>
        <x:v>4</x:v>
      </x:c>
      <x:c r="Y18" s="39" t="n">
        <x:f>'Net Interest Income'!I18*(('Monthly Balance'!Y18+'Monthly Balance'!Z18)/2)/((('Monthly Balance'!W18+'Monthly Balance'!X18)/2)+(('Monthly Balance'!X18+'Monthly Balance'!Y18)/2)+(('Monthly Balance'!Y18+'Monthly Balance'!Z18)/2))</x:f>
        <x:v>4.174485596707819</x:v>
      </x:c>
      <x:c r="Z18" s="39" t="n">
        <x:f>'Net Interest Income'!J18*(('Monthly Balance'!Z18+'Monthly Balance'!AA18)/2)/((('Monthly Balance'!Z18+'Monthly Balance'!AA18)/2)+(('Monthly Balance'!AA18+'Monthly Balance'!AB18)/2)+(('Monthly Balance'!AB18+'Monthly Balance'!AC18)/2))</x:f>
        <x:v>3.2396193771626303</x:v>
      </x:c>
      <x:c r="AA18" s="39" t="n">
        <x:f>'Net Interest Income'!J18*(('Monthly Balance'!AA18+'Monthly Balance'!AB18)/2)/((('Monthly Balance'!Z18+'Monthly Balance'!AA18)/2)+(('Monthly Balance'!AA18+'Monthly Balance'!AB18)/2)+(('Monthly Balance'!AB18+'Monthly Balance'!AC18)/2))</x:f>
        <x:v>3</x:v>
      </x:c>
      <x:c r="AB18" s="39" t="n">
        <x:f>'Net Interest Income'!J18*(('Monthly Balance'!AB18+'Monthly Balance'!AC18)/2)/((('Monthly Balance'!Z18+'Monthly Balance'!AA18)/2)+(('Monthly Balance'!AA18+'Monthly Balance'!AB18)/2)+(('Monthly Balance'!AB18+'Monthly Balance'!AC18)/2))</x:f>
        <x:v>2.7603806228373697</x:v>
      </x:c>
      <x:c r="AC18" s="39" t="n">
        <x:f>'Net Interest Income'!K18*(('Monthly Balance'!AC18+'Monthly Balance'!AD18)/2)/((('Monthly Balance'!AC18+'Monthly Balance'!AD18)/2)+(('Monthly Balance'!AD18+'Monthly Balance'!AE18)/2)+(('Monthly Balance'!AE18+'Monthly Balance'!AF18)/2))</x:f>
        <x:v>3.7599814298978647</x:v>
      </x:c>
      <x:c r="AD18" s="39" t="n">
        <x:f>'Net Interest Income'!K18*(('Monthly Balance'!AD18+'Monthly Balance'!AE18)/2)/((('Monthly Balance'!AC18+'Monthly Balance'!AD18)/2)+(('Monthly Balance'!AD18+'Monthly Balance'!AE18)/2)+(('Monthly Balance'!AE18+'Monthly Balance'!AF18)/2))</x:f>
        <x:v>4.666666666666667</x:v>
      </x:c>
      <x:c r="AE18" s="39" t="n">
        <x:f>'Net Interest Income'!K18*(('Monthly Balance'!AE18+'Monthly Balance'!AF18)/2)/((('Monthly Balance'!AC18+'Monthly Balance'!AD18)/2)+(('Monthly Balance'!AD18+'Monthly Balance'!AE18)/2)+(('Monthly Balance'!AE18+'Monthly Balance'!AF18)/2))</x:f>
        <x:v>5.573351903435469</x:v>
      </x:c>
      <x:c r="AF18" s="39" t="n">
        <x:f>'Net Interest Income'!L18*(('Monthly Balance'!AF18+'Monthly Balance'!AG18)/2)/((('Monthly Balance'!AF18+'Monthly Balance'!AG18)/2)+(('Monthly Balance'!AG18+'Monthly Balance'!AH18)/2)+(('Monthly Balance'!AH18+'Monthly Balance'!AI18)/2))</x:f>
        <x:v>5.629273504273505</x:v>
      </x:c>
      <x:c r="AG18" s="39" t="n">
        <x:f>'Net Interest Income'!L18*(('Monthly Balance'!AG18+'Monthly Balance'!AH18)/2)/((('Monthly Balance'!AF18+'Monthly Balance'!AG18)/2)+(('Monthly Balance'!AG18+'Monthly Balance'!AH18)/2)+(('Monthly Balance'!AH18+'Monthly Balance'!AI18)/2))</x:f>
        <x:v>5</x:v>
      </x:c>
      <x:c r="AH18" s="39" t="n">
        <x:f>'Net Interest Income'!L18*(('Monthly Balance'!AH18+'Monthly Balance'!AI18)/2)/((('Monthly Balance'!AF18+'Monthly Balance'!AG18)/2)+(('Monthly Balance'!AG18+'Monthly Balance'!AH18)/2)+(('Monthly Balance'!AH18+'Monthly Balance'!AI18)/2))</x:f>
        <x:v>4.370726495726495</x:v>
      </x:c>
      <x:c r="AI18" s="39" t="n">
        <x:f>'Net Interest Income'!M18*(('Monthly Balance'!AI18+'Monthly Balance'!AJ18)/2)/((('Monthly Balance'!AI18+'Monthly Balance'!AJ18)/2)+(('Monthly Balance'!AJ18+'Monthly Balance'!AK18)/2)+(('Monthly Balance'!AK18+'Monthly Balance'!AL18)/2))</x:f>
        <x:v>6.004295150922718</x:v>
      </x:c>
      <x:c r="AJ18" s="39" t="n">
        <x:f>'Net Interest Income'!M18*(('Monthly Balance'!AJ18+'Monthly Balance'!AK18)/2)/((('Monthly Balance'!AI18+'Monthly Balance'!AJ18)/2)+(('Monthly Balance'!AJ18+'Monthly Balance'!AK18)/2)+(('Monthly Balance'!AK18+'Monthly Balance'!AL18)/2))</x:f>
        <x:v>7.666666666666667</x:v>
      </x:c>
      <x:c r="AK18" s="39" t="n">
        <x:f>'Net Interest Income'!M18*(('Monthly Balance'!AK18+'Monthly Balance'!AL18)/2)/((('Monthly Balance'!AI18+'Monthly Balance'!AJ18)/2)+(('Monthly Balance'!AJ18+'Monthly Balance'!AK18)/2)+(('Monthly Balance'!AK18+'Monthly Balance'!AL18)/2))</x:f>
        <x:v>9.329038182410619</x:v>
      </x:c>
      <x:c r="AL18" s="39" t="n">
        <x:f>'Net Interest Income'!N18*(('Monthly Balance'!AL18+'Monthly Balance'!AM18)/2)/((('Monthly Balance'!AL18+'Monthly Balance'!AM18)/2)+(('Monthly Balance'!AM18+'Monthly Balance'!AN18)/2)+(('Monthly Balance'!AN18+'Monthly Balance'!AO18)/2))</x:f>
        <x:v>9.665985003408315</x:v>
      </x:c>
      <x:c r="AM18" s="39" t="n">
        <x:f>'Net Interest Income'!N18*(('Monthly Balance'!AM18+'Monthly Balance'!AN18)/2)/((('Monthly Balance'!AL18+'Monthly Balance'!AM18)/2)+(('Monthly Balance'!AM18+'Monthly Balance'!AN18)/2)+(('Monthly Balance'!AN18+'Monthly Balance'!AO18)/2))</x:f>
        <x:v>8.666666666666666</x:v>
      </x:c>
      <x:c r="AN18" s="39" t="n">
        <x:f>'Net Interest Income'!N18*(('Monthly Balance'!AN18+'Monthly Balance'!AO18)/2)/((('Monthly Balance'!AL18+'Monthly Balance'!AM18)/2)+(('Monthly Balance'!AM18+'Monthly Balance'!AN18)/2)+(('Monthly Balance'!AN18+'Monthly Balance'!AO18)/2))</x:f>
        <x:v>7.667348329925017</x:v>
      </x:c>
      <x:c r="AO18" s="39" t="n">
        <x:f>'Net Interest Income'!O18*(('Monthly Balance'!AO18+'Monthly Balance'!AP18)/2)/((('Monthly Balance'!AO18+'Monthly Balance'!AP18)/2)+(('Monthly Balance'!AP18+'Monthly Balance'!AQ18)/2)+(('Monthly Balance'!AQ18+'Monthly Balance'!AR18)/2))</x:f>
        <x:v>6.5951016154247</x:v>
      </x:c>
      <x:c r="AP18" s="39" t="n">
        <x:f>'Net Interest Income'!O18*(('Monthly Balance'!AP18+'Monthly Balance'!AQ18)/2)/((('Monthly Balance'!AO18+'Monthly Balance'!AP18)/2)+(('Monthly Balance'!AP18+'Monthly Balance'!AQ18)/2)+(('Monthly Balance'!AQ18+'Monthly Balance'!AR18)/2))</x:f>
        <x:v>7</x:v>
      </x:c>
      <x:c r="AQ18" s="39" t="n">
        <x:f>'Net Interest Income'!O18*(('Monthly Balance'!AQ18+'Monthly Balance'!AR18)/2)/((('Monthly Balance'!AO18+'Monthly Balance'!AP18)/2)+(('Monthly Balance'!AP18+'Monthly Balance'!AQ18)/2)+(('Monthly Balance'!AQ18+'Monthly Balance'!AR18)/2))</x:f>
        <x:v>7.4048983845753</x:v>
      </x:c>
    </x:row>
    <x:row r="19">
      <x:c r="A19" s="26" t="str">
        <x:v>  Total interest-bearing liabilities</x:v>
      </x:c>
      <x:c r="B19" s="42" t="n">
        <x:f>SUM(B15:B18)</x:f>
        <x:v>856</x:v>
      </x:c>
      <x:c r="C19" s="42" t="n">
        <x:f>SUM(C15:C18)</x:f>
        <x:v>856</x:v>
      </x:c>
      <x:c r="D19" s="42" t="n">
        <x:f>SUM(D15:D18)</x:f>
        <x:v>856</x:v>
      </x:c>
      <x:c r="E19" s="42" t="n">
        <x:f>SUM(E15:E18)</x:f>
        <x:v>1008.8031322046792</x:v>
      </x:c>
      <x:c r="F19" s="42" t="n">
        <x:f>SUM(F15:F18)</x:f>
        <x:v>1017.6666666666666</x:v>
      </x:c>
      <x:c r="G19" s="42" t="n">
        <x:f>SUM(G15:G18)</x:f>
        <x:v>1026.5302011286542</x:v>
      </x:c>
      <x:c r="H19" s="42" t="n">
        <x:f>SUM(H15:H18)</x:f>
        <x:v>1149.5156877718077</x:v>
      </x:c>
      <x:c r="I19" s="42" t="n">
        <x:f>SUM(I15:I18)</x:f>
        <x:v>1150.0000000000002</x:v>
      </x:c>
      <x:c r="J19" s="42" t="n">
        <x:f>SUM(J15:J18)</x:f>
        <x:v>1150.4843122281923</x:v>
      </x:c>
      <x:c r="K19" s="42" t="n">
        <x:f>SUM(K15:K18)</x:f>
        <x:v>1201.8831690222596</x:v>
      </x:c>
      <x:c r="L19" s="42" t="n">
        <x:f>SUM(L15:L18)</x:f>
        <x:v>1208.6666666666665</x:v>
      </x:c>
      <x:c r="M19" s="42" t="n">
        <x:f>SUM(M15:M18)</x:f>
        <x:v>1215.4501643110734</x:v>
      </x:c>
      <x:c r="N19" s="42" t="n">
        <x:f>SUM(N15:N18)</x:f>
        <x:v>1235.6167743034289</x:v>
      </x:c>
      <x:c r="O19" s="42" t="n">
        <x:f>SUM(O15:O18)</x:f>
        <x:v>1229.6666666666667</x:v>
      </x:c>
      <x:c r="P19" s="42" t="n">
        <x:f>SUM(P15:P18)</x:f>
        <x:v>1223.7165590299046</x:v>
      </x:c>
      <x:c r="Q19" s="42" t="n">
        <x:f>SUM(Q15:Q18)</x:f>
        <x:v>1236.843264645693</x:v>
      </x:c>
      <x:c r="R19" s="42" t="n">
        <x:f>SUM(R15:R18)</x:f>
        <x:v>1244.6666666666667</x:v>
      </x:c>
      <x:c r="S19" s="42" t="n">
        <x:f>SUM(S15:S18)</x:f>
        <x:v>1252.4900686876404</x:v>
      </x:c>
      <x:c r="T19" s="42" t="n">
        <x:f>SUM(T15:T18)</x:f>
        <x:v>1266.5826215817508</x:v>
      </x:c>
      <x:c r="U19" s="42" t="n">
        <x:f>SUM(U15:U18)</x:f>
        <x:v>1261.3333333333333</x:v>
      </x:c>
      <x:c r="V19" s="42" t="n">
        <x:f>SUM(V15:V18)</x:f>
        <x:v>1256.0840450849157</x:v>
      </x:c>
      <x:c r="W19" s="42" t="n">
        <x:f>SUM(W15:W18)</x:f>
        <x:v>1194.9790118051737</x:v>
      </x:c>
      <x:c r="X19" s="42" t="n">
        <x:f>SUM(X15:X18)</x:f>
        <x:v>1206.3333333333335</x:v>
      </x:c>
      <x:c r="Y19" s="42" t="n">
        <x:f>SUM(Y15:Y18)</x:f>
        <x:v>1217.6876548614928</x:v>
      </x:c>
      <x:c r="Z19" s="42" t="n">
        <x:f>SUM(Z15:Z18)</x:f>
        <x:v>1139.711316618861</x:v>
      </x:c>
      <x:c r="AA19" s="42" t="n">
        <x:f>SUM(AA15:AA18)</x:f>
        <x:v>1135</x:v>
      </x:c>
      <x:c r="AB19" s="42" t="n">
        <x:f>SUM(AB15:AB18)</x:f>
        <x:v>1130.288683381139</x:v>
      </x:c>
      <x:c r="AC19" s="42" t="n">
        <x:f>SUM(AC15:AC18)</x:f>
        <x:v>1176.6281090970704</x:v>
      </x:c>
      <x:c r="AD19" s="42" t="n">
        <x:f>SUM(AD15:AD18)</x:f>
        <x:v>1277.6666666666667</x:v>
      </x:c>
      <x:c r="AE19" s="42" t="n">
        <x:f>SUM(AE15:AE18)</x:f>
        <x:v>1378.7052242362627</x:v>
      </x:c>
      <x:c r="AF19" s="42" t="n">
        <x:f>SUM(AF15:AF18)</x:f>
        <x:v>1448.2903502007746</x:v>
      </x:c>
      <x:c r="AG19" s="42" t="n">
        <x:f>SUM(AG15:AG18)</x:f>
        <x:v>1453</x:v>
      </x:c>
      <x:c r="AH19" s="42" t="n">
        <x:f>SUM(AH15:AH18)</x:f>
        <x:v>1457.7096497992254</x:v>
      </x:c>
      <x:c r="AI19" s="42" t="n">
        <x:f>SUM(AI15:AI18)</x:f>
        <x:v>1403.5621847019133</x:v>
      </x:c>
      <x:c r="AJ19" s="42" t="n">
        <x:f>SUM(AJ15:AJ18)</x:f>
        <x:v>1407</x:v>
      </x:c>
      <x:c r="AK19" s="42" t="n">
        <x:f>SUM(AK15:AK18)</x:f>
        <x:v>1410.4378152980867</x:v>
      </x:c>
      <x:c r="AL19" s="42" t="n">
        <x:f>SUM(AL15:AL18)</x:f>
        <x:v>1346.5447730183978</x:v>
      </x:c>
      <x:c r="AM19" s="42" t="n">
        <x:f>SUM(AM15:AM18)</x:f>
        <x:v>1362</x:v>
      </x:c>
      <x:c r="AN19" s="42" t="n">
        <x:f>SUM(AN15:AN18)</x:f>
        <x:v>1377.4552269816024</x:v>
      </x:c>
      <x:c r="AO19" s="42" t="n">
        <x:f>SUM(AO15:AO18)</x:f>
        <x:v>1349.929216563676</x:v>
      </x:c>
      <x:c r="AP19" s="42" t="n">
        <x:f>SUM(AP15:AP18)</x:f>
        <x:v>1337</x:v>
      </x:c>
      <x:c r="AQ19" s="42" t="n">
        <x:f>SUM(AQ15:AQ18)</x:f>
        <x:v>1324.070783436324</x:v>
      </x:c>
    </x:row>
    <x:row r="20">
      <x:c r="A20" s="20"/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8"/>
      <x:c r="X20" s="38"/>
      <x:c r="Y20" s="38"/>
      <x:c r="Z20" s="38"/>
      <x:c r="AA20" s="38"/>
      <x:c r="AB20" s="38"/>
      <x:c r="AC20" s="38"/>
      <x:c r="AD20" s="38"/>
      <x:c r="AE20" s="38"/>
      <x:c r="AF20" s="38"/>
      <x:c r="AG20" s="38"/>
      <x:c r="AH20" s="38"/>
      <x:c r="AI20" s="38"/>
      <x:c r="AJ20" s="38"/>
      <x:c r="AK20" s="38"/>
      <x:c r="AL20" s="38"/>
      <x:c r="AM20" s="38"/>
      <x:c r="AN20" s="38"/>
      <x:c r="AO20" s="38"/>
      <x:c r="AP20" s="38"/>
      <x:c r="AQ20" s="38"/>
    </x:row>
    <x:row r="21">
      <x:c r="A21" s="26" t="str">
        <x:v>NET INTEREST INCOME</x:v>
      </x:c>
      <x:c r="B21" s="42" t="n">
        <x:f>B12-B19</x:f>
        <x:v>2395.333333333333</x:v>
      </x:c>
      <x:c r="C21" s="42" t="n">
        <x:f>C12-C19</x:f>
        <x:v>2395.333333333333</x:v>
      </x:c>
      <x:c r="D21" s="42" t="n">
        <x:f>D12-D19</x:f>
        <x:v>2395.333333333333</x:v>
      </x:c>
      <x:c r="E21" s="42" t="n">
        <x:f>E12-E19</x:f>
        <x:v>2360.8748363967807</x:v>
      </x:c>
      <x:c r="F21" s="42" t="n">
        <x:f>F12-F19</x:f>
        <x:v>2371</x:v>
      </x:c>
      <x:c r="G21" s="42" t="n">
        <x:f>G12-G19</x:f>
        <x:v>2381.1251636032193</x:v>
      </x:c>
      <x:c r="H21" s="42" t="n">
        <x:f>H12-H19</x:f>
        <x:v>2467.0450559696183</x:v>
      </x:c>
      <x:c r="I21" s="42" t="n">
        <x:f>I12-I19</x:f>
        <x:v>2474.333333333333</x:v>
      </x:c>
      <x:c r="J21" s="42" t="n">
        <x:f>J12-J19</x:f>
        <x:v>2481.6216106970483</x:v>
      </x:c>
      <x:c r="K21" s="42" t="n">
        <x:f>K12-K19</x:f>
        <x:v>2498.4547116512776</x:v>
      </x:c>
      <x:c r="L21" s="42" t="n">
        <x:f>L12-L19</x:f>
        <x:v>2506.3333333333335</x:v>
      </x:c>
      <x:c r="M21" s="42" t="n">
        <x:f>M12-M19</x:f>
        <x:v>2514.211955015389</x:v>
      </x:c>
      <x:c r="N21" s="42" t="n">
        <x:f>N12-N19</x:f>
        <x:v>2507.1643114591798</x:v>
      </x:c>
      <x:c r="O21" s="42" t="n">
        <x:f>O12-O19</x:f>
        <x:v>2496</x:v>
      </x:c>
      <x:c r="P21" s="42" t="n">
        <x:f>P12-P19</x:f>
        <x:v>2484.8356885408202</x:v>
      </x:c>
      <x:c r="Q21" s="42" t="n">
        <x:f>Q12-Q19</x:f>
        <x:v>2496.7289812524523</x:v>
      </x:c>
      <x:c r="R21" s="42" t="n">
        <x:f>R12-R19</x:f>
        <x:v>2515.333333333333</x:v>
      </x:c>
      <x:c r="S21" s="42" t="n">
        <x:f>S12-S19</x:f>
        <x:v>2533.9376854142147</x:v>
      </x:c>
      <x:c r="T21" s="42" t="n">
        <x:f>T12-T19</x:f>
        <x:v>2692.631419759242</x:v>
      </x:c>
      <x:c r="U21" s="42" t="n">
        <x:f>U12-U19</x:f>
        <x:v>2692</x:v>
      </x:c>
      <x:c r="V21" s="42" t="n">
        <x:f>V12-V19</x:f>
        <x:v>2691.368580240759</x:v>
      </x:c>
      <x:c r="W21" s="42" t="n">
        <x:f>W12-W19</x:f>
        <x:v>2673.178276496403</x:v>
      </x:c>
      <x:c r="X21" s="42" t="n">
        <x:f>X12-X19</x:f>
        <x:v>2699.333333333333</x:v>
      </x:c>
      <x:c r="Y21" s="42" t="n">
        <x:f>Y12-Y19</x:f>
        <x:v>2725.4883901702633</x:v>
      </x:c>
      <x:c r="Z21" s="42" t="n">
        <x:f>Z12-Z19</x:f>
        <x:v>2696.2810516371646</x:v>
      </x:c>
      <x:c r="AA21" s="42" t="n">
        <x:f>AA12-AA19</x:f>
        <x:v>2670.9999999999995</x:v>
      </x:c>
      <x:c r="AB21" s="42" t="n">
        <x:f>AB12-AB19</x:f>
        <x:v>2645.7189483628354</x:v>
      </x:c>
      <x:c r="AC21" s="42" t="n">
        <x:f>AC12-AC19</x:f>
        <x:v>2978.572907031222</x:v>
      </x:c>
      <x:c r="AD21" s="42" t="n">
        <x:f>AD12-AD19</x:f>
        <x:v>3331.666666666666</x:v>
      </x:c>
      <x:c r="AE21" s="42" t="n">
        <x:f>AE12-AE19</x:f>
        <x:v>3684.760426302112</x:v>
      </x:c>
      <x:c r="AF21" s="42" t="n">
        <x:f>AF12-AF19</x:f>
        <x:v>4126.852491613965</x:v>
      </x:c>
      <x:c r="AG21" s="42" t="n">
        <x:f>AG12-AG19</x:f>
        <x:v>4134.666666666666</x:v>
      </x:c>
      <x:c r="AH21" s="42" t="n">
        <x:f>AH12-AH19</x:f>
        <x:v>4142.480841719368</x:v>
      </x:c>
      <x:c r="AI21" s="42" t="n">
        <x:f>AI12-AI19</x:f>
        <x:v>4116.580250261204</x:v>
      </x:c>
      <x:c r="AJ21" s="42" t="n">
        <x:f>AJ12-AJ19</x:f>
        <x:v>4155.333333333333</x:v>
      </x:c>
      <x:c r="AK21" s="42" t="n">
        <x:f>AK12-AK19</x:f>
        <x:v>4194.086416405462</x:v>
      </x:c>
      <x:c r="AL21" s="42" t="n">
        <x:f>AL12-AL19</x:f>
        <x:v>4072.830774449574</x:v>
      </x:c>
      <x:c r="AM21" s="42" t="n">
        <x:f>AM12-AM19</x:f>
        <x:v>4048.333333333333</x:v>
      </x:c>
      <x:c r="AN21" s="42" t="n">
        <x:f>AN12-AN19</x:f>
        <x:v>4023.835892217092</x:v>
      </x:c>
      <x:c r="AO21" s="42" t="n">
        <x:f>AO12-AO19</x:f>
        <x:v>4080.379468833632</x:v>
      </x:c>
      <x:c r="AP21" s="42" t="n">
        <x:f>AP12-AP19</x:f>
        <x:v>4124.666666666666</x:v>
      </x:c>
      <x:c r="AQ21" s="42" t="n">
        <x:f>AQ12-AQ19</x:f>
        <x:v>4168.953864499702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</x:cols>
  <x:sheetData>
    <x:row r="1">
      <x:c r="A1" s="28" t="str">
        <x:v>Capital One - Imputed Monthly Yield / Rate by line item (annualized)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  <x:c r="P1" s="20"/>
      <x:c r="Q1" s="20"/>
      <x:c r="R1" s="20"/>
      <x:c r="S1" s="20"/>
      <x:c r="T1" s="20"/>
      <x:c r="U1" s="20"/>
      <x:c r="V1" s="20"/>
      <x:c r="W1" s="20"/>
      <x:c r="X1" s="20"/>
      <x:c r="Y1" s="20"/>
      <x:c r="Z1" s="20"/>
      <x:c r="AA1" s="20"/>
      <x:c r="AB1" s="20"/>
      <x:c r="AC1" s="20"/>
      <x:c r="AD1" s="20"/>
      <x:c r="AE1" s="20"/>
      <x:c r="AF1" s="20"/>
      <x:c r="AG1" s="20"/>
      <x:c r="AH1" s="20"/>
      <x:c r="AI1" s="20"/>
      <x:c r="AJ1" s="20"/>
      <x:c r="AK1" s="20"/>
      <x:c r="AL1" s="20"/>
      <x:c r="AM1" s="20"/>
      <x:c r="AN1" s="20"/>
      <x:c r="AO1" s="20"/>
      <x:c r="AP1" s="20"/>
      <x:c r="AQ1" s="20"/>
    </x:row>
    <x:row r="2" ht="31" customHeight="1">
      <x:c r="A2" s="30" t="str">
        <x:v>Monthly annualized rate equals monthly income or expense times 12 divided by the two-point monthly average balance. Small differences from disclosed quarterly rates reflect the balance convention and source rounding.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  <x:c r="T2" s="30"/>
      <x:c r="U2" s="30"/>
      <x:c r="V2" s="30"/>
      <x:c r="W2" s="30"/>
      <x:c r="X2" s="30"/>
      <x:c r="Y2" s="30"/>
      <x:c r="Z2" s="30"/>
      <x:c r="AA2" s="30"/>
      <x:c r="AB2" s="30"/>
      <x:c r="AC2" s="30"/>
      <x:c r="AD2" s="30"/>
      <x:c r="AE2" s="30"/>
      <x:c r="AF2" s="30"/>
      <x:c r="AG2" s="30"/>
      <x:c r="AH2" s="30"/>
      <x:c r="AI2" s="30"/>
      <x:c r="AJ2" s="30"/>
      <x:c r="AK2" s="30"/>
      <x:c r="AL2" s="30"/>
      <x:c r="AM2" s="30"/>
      <x:c r="AN2" s="30"/>
      <x:c r="AO2" s="30"/>
      <x:c r="AP2" s="30"/>
      <x:c r="AQ2" s="3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</x:row>
    <x:row r="4">
      <x:c r="A4" s="26" t="str">
        <x:v>Line item (as disclosed)</x:v>
      </x:c>
      <x:c r="B4" s="31" t="n">
        <x:v>44957</x:v>
      </x:c>
      <x:c r="C4" s="31" t="n">
        <x:v>44985</x:v>
      </x:c>
      <x:c r="D4" s="31" t="n">
        <x:v>45016</x:v>
      </x:c>
      <x:c r="E4" s="31" t="n">
        <x:v>45046</x:v>
      </x:c>
      <x:c r="F4" s="31" t="n">
        <x:v>45077</x:v>
      </x:c>
      <x:c r="G4" s="31" t="n">
        <x:v>45107</x:v>
      </x:c>
      <x:c r="H4" s="31" t="n">
        <x:v>45138</x:v>
      </x:c>
      <x:c r="I4" s="31" t="n">
        <x:v>45169</x:v>
      </x:c>
      <x:c r="J4" s="31" t="n">
        <x:v>45199</x:v>
      </x:c>
      <x:c r="K4" s="31" t="n">
        <x:v>45230</x:v>
      </x:c>
      <x:c r="L4" s="31" t="n">
        <x:v>45260</x:v>
      </x:c>
      <x:c r="M4" s="31" t="n">
        <x:v>45291</x:v>
      </x:c>
      <x:c r="N4" s="31" t="n">
        <x:v>45322</x:v>
      </x:c>
      <x:c r="O4" s="31" t="n">
        <x:v>45351</x:v>
      </x:c>
      <x:c r="P4" s="31" t="n">
        <x:v>45382</x:v>
      </x:c>
      <x:c r="Q4" s="31" t="n">
        <x:v>45412</x:v>
      </x:c>
      <x:c r="R4" s="31" t="n">
        <x:v>45443</x:v>
      </x:c>
      <x:c r="S4" s="31" t="n">
        <x:v>45473</x:v>
      </x:c>
      <x:c r="T4" s="31" t="n">
        <x:v>45504</x:v>
      </x:c>
      <x:c r="U4" s="31" t="n">
        <x:v>45535</x:v>
      </x:c>
      <x:c r="V4" s="31" t="n">
        <x:v>45565</x:v>
      </x:c>
      <x:c r="W4" s="31" t="n">
        <x:v>45596</x:v>
      </x:c>
      <x:c r="X4" s="31" t="n">
        <x:v>45626</x:v>
      </x:c>
      <x:c r="Y4" s="31" t="n">
        <x:v>45657</x:v>
      </x:c>
      <x:c r="Z4" s="31" t="n">
        <x:v>45688</x:v>
      </x:c>
      <x:c r="AA4" s="31" t="n">
        <x:v>45716</x:v>
      </x:c>
      <x:c r="AB4" s="31" t="n">
        <x:v>45747</x:v>
      </x:c>
      <x:c r="AC4" s="31" t="n">
        <x:v>45777</x:v>
      </x:c>
      <x:c r="AD4" s="31" t="n">
        <x:v>45808</x:v>
      </x:c>
      <x:c r="AE4" s="31" t="n">
        <x:v>45838</x:v>
      </x:c>
      <x:c r="AF4" s="31" t="n">
        <x:v>45869</x:v>
      </x:c>
      <x:c r="AG4" s="31" t="n">
        <x:v>45900</x:v>
      </x:c>
      <x:c r="AH4" s="31" t="n">
        <x:v>45930</x:v>
      </x:c>
      <x:c r="AI4" s="31" t="n">
        <x:v>45961</x:v>
      </x:c>
      <x:c r="AJ4" s="31" t="n">
        <x:v>45991</x:v>
      </x:c>
      <x:c r="AK4" s="31" t="n">
        <x:v>46022</x:v>
      </x:c>
      <x:c r="AL4" s="31" t="n">
        <x:v>46053</x:v>
      </x:c>
      <x:c r="AM4" s="31" t="n">
        <x:v>46081</x:v>
      </x:c>
      <x:c r="AN4" s="31" t="n">
        <x:v>46112</x:v>
      </x:c>
      <x:c r="AO4" s="31" t="n">
        <x:v>46142</x:v>
      </x:c>
      <x:c r="AP4" s="31" t="n">
        <x:v>46173</x:v>
      </x:c>
      <x:c r="AQ4" s="31" t="n">
        <x:v>46203</x:v>
      </x:c>
    </x:row>
    <x:row r="5">
      <x:c r="A5" s="35" t="str">
        <x:v>INTEREST-EARNING ASSETS</x:v>
      </x:c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  <x:c r="AA5" s="35"/>
      <x:c r="AB5" s="35"/>
      <x:c r="AC5" s="35"/>
      <x:c r="AD5" s="35"/>
      <x:c r="AE5" s="35"/>
      <x:c r="AF5" s="35"/>
      <x:c r="AG5" s="35"/>
      <x:c r="AH5" s="35"/>
      <x:c r="AI5" s="35"/>
      <x:c r="AJ5" s="35"/>
      <x:c r="AK5" s="35"/>
      <x:c r="AL5" s="35"/>
      <x:c r="AM5" s="35"/>
      <x:c r="AN5" s="35"/>
      <x:c r="AO5" s="35"/>
      <x:c r="AP5" s="35"/>
      <x:c r="AQ5" s="35"/>
    </x:row>
    <x:row r="6">
      <x:c r="A6" s="20" t="str">
        <x:v>  Credit card</x:v>
      </x:c>
      <x:c r="B6" s="44" t="n">
        <x:f>IF(( ('Monthly Balance'!B6+'Monthly Balance'!C6)/2 )=0,"",'Monthly NII'!B6*12/( ('Monthly Balance'!B6+'Monthly Balance'!C6)/2 ))</x:f>
        <x:v>0.17978896405260306</x:v>
      </x:c>
      <x:c r="C6" s="44" t="n">
        <x:f>IF(( ('Monthly Balance'!C6+'Monthly Balance'!D6)/2 )=0,"",'Monthly NII'!C6*12/( ('Monthly Balance'!C6+'Monthly Balance'!D6)/2 ))</x:f>
        <x:v>0.17978896405260306</x:v>
      </x:c>
      <x:c r="D6" s="44" t="n">
        <x:f>IF(( ('Monthly Balance'!D6+'Monthly Balance'!E6)/2 )=0,"",'Monthly NII'!D6*12/( ('Monthly Balance'!D6+'Monthly Balance'!E6)/2 ))</x:f>
        <x:v>0.17978896405260306</x:v>
      </x:c>
      <x:c r="E6" s="44" t="n">
        <x:f>IF(( ('Monthly Balance'!E6+'Monthly Balance'!F6)/2 )=0,"",'Monthly NII'!E6*12/( ('Monthly Balance'!E6+'Monthly Balance'!F6)/2 ))</x:f>
        <x:v>0.18166356783557455</x:v>
      </x:c>
      <x:c r="F6" s="44" t="n">
        <x:f>IF(( ('Monthly Balance'!F6+'Monthly Balance'!G6)/2 )=0,"",'Monthly NII'!F6*12/( ('Monthly Balance'!F6+'Monthly Balance'!G6)/2 ))</x:f>
        <x:v>0.18166356783557458</x:v>
      </x:c>
      <x:c r="G6" s="44" t="n">
        <x:f>IF(( ('Monthly Balance'!G6+'Monthly Balance'!H6)/2 )=0,"",'Monthly NII'!G6*12/( ('Monthly Balance'!G6+'Monthly Balance'!H6)/2 ))</x:f>
        <x:v>0.18166356783557458</x:v>
      </x:c>
      <x:c r="H6" s="44" t="n">
        <x:f>IF(( ('Monthly Balance'!H6+'Monthly Balance'!I6)/2 )=0,"",'Monthly NII'!H6*12/( ('Monthly Balance'!H6+'Monthly Balance'!I6)/2 ))</x:f>
        <x:v>0.19020777075104303</x:v>
      </x:c>
      <x:c r="I6" s="44" t="n">
        <x:f>IF(( ('Monthly Balance'!I6+'Monthly Balance'!J6)/2 )=0,"",'Monthly NII'!I6*12/( ('Monthly Balance'!I6+'Monthly Balance'!J6)/2 ))</x:f>
        <x:v>0.19020777075104303</x:v>
      </x:c>
      <x:c r="J6" s="44" t="n">
        <x:f>IF(( ('Monthly Balance'!J6+'Monthly Balance'!K6)/2 )=0,"",'Monthly NII'!J6*12/( ('Monthly Balance'!J6+'Monthly Balance'!K6)/2 ))</x:f>
        <x:v>0.190207770751043</x:v>
      </x:c>
      <x:c r="K6" s="44" t="n">
        <x:f>IF(( ('Monthly Balance'!K6+'Monthly Balance'!L6)/2 )=0,"",'Monthly NII'!K6*12/( ('Monthly Balance'!K6+'Monthly Balance'!L6)/2 ))</x:f>
        <x:v>0.1894414936423628</x:v>
      </x:c>
      <x:c r="L6" s="44" t="n">
        <x:f>IF(( ('Monthly Balance'!L6+'Monthly Balance'!M6)/2 )=0,"",'Monthly NII'!L6*12/( ('Monthly Balance'!L6+'Monthly Balance'!M6)/2 ))</x:f>
        <x:v>0.1894414936423628</x:v>
      </x:c>
      <x:c r="M6" s="44" t="n">
        <x:f>IF(( ('Monthly Balance'!M6+'Monthly Balance'!N6)/2 )=0,"",'Monthly NII'!M6*12/( ('Monthly Balance'!M6+'Monthly Balance'!N6)/2 ))</x:f>
        <x:v>0.18944149364236276</x:v>
      </x:c>
      <x:c r="N6" s="44" t="n">
        <x:f>IF(( ('Monthly Balance'!N6+'Monthly Balance'!O6)/2 )=0,"",'Monthly NII'!N6*12/( ('Monthly Balance'!N6+'Monthly Balance'!O6)/2 ))</x:f>
        <x:v>0.18839179201460857</x:v>
      </x:c>
      <x:c r="O6" s="44" t="n">
        <x:f>IF(( ('Monthly Balance'!O6+'Monthly Balance'!P6)/2 )=0,"",'Monthly NII'!O6*12/( ('Monthly Balance'!O6+'Monthly Balance'!P6)/2 ))</x:f>
        <x:v>0.18839179201460857</x:v>
      </x:c>
      <x:c r="P6" s="44" t="n">
        <x:f>IF(( ('Monthly Balance'!P6+'Monthly Balance'!Q6)/2 )=0,"",'Monthly NII'!P6*12/( ('Monthly Balance'!P6+'Monthly Balance'!Q6)/2 ))</x:f>
        <x:v>0.18839179201460857</x:v>
      </x:c>
      <x:c r="Q6" s="44" t="n">
        <x:f>IF(( ('Monthly Balance'!Q6+'Monthly Balance'!R6)/2 )=0,"",'Monthly NII'!Q6*12/( ('Monthly Balance'!Q6+'Monthly Balance'!R6)/2 ))</x:f>
        <x:v>0.18792836026672677</x:v>
      </x:c>
      <x:c r="R6" s="44" t="n">
        <x:f>IF(( ('Monthly Balance'!R6+'Monthly Balance'!S6)/2 )=0,"",'Monthly NII'!R6*12/( ('Monthly Balance'!R6+'Monthly Balance'!S6)/2 ))</x:f>
        <x:v>0.18792836026672677</x:v>
      </x:c>
      <x:c r="S6" s="44" t="n">
        <x:f>IF(( ('Monthly Balance'!S6+'Monthly Balance'!T6)/2 )=0,"",'Monthly NII'!S6*12/( ('Monthly Balance'!S6+'Monthly Balance'!T6)/2 ))</x:f>
        <x:v>0.18792836026672677</x:v>
      </x:c>
      <x:c r="T6" s="44" t="n">
        <x:f>IF(( ('Monthly Balance'!T6+'Monthly Balance'!U6)/2 )=0,"",'Monthly NII'!T6*12/( ('Monthly Balance'!T6+'Monthly Balance'!U6)/2 ))</x:f>
        <x:v>0.19662688116242866</x:v>
      </x:c>
      <x:c r="U6" s="44" t="n">
        <x:f>IF(( ('Monthly Balance'!U6+'Monthly Balance'!V6)/2 )=0,"",'Monthly NII'!U6*12/( ('Monthly Balance'!U6+'Monthly Balance'!V6)/2 ))</x:f>
        <x:v>0.19662688116242866</x:v>
      </x:c>
      <x:c r="V6" s="44" t="n">
        <x:f>IF(( ('Monthly Balance'!V6+'Monthly Balance'!W6)/2 )=0,"",'Monthly NII'!V6*12/( ('Monthly Balance'!V6+'Monthly Balance'!W6)/2 ))</x:f>
        <x:v>0.19662688116242863</x:v>
      </x:c>
      <x:c r="W6" s="44" t="n">
        <x:f>IF(( ('Monthly Balance'!W6+'Monthly Balance'!X6)/2 )=0,"",'Monthly NII'!W6*12/( ('Monthly Balance'!W6+'Monthly Balance'!X6)/2 ))</x:f>
        <x:v>0.19046771733604476</x:v>
      </x:c>
      <x:c r="X6" s="44" t="n">
        <x:f>IF(( ('Monthly Balance'!X6+'Monthly Balance'!Y6)/2 )=0,"",'Monthly NII'!X6*12/( ('Monthly Balance'!X6+'Monthly Balance'!Y6)/2 ))</x:f>
        <x:v>0.19046771733604473</x:v>
      </x:c>
      <x:c r="Y6" s="44" t="n">
        <x:f>IF(( ('Monthly Balance'!Y6+'Monthly Balance'!Z6)/2 )=0,"",'Monthly NII'!Y6*12/( ('Monthly Balance'!Y6+'Monthly Balance'!Z6)/2 ))</x:f>
        <x:v>0.19046771733604476</x:v>
      </x:c>
      <x:c r="Z6" s="44" t="n">
        <x:f>IF(( ('Monthly Balance'!Z6+'Monthly Balance'!AA6)/2 )=0,"",'Monthly NII'!Z6*12/( ('Monthly Balance'!Z6+'Monthly Balance'!AA6)/2 ))</x:f>
        <x:v>0.18536136259014882</x:v>
      </x:c>
      <x:c r="AA6" s="44" t="n">
        <x:f>IF(( ('Monthly Balance'!AA6+'Monthly Balance'!AB6)/2 )=0,"",'Monthly NII'!AA6*12/( ('Monthly Balance'!AA6+'Monthly Balance'!AB6)/2 ))</x:f>
        <x:v>0.18536136259014885</x:v>
      </x:c>
      <x:c r="AB6" s="44" t="n">
        <x:f>IF(( ('Monthly Balance'!AB6+'Monthly Balance'!AC6)/2 )=0,"",'Monthly NII'!AB6*12/( ('Monthly Balance'!AB6+'Monthly Balance'!AC6)/2 ))</x:f>
        <x:v>0.18536136259014885</x:v>
      </x:c>
      <x:c r="AC6" s="44" t="n">
        <x:f>IF(( ('Monthly Balance'!AC6+'Monthly Balance'!AD6)/2 )=0,"",'Monthly NII'!AC6*12/( ('Monthly Balance'!AC6+'Monthly Balance'!AD6)/2 ))</x:f>
        <x:v>0.17944328136847676</x:v>
      </x:c>
      <x:c r="AD6" s="44" t="n">
        <x:f>IF(( ('Monthly Balance'!AD6+'Monthly Balance'!AE6)/2 )=0,"",'Monthly NII'!AD6*12/( ('Monthly Balance'!AD6+'Monthly Balance'!AE6)/2 ))</x:f>
        <x:v>0.1794432813684768</x:v>
      </x:c>
      <x:c r="AE6" s="44" t="n">
        <x:f>IF(( ('Monthly Balance'!AE6+'Monthly Balance'!AF6)/2 )=0,"",'Monthly NII'!AE6*12/( ('Monthly Balance'!AE6+'Monthly Balance'!AF6)/2 ))</x:f>
        <x:v>0.1794432813684768</x:v>
      </x:c>
      <x:c r="AF6" s="44" t="n">
        <x:f>IF(( ('Monthly Balance'!AF6+'Monthly Balance'!AG6)/2 )=0,"",'Monthly NII'!AF6*12/( ('Monthly Balance'!AF6+'Monthly Balance'!AG6)/2 ))</x:f>
        <x:v>0.17994241664344757</x:v>
      </x:c>
      <x:c r="AG6" s="44" t="n">
        <x:f>IF(( ('Monthly Balance'!AG6+'Monthly Balance'!AH6)/2 )=0,"",'Monthly NII'!AG6*12/( ('Monthly Balance'!AG6+'Monthly Balance'!AH6)/2 ))</x:f>
        <x:v>0.17994241664344757</x:v>
      </x:c>
      <x:c r="AH6" s="44" t="n">
        <x:f>IF(( ('Monthly Balance'!AH6+'Monthly Balance'!AI6)/2 )=0,"",'Monthly NII'!AH6*12/( ('Monthly Balance'!AH6+'Monthly Balance'!AI6)/2 ))</x:f>
        <x:v>0.1799424166434476</x:v>
      </x:c>
      <x:c r="AI6" s="44" t="n">
        <x:f>IF(( ('Monthly Balance'!AI6+'Monthly Balance'!AJ6)/2 )=0,"",'Monthly NII'!AI6*12/( ('Monthly Balance'!AI6+'Monthly Balance'!AJ6)/2 ))</x:f>
        <x:v>0.1767233792901144</x:v>
      </x:c>
      <x:c r="AJ6" s="44" t="n">
        <x:f>IF(( ('Monthly Balance'!AJ6+'Monthly Balance'!AK6)/2 )=0,"",'Monthly NII'!AJ6*12/( ('Monthly Balance'!AJ6+'Monthly Balance'!AK6)/2 ))</x:f>
        <x:v>0.1767233792901144</x:v>
      </x:c>
      <x:c r="AK6" s="44" t="n">
        <x:f>IF(( ('Monthly Balance'!AK6+'Monthly Balance'!AL6)/2 )=0,"",'Monthly NII'!AK6*12/( ('Monthly Balance'!AK6+'Monthly Balance'!AL6)/2 ))</x:f>
        <x:v>0.17672337929011442</x:v>
      </x:c>
      <x:c r="AL6" s="44" t="n">
        <x:f>IF(( ('Monthly Balance'!AL6+'Monthly Balance'!AM6)/2 )=0,"",'Monthly NII'!AL6*12/( ('Monthly Balance'!AL6+'Monthly Balance'!AM6)/2 ))</x:f>
        <x:v>0.17172063843528</x:v>
      </x:c>
      <x:c r="AM6" s="44" t="n">
        <x:f>IF(( ('Monthly Balance'!AM6+'Monthly Balance'!AN6)/2 )=0,"",'Monthly NII'!AM6*12/( ('Monthly Balance'!AM6+'Monthly Balance'!AN6)/2 ))</x:f>
        <x:v>0.17172063843528002</x:v>
      </x:c>
      <x:c r="AN6" s="44" t="n">
        <x:f>IF(( ('Monthly Balance'!AN6+'Monthly Balance'!AO6)/2 )=0,"",'Monthly NII'!AN6*12/( ('Monthly Balance'!AN6+'Monthly Balance'!AO6)/2 ))</x:f>
        <x:v>0.17172063843528002</x:v>
      </x:c>
      <x:c r="AO6" s="44" t="n">
        <x:f>IF(( ('Monthly Balance'!AO6+'Monthly Balance'!AP6)/2 )=0,"",'Monthly NII'!AO6*12/( ('Monthly Balance'!AO6+'Monthly Balance'!AP6)/2 ))</x:f>
        <x:v>0.17212579785174614</x:v>
      </x:c>
      <x:c r="AP6" s="44" t="n">
        <x:f>IF(( ('Monthly Balance'!AP6+'Monthly Balance'!AQ6)/2 )=0,"",'Monthly NII'!AP6*12/( ('Monthly Balance'!AP6+'Monthly Balance'!AQ6)/2 ))</x:f>
        <x:v>0.17212579785174614</x:v>
      </x:c>
      <x:c r="AQ6" s="44" t="n">
        <x:f>IF(( ('Monthly Balance'!AQ6+'Monthly Balance'!AR6)/2 )=0,"",'Monthly NII'!AQ6*12/( ('Monthly Balance'!AQ6+'Monthly Balance'!AR6)/2 ))</x:f>
        <x:v>0.17212579785174614</x:v>
      </x:c>
    </x:row>
    <x:row r="7">
      <x:c r="A7" s="20" t="str">
        <x:v>  Consumer banking</x:v>
      </x:c>
      <x:c r="B7" s="44" t="n">
        <x:f>IF(( ('Monthly Balance'!B7+'Monthly Balance'!C7)/2 )=0,"",'Monthly NII'!B7*12/( ('Monthly Balance'!B7+'Monthly Balance'!C7)/2 ))</x:f>
        <x:v>0.0739746835443038</x:v>
      </x:c>
      <x:c r="C7" s="44" t="n">
        <x:f>IF(( ('Monthly Balance'!C7+'Monthly Balance'!D7)/2 )=0,"",'Monthly NII'!C7*12/( ('Monthly Balance'!C7+'Monthly Balance'!D7)/2 ))</x:f>
        <x:v>0.0739746835443038</x:v>
      </x:c>
      <x:c r="D7" s="44" t="n">
        <x:f>IF(( ('Monthly Balance'!D7+'Monthly Balance'!E7)/2 )=0,"",'Monthly NII'!D7*12/( ('Monthly Balance'!D7+'Monthly Balance'!E7)/2 ))</x:f>
        <x:v>0.0739746835443038</x:v>
      </x:c>
      <x:c r="E7" s="44" t="n">
        <x:f>IF(( ('Monthly Balance'!E7+'Monthly Balance'!F7)/2 )=0,"",'Monthly NII'!E7*12/( ('Monthly Balance'!E7+'Monthly Balance'!F7)/2 ))</x:f>
        <x:v>0.0765003410597305</x:v>
      </x:c>
      <x:c r="F7" s="44" t="n">
        <x:f>IF(( ('Monthly Balance'!F7+'Monthly Balance'!G7)/2 )=0,"",'Monthly NII'!F7*12/( ('Monthly Balance'!F7+'Monthly Balance'!G7)/2 ))</x:f>
        <x:v>0.0765003410597305</x:v>
      </x:c>
      <x:c r="G7" s="44" t="n">
        <x:f>IF(( ('Monthly Balance'!G7+'Monthly Balance'!H7)/2 )=0,"",'Monthly NII'!G7*12/( ('Monthly Balance'!G7+'Monthly Balance'!H7)/2 ))</x:f>
        <x:v>0.0765003410597305</x:v>
      </x:c>
      <x:c r="H7" s="44" t="n">
        <x:f>IF(( ('Monthly Balance'!H7+'Monthly Balance'!I7)/2 )=0,"",'Monthly NII'!H7*12/( ('Monthly Balance'!H7+'Monthly Balance'!I7)/2 ))</x:f>
        <x:v>0.07968478627161261</x:v>
      </x:c>
      <x:c r="I7" s="44" t="n">
        <x:f>IF(( ('Monthly Balance'!I7+'Monthly Balance'!J7)/2 )=0,"",'Monthly NII'!I7*12/( ('Monthly Balance'!I7+'Monthly Balance'!J7)/2 ))</x:f>
        <x:v>0.07968478627161261</x:v>
      </x:c>
      <x:c r="J7" s="44" t="n">
        <x:f>IF(( ('Monthly Balance'!J7+'Monthly Balance'!K7)/2 )=0,"",'Monthly NII'!J7*12/( ('Monthly Balance'!J7+'Monthly Balance'!K7)/2 ))</x:f>
        <x:v>0.07968478627161263</x:v>
      </x:c>
      <x:c r="K7" s="44" t="n">
        <x:f>IF(( ('Monthly Balance'!K7+'Monthly Balance'!L7)/2 )=0,"",'Monthly NII'!K7*12/( ('Monthly Balance'!K7+'Monthly Balance'!L7)/2 ))</x:f>
        <x:v>0.08170654911838791</x:v>
      </x:c>
      <x:c r="L7" s="44" t="n">
        <x:f>IF(( ('Monthly Balance'!L7+'Monthly Balance'!M7)/2 )=0,"",'Monthly NII'!L7*12/( ('Monthly Balance'!L7+'Monthly Balance'!M7)/2 ))</x:f>
        <x:v>0.08170654911838791</x:v>
      </x:c>
      <x:c r="M7" s="44" t="n">
        <x:f>IF(( ('Monthly Balance'!M7+'Monthly Balance'!N7)/2 )=0,"",'Monthly NII'!M7*12/( ('Monthly Balance'!M7+'Monthly Balance'!N7)/2 ))</x:f>
        <x:v>0.08170654911838791</x:v>
      </x:c>
      <x:c r="N7" s="44" t="n">
        <x:f>IF(( ('Monthly Balance'!N7+'Monthly Balance'!O7)/2 )=0,"",'Monthly NII'!N7*12/( ('Monthly Balance'!N7+'Monthly Balance'!O7)/2 ))</x:f>
        <x:v>0.08331224780599537</x:v>
      </x:c>
      <x:c r="O7" s="44" t="n">
        <x:f>IF(( ('Monthly Balance'!O7+'Monthly Balance'!P7)/2 )=0,"",'Monthly NII'!O7*12/( ('Monthly Balance'!O7+'Monthly Balance'!P7)/2 ))</x:f>
        <x:v>0.08331224780599539</x:v>
      </x:c>
      <x:c r="P7" s="44" t="n">
        <x:f>IF(( ('Monthly Balance'!P7+'Monthly Balance'!Q7)/2 )=0,"",'Monthly NII'!P7*12/( ('Monthly Balance'!P7+'Monthly Balance'!Q7)/2 ))</x:f>
        <x:v>0.08331224780599539</x:v>
      </x:c>
      <x:c r="Q7" s="44" t="n">
        <x:f>IF(( ('Monthly Balance'!Q7+'Monthly Balance'!R7)/2 )=0,"",'Monthly NII'!Q7*12/( ('Monthly Balance'!Q7+'Monthly Balance'!R7)/2 ))</x:f>
        <x:v>0.08548006261109489</x:v>
      </x:c>
      <x:c r="R7" s="44" t="n">
        <x:f>IF(( ('Monthly Balance'!R7+'Monthly Balance'!S7)/2 )=0,"",'Monthly NII'!R7*12/( ('Monthly Balance'!R7+'Monthly Balance'!S7)/2 ))</x:f>
        <x:v>0.08548006261109489</x:v>
      </x:c>
      <x:c r="S7" s="44" t="n">
        <x:f>IF(( ('Monthly Balance'!S7+'Monthly Balance'!T7)/2 )=0,"",'Monthly NII'!S7*12/( ('Monthly Balance'!S7+'Monthly Balance'!T7)/2 ))</x:f>
        <x:v>0.0854800626110949</x:v>
      </x:c>
      <x:c r="T7" s="44" t="n">
        <x:f>IF(( ('Monthly Balance'!T7+'Monthly Balance'!U7)/2 )=0,"",'Monthly NII'!T7*12/( ('Monthly Balance'!T7+'Monthly Balance'!U7)/2 ))</x:f>
        <x:v>0.08883988343703236</x:v>
      </x:c>
      <x:c r="U7" s="44" t="n">
        <x:f>IF(( ('Monthly Balance'!U7+'Monthly Balance'!V7)/2 )=0,"",'Monthly NII'!U7*12/( ('Monthly Balance'!U7+'Monthly Balance'!V7)/2 ))</x:f>
        <x:v>0.08883988343703236</x:v>
      </x:c>
      <x:c r="V7" s="44" t="n">
        <x:f>IF(( ('Monthly Balance'!V7+'Monthly Balance'!W7)/2 )=0,"",'Monthly NII'!V7*12/( ('Monthly Balance'!V7+'Monthly Balance'!W7)/2 ))</x:f>
        <x:v>0.08883988343703238</x:v>
      </x:c>
      <x:c r="W7" s="44" t="n">
        <x:f>IF(( ('Monthly Balance'!W7+'Monthly Balance'!X7)/2 )=0,"",'Monthly NII'!W7*12/( ('Monthly Balance'!W7+'Monthly Balance'!X7)/2 ))</x:f>
        <x:v>0.09037821600134661</x:v>
      </x:c>
      <x:c r="X7" s="44" t="n">
        <x:f>IF(( ('Monthly Balance'!X7+'Monthly Balance'!Y7)/2 )=0,"",'Monthly NII'!X7*12/( ('Monthly Balance'!X7+'Monthly Balance'!Y7)/2 ))</x:f>
        <x:v>0.09037821600134661</x:v>
      </x:c>
      <x:c r="Y7" s="44" t="n">
        <x:f>IF(( ('Monthly Balance'!Y7+'Monthly Balance'!Z7)/2 )=0,"",'Monthly NII'!Y7*12/( ('Monthly Balance'!Y7+'Monthly Balance'!Z7)/2 ))</x:f>
        <x:v>0.09037821600134661</x:v>
      </x:c>
      <x:c r="Z7" s="44" t="n">
        <x:f>IF(( ('Monthly Balance'!Z7+'Monthly Balance'!AA7)/2 )=0,"",'Monthly NII'!Z7*12/( ('Monthly Balance'!Z7+'Monthly Balance'!AA7)/2 ))</x:f>
        <x:v>0.09036697247706421</x:v>
      </x:c>
      <x:c r="AA7" s="44" t="n">
        <x:f>IF(( ('Monthly Balance'!AA7+'Monthly Balance'!AB7)/2 )=0,"",'Monthly NII'!AA7*12/( ('Monthly Balance'!AA7+'Monthly Balance'!AB7)/2 ))</x:f>
        <x:v>0.09036697247706423</x:v>
      </x:c>
      <x:c r="AB7" s="44" t="n">
        <x:f>IF(( ('Monthly Balance'!AB7+'Monthly Balance'!AC7)/2 )=0,"",'Monthly NII'!AB7*12/( ('Monthly Balance'!AB7+'Monthly Balance'!AC7)/2 ))</x:f>
        <x:v>0.09036697247706423</x:v>
      </x:c>
      <x:c r="AC7" s="44" t="n">
        <x:f>IF(( ('Monthly Balance'!AC7+'Monthly Balance'!AD7)/2 )=0,"",'Monthly NII'!AC7*12/( ('Monthly Balance'!AC7+'Monthly Balance'!AD7)/2 ))</x:f>
        <x:v>0.09293963418440601</x:v>
      </x:c>
      <x:c r="AD7" s="44" t="n">
        <x:f>IF(( ('Monthly Balance'!AD7+'Monthly Balance'!AE7)/2 )=0,"",'Monthly NII'!AD7*12/( ('Monthly Balance'!AD7+'Monthly Balance'!AE7)/2 ))</x:f>
        <x:v>0.09293963418440601</x:v>
      </x:c>
      <x:c r="AE7" s="44" t="n">
        <x:f>IF(( ('Monthly Balance'!AE7+'Monthly Balance'!AF7)/2 )=0,"",'Monthly NII'!AE7*12/( ('Monthly Balance'!AE7+'Monthly Balance'!AF7)/2 ))</x:f>
        <x:v>0.09293963418440603</x:v>
      </x:c>
      <x:c r="AF7" s="44" t="n">
        <x:f>IF(( ('Monthly Balance'!AF7+'Monthly Balance'!AG7)/2 )=0,"",'Monthly NII'!AF7*12/( ('Monthly Balance'!AF7+'Monthly Balance'!AG7)/2 ))</x:f>
        <x:v>0.09516981590619114</x:v>
      </x:c>
      <x:c r="AG7" s="44" t="n">
        <x:f>IF(( ('Monthly Balance'!AG7+'Monthly Balance'!AH7)/2 )=0,"",'Monthly NII'!AG7*12/( ('Monthly Balance'!AG7+'Monthly Balance'!AH7)/2 ))</x:f>
        <x:v>0.09516981590619114</x:v>
      </x:c>
      <x:c r="AH7" s="44" t="n">
        <x:f>IF(( ('Monthly Balance'!AH7+'Monthly Balance'!AI7)/2 )=0,"",'Monthly NII'!AH7*12/( ('Monthly Balance'!AH7+'Monthly Balance'!AI7)/2 ))</x:f>
        <x:v>0.09516981590619115</x:v>
      </x:c>
      <x:c r="AI7" s="44" t="n">
        <x:f>IF(( ('Monthly Balance'!AI7+'Monthly Balance'!AJ7)/2 )=0,"",'Monthly NII'!AI7*12/( ('Monthly Balance'!AI7+'Monthly Balance'!AJ7)/2 ))</x:f>
        <x:v>0.0958232128399295</x:v>
      </x:c>
      <x:c r="AJ7" s="44" t="n">
        <x:f>IF(( ('Monthly Balance'!AJ7+'Monthly Balance'!AK7)/2 )=0,"",'Monthly NII'!AJ7*12/( ('Monthly Balance'!AJ7+'Monthly Balance'!AK7)/2 ))</x:f>
        <x:v>0.09582321283992952</x:v>
      </x:c>
      <x:c r="AK7" s="44" t="n">
        <x:f>IF(( ('Monthly Balance'!AK7+'Monthly Balance'!AL7)/2 )=0,"",'Monthly NII'!AK7*12/( ('Monthly Balance'!AK7+'Monthly Balance'!AL7)/2 ))</x:f>
        <x:v>0.09582321283992952</x:v>
      </x:c>
      <x:c r="AL7" s="44" t="n">
        <x:f>IF(( ('Monthly Balance'!AL7+'Monthly Balance'!AM7)/2 )=0,"",'Monthly NII'!AL7*12/( ('Monthly Balance'!AL7+'Monthly Balance'!AM7)/2 ))</x:f>
        <x:v>0.09428128026510776</x:v>
      </x:c>
      <x:c r="AM7" s="44" t="n">
        <x:f>IF(( ('Monthly Balance'!AM7+'Monthly Balance'!AN7)/2 )=0,"",'Monthly NII'!AM7*12/( ('Monthly Balance'!AM7+'Monthly Balance'!AN7)/2 ))</x:f>
        <x:v>0.09428128026510776</x:v>
      </x:c>
      <x:c r="AN7" s="44" t="n">
        <x:f>IF(( ('Monthly Balance'!AN7+'Monthly Balance'!AO7)/2 )=0,"",'Monthly NII'!AN7*12/( ('Monthly Balance'!AN7+'Monthly Balance'!AO7)/2 ))</x:f>
        <x:v>0.09428128026510775</x:v>
      </x:c>
      <x:c r="AO7" s="44" t="n">
        <x:f>IF(( ('Monthly Balance'!AO7+'Monthly Balance'!AP7)/2 )=0,"",'Monthly NII'!AO7*12/( ('Monthly Balance'!AO7+'Monthly Balance'!AP7)/2 ))</x:f>
        <x:v>0.09577458428818171</x:v>
      </x:c>
      <x:c r="AP7" s="44" t="n">
        <x:f>IF(( ('Monthly Balance'!AP7+'Monthly Balance'!AQ7)/2 )=0,"",'Monthly NII'!AP7*12/( ('Monthly Balance'!AP7+'Monthly Balance'!AQ7)/2 ))</x:f>
        <x:v>0.09577458428818171</x:v>
      </x:c>
      <x:c r="AQ7" s="44" t="n">
        <x:f>IF(( ('Monthly Balance'!AQ7+'Monthly Balance'!AR7)/2 )=0,"",'Monthly NII'!AQ7*12/( ('Monthly Balance'!AQ7+'Monthly Balance'!AR7)/2 ))</x:f>
        <x:v>0.0957745842881817</x:v>
      </x:c>
    </x:row>
    <x:row r="8">
      <x:c r="A8" s="20" t="str">
        <x:v>  Commercial banking</x:v>
      </x:c>
      <x:c r="B8" s="44" t="n">
        <x:f>IF(( ('Monthly Balance'!B8+'Monthly Balance'!C8)/2 )=0,"",'Monthly NII'!B8*12/( ('Monthly Balance'!B8+'Monthly Balance'!C8)/2 ))</x:f>
        <x:v>0.0630201384918366</x:v>
      </x:c>
      <x:c r="C8" s="44" t="n">
        <x:f>IF(( ('Monthly Balance'!C8+'Monthly Balance'!D8)/2 )=0,"",'Monthly NII'!C8*12/( ('Monthly Balance'!C8+'Monthly Balance'!D8)/2 ))</x:f>
        <x:v>0.0630201384918366</x:v>
      </x:c>
      <x:c r="D8" s="44" t="n">
        <x:f>IF(( ('Monthly Balance'!D8+'Monthly Balance'!E8)/2 )=0,"",'Monthly NII'!D8*12/( ('Monthly Balance'!D8+'Monthly Balance'!E8)/2 ))</x:f>
        <x:v>0.0630201384918366</x:v>
      </x:c>
      <x:c r="E8" s="44" t="n">
        <x:f>IF(( ('Monthly Balance'!E8+'Monthly Balance'!F8)/2 )=0,"",'Monthly NII'!E8*12/( ('Monthly Balance'!E8+'Monthly Balance'!F8)/2 ))</x:f>
        <x:v>0.06732428574472166</x:v>
      </x:c>
      <x:c r="F8" s="44" t="n">
        <x:f>IF(( ('Monthly Balance'!F8+'Monthly Balance'!G8)/2 )=0,"",'Monthly NII'!F8*12/( ('Monthly Balance'!F8+'Monthly Balance'!G8)/2 ))</x:f>
        <x:v>0.06732428574472164</x:v>
      </x:c>
      <x:c r="G8" s="44" t="n">
        <x:f>IF(( ('Monthly Balance'!G8+'Monthly Balance'!H8)/2 )=0,"",'Monthly NII'!G8*12/( ('Monthly Balance'!G8+'Monthly Balance'!H8)/2 ))</x:f>
        <x:v>0.06732428574472164</x:v>
      </x:c>
      <x:c r="H8" s="44" t="n">
        <x:f>IF(( ('Monthly Balance'!H8+'Monthly Balance'!I8)/2 )=0,"",'Monthly NII'!H8*12/( ('Monthly Balance'!H8+'Monthly Balance'!I8)/2 ))</x:f>
        <x:v>0.0711947449433087</x:v>
      </x:c>
      <x:c r="I8" s="44" t="n">
        <x:f>IF(( ('Monthly Balance'!I8+'Monthly Balance'!J8)/2 )=0,"",'Monthly NII'!I8*12/( ('Monthly Balance'!I8+'Monthly Balance'!J8)/2 ))</x:f>
        <x:v>0.07119474494330869</x:v>
      </x:c>
      <x:c r="J8" s="44" t="n">
        <x:f>IF(( ('Monthly Balance'!J8+'Monthly Balance'!K8)/2 )=0,"",'Monthly NII'!J8*12/( ('Monthly Balance'!J8+'Monthly Balance'!K8)/2 ))</x:f>
        <x:v>0.0711947449433087</x:v>
      </x:c>
      <x:c r="K8" s="44" t="n">
        <x:f>IF(( ('Monthly Balance'!K8+'Monthly Balance'!L8)/2 )=0,"",'Monthly NII'!K8*12/( ('Monthly Balance'!K8+'Monthly Balance'!L8)/2 ))</x:f>
        <x:v>0.07235323083657054</x:v>
      </x:c>
      <x:c r="L8" s="44" t="n">
        <x:f>IF(( ('Monthly Balance'!L8+'Monthly Balance'!M8)/2 )=0,"",'Monthly NII'!L8*12/( ('Monthly Balance'!L8+'Monthly Balance'!M8)/2 ))</x:f>
        <x:v>0.07235323083657055</x:v>
      </x:c>
      <x:c r="M8" s="44" t="n">
        <x:f>IF(( ('Monthly Balance'!M8+'Monthly Balance'!N8)/2 )=0,"",'Monthly NII'!M8*12/( ('Monthly Balance'!M8+'Monthly Balance'!N8)/2 ))</x:f>
        <x:v>0.07235323083657057</x:v>
      </x:c>
      <x:c r="N8" s="44" t="n">
        <x:f>IF(( ('Monthly Balance'!N8+'Monthly Balance'!O8)/2 )=0,"",'Monthly NII'!N8*12/( ('Monthly Balance'!N8+'Monthly Balance'!O8)/2 ))</x:f>
        <x:v>0.07130929077778884</x:v>
      </x:c>
      <x:c r="O8" s="44" t="n">
        <x:f>IF(( ('Monthly Balance'!O8+'Monthly Balance'!P8)/2 )=0,"",'Monthly NII'!O8*12/( ('Monthly Balance'!O8+'Monthly Balance'!P8)/2 ))</x:f>
        <x:v>0.07130929077778883</x:v>
      </x:c>
      <x:c r="P8" s="44" t="n">
        <x:f>IF(( ('Monthly Balance'!P8+'Monthly Balance'!Q8)/2 )=0,"",'Monthly NII'!P8*12/( ('Monthly Balance'!P8+'Monthly Balance'!Q8)/2 ))</x:f>
        <x:v>0.07130929077778883</x:v>
      </x:c>
      <x:c r="Q8" s="44" t="n">
        <x:f>IF(( ('Monthly Balance'!Q8+'Monthly Balance'!R8)/2 )=0,"",'Monthly NII'!Q8*12/( ('Monthly Balance'!Q8+'Monthly Balance'!R8)/2 ))</x:f>
        <x:v>0.0721662145113932</x:v>
      </x:c>
      <x:c r="R8" s="44" t="n">
        <x:f>IF(( ('Monthly Balance'!R8+'Monthly Balance'!S8)/2 )=0,"",'Monthly NII'!R8*12/( ('Monthly Balance'!R8+'Monthly Balance'!S8)/2 ))</x:f>
        <x:v>0.0721662145113932</x:v>
      </x:c>
      <x:c r="S8" s="44" t="n">
        <x:f>IF(( ('Monthly Balance'!S8+'Monthly Balance'!T8)/2 )=0,"",'Monthly NII'!S8*12/( ('Monthly Balance'!S8+'Monthly Balance'!T8)/2 ))</x:f>
        <x:v>0.0721662145113932</x:v>
      </x:c>
      <x:c r="T8" s="44" t="n">
        <x:f>IF(( ('Monthly Balance'!T8+'Monthly Balance'!U8)/2 )=0,"",'Monthly NII'!T8*12/( ('Monthly Balance'!T8+'Monthly Balance'!U8)/2 ))</x:f>
        <x:v>0.07246557206386565</x:v>
      </x:c>
      <x:c r="U8" s="44" t="n">
        <x:f>IF(( ('Monthly Balance'!U8+'Monthly Balance'!V8)/2 )=0,"",'Monthly NII'!U8*12/( ('Monthly Balance'!U8+'Monthly Balance'!V8)/2 ))</x:f>
        <x:v>0.07246557206386565</x:v>
      </x:c>
      <x:c r="V8" s="44" t="n">
        <x:f>IF(( ('Monthly Balance'!V8+'Monthly Balance'!W8)/2 )=0,"",'Monthly NII'!V8*12/( ('Monthly Balance'!V8+'Monthly Balance'!W8)/2 ))</x:f>
        <x:v>0.07246557206386565</x:v>
      </x:c>
      <x:c r="W8" s="44" t="n">
        <x:f>IF(( ('Monthly Balance'!W8+'Monthly Balance'!X8)/2 )=0,"",'Monthly NII'!W8*12/( ('Monthly Balance'!W8+'Monthly Balance'!X8)/2 ))</x:f>
        <x:v>0.0671594123551419</x:v>
      </x:c>
      <x:c r="X8" s="44" t="n">
        <x:f>IF(( ('Monthly Balance'!X8+'Monthly Balance'!Y8)/2 )=0,"",'Monthly NII'!X8*12/( ('Monthly Balance'!X8+'Monthly Balance'!Y8)/2 ))</x:f>
        <x:v>0.06715941235514189</x:v>
      </x:c>
      <x:c r="Y8" s="44" t="n">
        <x:f>IF(( ('Monthly Balance'!Y8+'Monthly Balance'!Z8)/2 )=0,"",'Monthly NII'!Y8*12/( ('Monthly Balance'!Y8+'Monthly Balance'!Z8)/2 ))</x:f>
        <x:v>0.06715941235514189</x:v>
      </x:c>
      <x:c r="Z8" s="44" t="n">
        <x:f>IF(( ('Monthly Balance'!Z8+'Monthly Balance'!AA8)/2 )=0,"",'Monthly NII'!Z8*12/( ('Monthly Balance'!Z8+'Monthly Balance'!AA8)/2 ))</x:f>
        <x:v>0.06290109690045968</x:v>
      </x:c>
      <x:c r="AA8" s="44" t="n">
        <x:f>IF(( ('Monthly Balance'!AA8+'Monthly Balance'!AB8)/2 )=0,"",'Monthly NII'!AA8*12/( ('Monthly Balance'!AA8+'Monthly Balance'!AB8)/2 ))</x:f>
        <x:v>0.0629010969004597</x:v>
      </x:c>
      <x:c r="AB8" s="44" t="n">
        <x:f>IF(( ('Monthly Balance'!AB8+'Monthly Balance'!AC8)/2 )=0,"",'Monthly NII'!AB8*12/( ('Monthly Balance'!AB8+'Monthly Balance'!AC8)/2 ))</x:f>
        <x:v>0.0629010969004597</x:v>
      </x:c>
      <x:c r="AC8" s="44" t="n">
        <x:f>IF(( ('Monthly Balance'!AC8+'Monthly Balance'!AD8)/2 )=0,"",'Monthly NII'!AC8*12/( ('Monthly Balance'!AC8+'Monthly Balance'!AD8)/2 ))</x:f>
        <x:v>0.0640457920652627</x:v>
      </x:c>
      <x:c r="AD8" s="44" t="n">
        <x:f>IF(( ('Monthly Balance'!AD8+'Monthly Balance'!AE8)/2 )=0,"",'Monthly NII'!AD8*12/( ('Monthly Balance'!AD8+'Monthly Balance'!AE8)/2 ))</x:f>
        <x:v>0.0640457920652627</x:v>
      </x:c>
      <x:c r="AE8" s="44" t="n">
        <x:f>IF(( ('Monthly Balance'!AE8+'Monthly Balance'!AF8)/2 )=0,"",'Monthly NII'!AE8*12/( ('Monthly Balance'!AE8+'Monthly Balance'!AF8)/2 ))</x:f>
        <x:v>0.06404579206526272</x:v>
      </x:c>
      <x:c r="AF8" s="44" t="n">
        <x:f>IF(( ('Monthly Balance'!AF8+'Monthly Balance'!AG8)/2 )=0,"",'Monthly NII'!AF8*12/( ('Monthly Balance'!AF8+'Monthly Balance'!AG8)/2 ))</x:f>
        <x:v>0.06415909295419779</x:v>
      </x:c>
      <x:c r="AG8" s="44" t="n">
        <x:f>IF(( ('Monthly Balance'!AG8+'Monthly Balance'!AH8)/2 )=0,"",'Monthly NII'!AG8*12/( ('Monthly Balance'!AG8+'Monthly Balance'!AH8)/2 ))</x:f>
        <x:v>0.06415909295419779</x:v>
      </x:c>
      <x:c r="AH8" s="44" t="n">
        <x:f>IF(( ('Monthly Balance'!AH8+'Monthly Balance'!AI8)/2 )=0,"",'Monthly NII'!AH8*12/( ('Monthly Balance'!AH8+'Monthly Balance'!AI8)/2 ))</x:f>
        <x:v>0.06415909295419778</x:v>
      </x:c>
      <x:c r="AI8" s="44" t="n">
        <x:f>IF(( ('Monthly Balance'!AI8+'Monthly Balance'!AJ8)/2 )=0,"",'Monthly NII'!AI8*12/( ('Monthly Balance'!AI8+'Monthly Balance'!AJ8)/2 ))</x:f>
        <x:v>0.06081262893533053</x:v>
      </x:c>
      <x:c r="AJ8" s="44" t="n">
        <x:f>IF(( ('Monthly Balance'!AJ8+'Monthly Balance'!AK8)/2 )=0,"",'Monthly NII'!AJ8*12/( ('Monthly Balance'!AJ8+'Monthly Balance'!AK8)/2 ))</x:f>
        <x:v>0.06081262893533052</x:v>
      </x:c>
      <x:c r="AK8" s="44" t="n">
        <x:f>IF(( ('Monthly Balance'!AK8+'Monthly Balance'!AL8)/2 )=0,"",'Monthly NII'!AK8*12/( ('Monthly Balance'!AK8+'Monthly Balance'!AL8)/2 ))</x:f>
        <x:v>0.06081262893533052</x:v>
      </x:c>
      <x:c r="AL8" s="44" t="n">
        <x:f>IF(( ('Monthly Balance'!AL8+'Monthly Balance'!AM8)/2 )=0,"",'Monthly NII'!AL8*12/( ('Monthly Balance'!AL8+'Monthly Balance'!AM8)/2 ))</x:f>
        <x:v>0.05675963759104636</x:v>
      </x:c>
      <x:c r="AM8" s="44" t="n">
        <x:f>IF(( ('Monthly Balance'!AM8+'Monthly Balance'!AN8)/2 )=0,"",'Monthly NII'!AM8*12/( ('Monthly Balance'!AM8+'Monthly Balance'!AN8)/2 ))</x:f>
        <x:v>0.056759637591046366</x:v>
      </x:c>
      <x:c r="AN8" s="44" t="n">
        <x:f>IF(( ('Monthly Balance'!AN8+'Monthly Balance'!AO8)/2 )=0,"",'Monthly NII'!AN8*12/( ('Monthly Balance'!AN8+'Monthly Balance'!AO8)/2 ))</x:f>
        <x:v>0.05675963759104637</x:v>
      </x:c>
      <x:c r="AO8" s="44" t="n">
        <x:f>IF(( ('Monthly Balance'!AO8+'Monthly Balance'!AP8)/2 )=0,"",'Monthly NII'!AO8*12/( ('Monthly Balance'!AO8+'Monthly Balance'!AP8)/2 ))</x:f>
        <x:v>0.0574427439011001</x:v>
      </x:c>
      <x:c r="AP8" s="44" t="n">
        <x:f>IF(( ('Monthly Balance'!AP8+'Monthly Balance'!AQ8)/2 )=0,"",'Monthly NII'!AP8*12/( ('Monthly Balance'!AP8+'Monthly Balance'!AQ8)/2 ))</x:f>
        <x:v>0.05744274390110011</x:v>
      </x:c>
      <x:c r="AQ8" s="44" t="n">
        <x:f>IF(( ('Monthly Balance'!AQ8+'Monthly Balance'!AR8)/2 )=0,"",'Monthly NII'!AQ8*12/( ('Monthly Balance'!AQ8+'Monthly Balance'!AR8)/2 ))</x:f>
        <x:v>0.057442743901100116</x:v>
      </x:c>
    </x:row>
    <x:row r="9">
      <x:c r="A9" s="26" t="str">
        <x:v>  Total loans (incl. HFS)</x:v>
      </x:c>
      <x:c r="B9" s="47" t="n">
        <x:f>IF(( ('Monthly Balance'!B9+'Monthly Balance'!C9)/2 )=0,"",'Monthly NII'!B9*12/( ('Monthly Balance'!B9+'Monthly Balance'!C9)/2 ))</x:f>
        <x:v>0.11324343183551595</x:v>
      </x:c>
      <x:c r="C9" s="47" t="n">
        <x:f>IF(( ('Monthly Balance'!C9+'Monthly Balance'!D9)/2 )=0,"",'Monthly NII'!C9*12/( ('Monthly Balance'!C9+'Monthly Balance'!D9)/2 ))</x:f>
        <x:v>0.11324343183551595</x:v>
      </x:c>
      <x:c r="D9" s="47" t="n">
        <x:f>IF(( ('Monthly Balance'!D9+'Monthly Balance'!E9)/2 )=0,"",'Monthly NII'!D9*12/( ('Monthly Balance'!D9+'Monthly Balance'!E9)/2 ))</x:f>
        <x:v>0.11324343183551595</x:v>
      </x:c>
      <x:c r="E9" s="47" t="n">
        <x:f>IF(( ('Monthly Balance'!E9+'Monthly Balance'!F9)/2 )=0,"",'Monthly NII'!E9*12/( ('Monthly Balance'!E9+'Monthly Balance'!F9)/2 ))</x:f>
        <x:v>0.11673836338150707</x:v>
      </x:c>
      <x:c r="F9" s="47" t="n">
        <x:f>IF(( ('Monthly Balance'!F9+'Monthly Balance'!G9)/2 )=0,"",'Monthly NII'!F9*12/( ('Monthly Balance'!F9+'Monthly Balance'!G9)/2 ))</x:f>
        <x:v>0.11673836338150709</x:v>
      </x:c>
      <x:c r="G9" s="47" t="n">
        <x:f>IF(( ('Monthly Balance'!G9+'Monthly Balance'!H9)/2 )=0,"",'Monthly NII'!G9*12/( ('Monthly Balance'!G9+'Monthly Balance'!H9)/2 ))</x:f>
        <x:v>0.11673836338150709</x:v>
      </x:c>
      <x:c r="H9" s="47" t="n">
        <x:f>IF(( ('Monthly Balance'!H9+'Monthly Balance'!I9)/2 )=0,"",'Monthly NII'!H9*12/( ('Monthly Balance'!H9+'Monthly Balance'!I9)/2 ))</x:f>
        <x:v>0.12372831069893861</x:v>
      </x:c>
      <x:c r="I9" s="47" t="n">
        <x:f>IF(( ('Monthly Balance'!I9+'Monthly Balance'!J9)/2 )=0,"",'Monthly NII'!I9*12/( ('Monthly Balance'!I9+'Monthly Balance'!J9)/2 ))</x:f>
        <x:v>0.12372831069893862</x:v>
      </x:c>
      <x:c r="J9" s="47" t="n">
        <x:f>IF(( ('Monthly Balance'!J9+'Monthly Balance'!K9)/2 )=0,"",'Monthly NII'!J9*12/( ('Monthly Balance'!J9+'Monthly Balance'!K9)/2 ))</x:f>
        <x:v>0.12372831069893864</x:v>
      </x:c>
      <x:c r="K9" s="47" t="n">
        <x:f>IF(( ('Monthly Balance'!K9+'Monthly Balance'!L9)/2 )=0,"",'Monthly NII'!K9*12/( ('Monthly Balance'!K9+'Monthly Balance'!L9)/2 ))</x:f>
        <x:v>0.1254605788690993</x:v>
      </x:c>
      <x:c r="L9" s="47" t="n">
        <x:f>IF(( ('Monthly Balance'!L9+'Monthly Balance'!M9)/2 )=0,"",'Monthly NII'!L9*12/( ('Monthly Balance'!L9+'Monthly Balance'!M9)/2 ))</x:f>
        <x:v>0.1254605788690993</x:v>
      </x:c>
      <x:c r="M9" s="47" t="n">
        <x:f>IF(( ('Monthly Balance'!M9+'Monthly Balance'!N9)/2 )=0,"",'Monthly NII'!M9*12/( ('Monthly Balance'!M9+'Monthly Balance'!N9)/2 ))</x:f>
        <x:v>0.12546057886909928</x:v>
      </x:c>
      <x:c r="N9" s="47" t="n">
        <x:f>IF(( ('Monthly Balance'!N9+'Monthly Balance'!O9)/2 )=0,"",'Monthly NII'!N9*12/( ('Monthly Balance'!N9+'Monthly Balance'!O9)/2 ))</x:f>
        <x:v>0.12574351238896828</x:v>
      </x:c>
      <x:c r="O9" s="47" t="n">
        <x:f>IF(( ('Monthly Balance'!O9+'Monthly Balance'!P9)/2 )=0,"",'Monthly NII'!O9*12/( ('Monthly Balance'!O9+'Monthly Balance'!P9)/2 ))</x:f>
        <x:v>0.12574351238896828</x:v>
      </x:c>
      <x:c r="P9" s="47" t="n">
        <x:f>IF(( ('Monthly Balance'!P9+'Monthly Balance'!Q9)/2 )=0,"",'Monthly NII'!P9*12/( ('Monthly Balance'!P9+'Monthly Balance'!Q9)/2 ))</x:f>
        <x:v>0.12574351238896828</x:v>
      </x:c>
      <x:c r="Q9" s="47" t="n">
        <x:f>IF(( ('Monthly Balance'!Q9+'Monthly Balance'!R9)/2 )=0,"",'Monthly NII'!Q9*12/( ('Monthly Balance'!Q9+'Monthly Balance'!R9)/2 ))</x:f>
        <x:v>0.12656456306222155</x:v>
      </x:c>
      <x:c r="R9" s="47" t="n">
        <x:f>IF(( ('Monthly Balance'!R9+'Monthly Balance'!S9)/2 )=0,"",'Monthly NII'!R9*12/( ('Monthly Balance'!R9+'Monthly Balance'!S9)/2 ))</x:f>
        <x:v>0.12656456306222155</x:v>
      </x:c>
      <x:c r="S9" s="47" t="n">
        <x:f>IF(( ('Monthly Balance'!S9+'Monthly Balance'!T9)/2 )=0,"",'Monthly NII'!S9*12/( ('Monthly Balance'!S9+'Monthly Balance'!T9)/2 ))</x:f>
        <x:v>0.12656456306222155</x:v>
      </x:c>
      <x:c r="T9" s="47" t="n">
        <x:f>IF(( ('Monthly Balance'!T9+'Monthly Balance'!U9)/2 )=0,"",'Monthly NII'!T9*12/( ('Monthly Balance'!T9+'Monthly Balance'!U9)/2 ))</x:f>
        <x:v>0.13236904444409583</x:v>
      </x:c>
      <x:c r="U9" s="47" t="n">
        <x:f>IF(( ('Monthly Balance'!U9+'Monthly Balance'!V9)/2 )=0,"",'Monthly NII'!U9*12/( ('Monthly Balance'!U9+'Monthly Balance'!V9)/2 ))</x:f>
        <x:v>0.13236904444409583</x:v>
      </x:c>
      <x:c r="V9" s="47" t="n">
        <x:f>IF(( ('Monthly Balance'!V9+'Monthly Balance'!W9)/2 )=0,"",'Monthly NII'!V9*12/( ('Monthly Balance'!V9+'Monthly Balance'!W9)/2 ))</x:f>
        <x:v>0.13236904444409583</x:v>
      </x:c>
      <x:c r="W9" s="47" t="n">
        <x:f>IF(( ('Monthly Balance'!W9+'Monthly Balance'!X9)/2 )=0,"",'Monthly NII'!W9*12/( ('Monthly Balance'!W9+'Monthly Balance'!X9)/2 ))</x:f>
        <x:v>0.1295091276379851</x:v>
      </x:c>
      <x:c r="X9" s="47" t="n">
        <x:f>IF(( ('Monthly Balance'!X9+'Monthly Balance'!Y9)/2 )=0,"",'Monthly NII'!X9*12/( ('Monthly Balance'!X9+'Monthly Balance'!Y9)/2 ))</x:f>
        <x:v>0.1295091276379851</x:v>
      </x:c>
      <x:c r="Y9" s="47" t="n">
        <x:f>IF(( ('Monthly Balance'!Y9+'Monthly Balance'!Z9)/2 )=0,"",'Monthly NII'!Y9*12/( ('Monthly Balance'!Y9+'Monthly Balance'!Z9)/2 ))</x:f>
        <x:v>0.12950912763798514</x:v>
      </x:c>
      <x:c r="Z9" s="47" t="n">
        <x:f>IF(( ('Monthly Balance'!Z9+'Monthly Balance'!AA9)/2 )=0,"",'Monthly NII'!Z9*12/( ('Monthly Balance'!Z9+'Monthly Balance'!AA9)/2 ))</x:f>
        <x:v>0.1258721326509115</x:v>
      </x:c>
      <x:c r="AA9" s="47" t="n">
        <x:f>IF(( ('Monthly Balance'!AA9+'Monthly Balance'!AB9)/2 )=0,"",'Monthly NII'!AA9*12/( ('Monthly Balance'!AA9+'Monthly Balance'!AB9)/2 ))</x:f>
        <x:v>0.1258721326509115</x:v>
      </x:c>
      <x:c r="AB9" s="47" t="n">
        <x:f>IF(( ('Monthly Balance'!AB9+'Monthly Balance'!AC9)/2 )=0,"",'Monthly NII'!AB9*12/( ('Monthly Balance'!AB9+'Monthly Balance'!AC9)/2 ))</x:f>
        <x:v>0.12587213265091146</x:v>
      </x:c>
      <x:c r="AC9" s="47" t="n">
        <x:f>IF(( ('Monthly Balance'!AC9+'Monthly Balance'!AD9)/2 )=0,"",'Monthly NII'!AC9*12/( ('Monthly Balance'!AC9+'Monthly Balance'!AD9)/2 ))</x:f>
        <x:v>0.13154856724705907</x:v>
      </x:c>
      <x:c r="AD9" s="47" t="n">
        <x:f>IF(( ('Monthly Balance'!AD9+'Monthly Balance'!AE9)/2 )=0,"",'Monthly NII'!AD9*12/( ('Monthly Balance'!AD9+'Monthly Balance'!AE9)/2 ))</x:f>
        <x:v>0.13154856724705907</x:v>
      </x:c>
      <x:c r="AE9" s="47" t="n">
        <x:f>IF(( ('Monthly Balance'!AE9+'Monthly Balance'!AF9)/2 )=0,"",'Monthly NII'!AE9*12/( ('Monthly Balance'!AE9+'Monthly Balance'!AF9)/2 ))</x:f>
        <x:v>0.13154856724705907</x:v>
      </x:c>
      <x:c r="AF9" s="47" t="n">
        <x:f>IF(( ('Monthly Balance'!AF9+'Monthly Balance'!AG9)/2 )=0,"",'Monthly NII'!AF9*12/( ('Monthly Balance'!AF9+'Monthly Balance'!AG9)/2 ))</x:f>
        <x:v>0.13832787585098122</x:v>
      </x:c>
      <x:c r="AG9" s="47" t="n">
        <x:f>IF(( ('Monthly Balance'!AG9+'Monthly Balance'!AH9)/2 )=0,"",'Monthly NII'!AG9*12/( ('Monthly Balance'!AG9+'Monthly Balance'!AH9)/2 ))</x:f>
        <x:v>0.13832787585098122</x:v>
      </x:c>
      <x:c r="AH9" s="47" t="n">
        <x:f>IF(( ('Monthly Balance'!AH9+'Monthly Balance'!AI9)/2 )=0,"",'Monthly NII'!AH9*12/( ('Monthly Balance'!AH9+'Monthly Balance'!AI9)/2 ))</x:f>
        <x:v>0.1383278758509812</x:v>
      </x:c>
      <x:c r="AI9" s="47" t="n">
        <x:f>IF(( ('Monthly Balance'!AI9+'Monthly Balance'!AJ9)/2 )=0,"",'Monthly NII'!AI9*12/( ('Monthly Balance'!AI9+'Monthly Balance'!AJ9)/2 ))</x:f>
        <x:v>0.1362278537788742</x:v>
      </x:c>
      <x:c r="AJ9" s="47" t="n">
        <x:f>IF(( ('Monthly Balance'!AJ9+'Monthly Balance'!AK9)/2 )=0,"",'Monthly NII'!AJ9*12/( ('Monthly Balance'!AJ9+'Monthly Balance'!AK9)/2 ))</x:f>
        <x:v>0.1362278537788742</x:v>
      </x:c>
      <x:c r="AK9" s="47" t="n">
        <x:f>IF(( ('Monthly Balance'!AK9+'Monthly Balance'!AL9)/2 )=0,"",'Monthly NII'!AK9*12/( ('Monthly Balance'!AK9+'Monthly Balance'!AL9)/2 ))</x:f>
        <x:v>0.13622785377887417</x:v>
      </x:c>
      <x:c r="AL9" s="47" t="n">
        <x:f>IF(( ('Monthly Balance'!AL9+'Monthly Balance'!AM9)/2 )=0,"",'Monthly NII'!AL9*12/( ('Monthly Balance'!AL9+'Monthly Balance'!AM9)/2 ))</x:f>
        <x:v>0.1319335631463491</x:v>
      </x:c>
      <x:c r="AM9" s="47" t="n">
        <x:f>IF(( ('Monthly Balance'!AM9+'Monthly Balance'!AN9)/2 )=0,"",'Monthly NII'!AM9*12/( ('Monthly Balance'!AM9+'Monthly Balance'!AN9)/2 ))</x:f>
        <x:v>0.1319335631463491</x:v>
      </x:c>
      <x:c r="AN9" s="47" t="n">
        <x:f>IF(( ('Monthly Balance'!AN9+'Monthly Balance'!AO9)/2 )=0,"",'Monthly NII'!AN9*12/( ('Monthly Balance'!AN9+'Monthly Balance'!AO9)/2 ))</x:f>
        <x:v>0.1319335631463491</x:v>
      </x:c>
      <x:c r="AO9" s="47" t="n">
        <x:f>IF(( ('Monthly Balance'!AO9+'Monthly Balance'!AP9)/2 )=0,"",'Monthly NII'!AO9*12/( ('Monthly Balance'!AO9+'Monthly Balance'!AP9)/2 ))</x:f>
        <x:v>0.13228881564647277</x:v>
      </x:c>
      <x:c r="AP9" s="47" t="n">
        <x:f>IF(( ('Monthly Balance'!AP9+'Monthly Balance'!AQ9)/2 )=0,"",'Monthly NII'!AP9*12/( ('Monthly Balance'!AP9+'Monthly Balance'!AQ9)/2 ))</x:f>
        <x:v>0.13228881564647277</x:v>
      </x:c>
      <x:c r="AQ9" s="47" t="n">
        <x:f>IF(( ('Monthly Balance'!AQ9+'Monthly Balance'!AR9)/2 )=0,"",'Monthly NII'!AQ9*12/( ('Monthly Balance'!AQ9+'Monthly Balance'!AR9)/2 ))</x:f>
        <x:v>0.13228881564647277</x:v>
      </x:c>
    </x:row>
    <x:row r="10">
      <x:c r="A10" s="20" t="str">
        <x:v>  Investment securities</x:v>
      </x:c>
      <x:c r="B10" s="44" t="n">
        <x:f>IF(( ('Monthly Balance'!B10+'Monthly Balance'!C10)/2 )=0,"",'Monthly NII'!B10*12/( ('Monthly Balance'!B10+'Monthly Balance'!C10)/2 ))</x:f>
        <x:v>0.02734548688305914</x:v>
      </x:c>
      <x:c r="C10" s="44" t="n">
        <x:f>IF(( ('Monthly Balance'!C10+'Monthly Balance'!D10)/2 )=0,"",'Monthly NII'!C10*12/( ('Monthly Balance'!C10+'Monthly Balance'!D10)/2 ))</x:f>
        <x:v>0.02734548688305914</x:v>
      </x:c>
      <x:c r="D10" s="44" t="n">
        <x:f>IF(( ('Monthly Balance'!D10+'Monthly Balance'!E10)/2 )=0,"",'Monthly NII'!D10*12/( ('Monthly Balance'!D10+'Monthly Balance'!E10)/2 ))</x:f>
        <x:v>0.02734548688305914</x:v>
      </x:c>
      <x:c r="E10" s="44" t="n">
        <x:f>IF(( ('Monthly Balance'!E10+'Monthly Balance'!F10)/2 )=0,"",'Monthly NII'!E10*12/( ('Monthly Balance'!E10+'Monthly Balance'!F10)/2 ))</x:f>
        <x:v>0.02840189345956397</x:v>
      </x:c>
      <x:c r="F10" s="44" t="n">
        <x:f>IF(( ('Monthly Balance'!F10+'Monthly Balance'!G10)/2 )=0,"",'Monthly NII'!F10*12/( ('Monthly Balance'!F10+'Monthly Balance'!G10)/2 ))</x:f>
        <x:v>0.02840189345956397</x:v>
      </x:c>
      <x:c r="G10" s="44" t="n">
        <x:f>IF(( ('Monthly Balance'!G10+'Monthly Balance'!H10)/2 )=0,"",'Monthly NII'!G10*12/( ('Monthly Balance'!G10+'Monthly Balance'!H10)/2 ))</x:f>
        <x:v>0.02840189345956397</x:v>
      </x:c>
      <x:c r="H10" s="44" t="n">
        <x:f>IF(( ('Monthly Balance'!H10+'Monthly Balance'!I10)/2 )=0,"",'Monthly NII'!H10*12/( ('Monthly Balance'!H10+'Monthly Balance'!I10)/2 ))</x:f>
        <x:v>0.0285502874381012</x:v>
      </x:c>
      <x:c r="I10" s="44" t="n">
        <x:f>IF(( ('Monthly Balance'!I10+'Monthly Balance'!J10)/2 )=0,"",'Monthly NII'!I10*12/( ('Monthly Balance'!I10+'Monthly Balance'!J10)/2 ))</x:f>
        <x:v>0.0285502874381012</x:v>
      </x:c>
      <x:c r="J10" s="44" t="n">
        <x:f>IF(( ('Monthly Balance'!J10+'Monthly Balance'!K10)/2 )=0,"",'Monthly NII'!J10*12/( ('Monthly Balance'!J10+'Monthly Balance'!K10)/2 ))</x:f>
        <x:v>0.028550287438101198</x:v>
      </x:c>
      <x:c r="K10" s="44" t="n">
        <x:f>IF(( ('Monthly Balance'!K10+'Monthly Balance'!L10)/2 )=0,"",'Monthly NII'!K10*12/( ('Monthly Balance'!K10+'Monthly Balance'!L10)/2 ))</x:f>
        <x:v>0.030188508962918675</x:v>
      </x:c>
      <x:c r="L10" s="44" t="n">
        <x:f>IF(( ('Monthly Balance'!L10+'Monthly Balance'!M10)/2 )=0,"",'Monthly NII'!L10*12/( ('Monthly Balance'!L10+'Monthly Balance'!M10)/2 ))</x:f>
        <x:v>0.030188508962918675</x:v>
      </x:c>
      <x:c r="M10" s="44" t="n">
        <x:f>IF(( ('Monthly Balance'!M10+'Monthly Balance'!N10)/2 )=0,"",'Monthly NII'!M10*12/( ('Monthly Balance'!M10+'Monthly Balance'!N10)/2 ))</x:f>
        <x:v>0.030188508962918675</x:v>
      </x:c>
      <x:c r="N10" s="44" t="n">
        <x:f>IF(( ('Monthly Balance'!N10+'Monthly Balance'!O10)/2 )=0,"",'Monthly NII'!N10*12/( ('Monthly Balance'!N10+'Monthly Balance'!O10)/2 ))</x:f>
        <x:v>0.031022454025129542</x:v>
      </x:c>
      <x:c r="O10" s="44" t="n">
        <x:f>IF(( ('Monthly Balance'!O10+'Monthly Balance'!P10)/2 )=0,"",'Monthly NII'!O10*12/( ('Monthly Balance'!O10+'Monthly Balance'!P10)/2 ))</x:f>
        <x:v>0.031022454025129542</x:v>
      </x:c>
      <x:c r="P10" s="44" t="n">
        <x:f>IF(( ('Monthly Balance'!P10+'Monthly Balance'!Q10)/2 )=0,"",'Monthly NII'!P10*12/( ('Monthly Balance'!P10+'Monthly Balance'!Q10)/2 ))</x:f>
        <x:v>0.031022454025129542</x:v>
      </x:c>
      <x:c r="Q10" s="44" t="n">
        <x:f>IF(( ('Monthly Balance'!Q10+'Monthly Balance'!R10)/2 )=0,"",'Monthly NII'!Q10*12/( ('Monthly Balance'!Q10+'Monthly Balance'!R10)/2 ))</x:f>
        <x:v>0.031284566652886564</x:v>
      </x:c>
      <x:c r="R10" s="44" t="n">
        <x:f>IF(( ('Monthly Balance'!R10+'Monthly Balance'!S10)/2 )=0,"",'Monthly NII'!R10*12/( ('Monthly Balance'!R10+'Monthly Balance'!S10)/2 ))</x:f>
        <x:v>0.03128456665288656</x:v>
      </x:c>
      <x:c r="S10" s="44" t="n">
        <x:f>IF(( ('Monthly Balance'!S10+'Monthly Balance'!T10)/2 )=0,"",'Monthly NII'!S10*12/( ('Monthly Balance'!S10+'Monthly Balance'!T10)/2 ))</x:f>
        <x:v>0.03128456665288656</x:v>
      </x:c>
      <x:c r="T10" s="44" t="n">
        <x:f>IF(( ('Monthly Balance'!T10+'Monthly Balance'!U10)/2 )=0,"",'Monthly NII'!T10*12/( ('Monthly Balance'!T10+'Monthly Balance'!U10)/2 ))</x:f>
        <x:v>0.0323463218745863</x:v>
      </x:c>
      <x:c r="U10" s="44" t="n">
        <x:f>IF(( ('Monthly Balance'!U10+'Monthly Balance'!V10)/2 )=0,"",'Monthly NII'!U10*12/( ('Monthly Balance'!U10+'Monthly Balance'!V10)/2 ))</x:f>
        <x:v>0.0323463218745863</x:v>
      </x:c>
      <x:c r="V10" s="44" t="n">
        <x:f>IF(( ('Monthly Balance'!V10+'Monthly Balance'!W10)/2 )=0,"",'Monthly NII'!V10*12/( ('Monthly Balance'!V10+'Monthly Balance'!W10)/2 ))</x:f>
        <x:v>0.0323463218745863</x:v>
      </x:c>
      <x:c r="W10" s="44" t="n">
        <x:f>IF(( ('Monthly Balance'!W10+'Monthly Balance'!X10)/2 )=0,"",'Monthly NII'!W10*12/( ('Monthly Balance'!W10+'Monthly Balance'!X10)/2 ))</x:f>
        <x:v>0.032646867548233253</x:v>
      </x:c>
      <x:c r="X10" s="44" t="n">
        <x:f>IF(( ('Monthly Balance'!X10+'Monthly Balance'!Y10)/2 )=0,"",'Monthly NII'!X10*12/( ('Monthly Balance'!X10+'Monthly Balance'!Y10)/2 ))</x:f>
        <x:v>0.032646867548233253</x:v>
      </x:c>
      <x:c r="Y10" s="44" t="n">
        <x:f>IF(( ('Monthly Balance'!Y10+'Monthly Balance'!Z10)/2 )=0,"",'Monthly NII'!Y10*12/( ('Monthly Balance'!Y10+'Monthly Balance'!Z10)/2 ))</x:f>
        <x:v>0.032646867548233253</x:v>
      </x:c>
      <x:c r="Z10" s="44" t="n">
        <x:f>IF(( ('Monthly Balance'!Z10+'Monthly Balance'!AA10)/2 )=0,"",'Monthly NII'!Z10*12/( ('Monthly Balance'!Z10+'Monthly Balance'!AA10)/2 ))</x:f>
        <x:v>0.0332401601571353</x:v>
      </x:c>
      <x:c r="AA10" s="44" t="n">
        <x:f>IF(( ('Monthly Balance'!AA10+'Monthly Balance'!AB10)/2 )=0,"",'Monthly NII'!AA10*12/( ('Monthly Balance'!AA10+'Monthly Balance'!AB10)/2 ))</x:f>
        <x:v>0.0332401601571353</x:v>
      </x:c>
      <x:c r="AB10" s="44" t="n">
        <x:f>IF(( ('Monthly Balance'!AB10+'Monthly Balance'!AC10)/2 )=0,"",'Monthly NII'!AB10*12/( ('Monthly Balance'!AB10+'Monthly Balance'!AC10)/2 ))</x:f>
        <x:v>0.0332401601571353</x:v>
      </x:c>
      <x:c r="AC10" s="44" t="n">
        <x:f>IF(( ('Monthly Balance'!AC10+'Monthly Balance'!AD10)/2 )=0,"",'Monthly NII'!AC10*12/( ('Monthly Balance'!AC10+'Monthly Balance'!AD10)/2 ))</x:f>
        <x:v>0.03371173030615755</x:v>
      </x:c>
      <x:c r="AD10" s="44" t="n">
        <x:f>IF(( ('Monthly Balance'!AD10+'Monthly Balance'!AE10)/2 )=0,"",'Monthly NII'!AD10*12/( ('Monthly Balance'!AD10+'Monthly Balance'!AE10)/2 ))</x:f>
        <x:v>0.03371173030615755</x:v>
      </x:c>
      <x:c r="AE10" s="44" t="n">
        <x:f>IF(( ('Monthly Balance'!AE10+'Monthly Balance'!AF10)/2 )=0,"",'Monthly NII'!AE10*12/( ('Monthly Balance'!AE10+'Monthly Balance'!AF10)/2 ))</x:f>
        <x:v>0.033711730306157546</x:v>
      </x:c>
      <x:c r="AF10" s="44" t="n">
        <x:f>IF(( ('Monthly Balance'!AF10+'Monthly Balance'!AG10)/2 )=0,"",'Monthly NII'!AF10*12/( ('Monthly Balance'!AF10+'Monthly Balance'!AG10)/2 ))</x:f>
        <x:v>0.0342253550412742</x:v>
      </x:c>
      <x:c r="AG10" s="44" t="n">
        <x:f>IF(( ('Monthly Balance'!AG10+'Monthly Balance'!AH10)/2 )=0,"",'Monthly NII'!AG10*12/( ('Monthly Balance'!AG10+'Monthly Balance'!AH10)/2 ))</x:f>
        <x:v>0.0342253550412742</x:v>
      </x:c>
      <x:c r="AH10" s="44" t="n">
        <x:f>IF(( ('Monthly Balance'!AH10+'Monthly Balance'!AI10)/2 )=0,"",'Monthly NII'!AH10*12/( ('Monthly Balance'!AH10+'Monthly Balance'!AI10)/2 ))</x:f>
        <x:v>0.0342253550412742</x:v>
      </x:c>
      <x:c r="AI10" s="44" t="n">
        <x:f>IF(( ('Monthly Balance'!AI10+'Monthly Balance'!AJ10)/2 )=0,"",'Monthly NII'!AI10*12/( ('Monthly Balance'!AI10+'Monthly Balance'!AJ10)/2 ))</x:f>
        <x:v>0.034562827494092264</x:v>
      </x:c>
      <x:c r="AJ10" s="44" t="n">
        <x:f>IF(( ('Monthly Balance'!AJ10+'Monthly Balance'!AK10)/2 )=0,"",'Monthly NII'!AJ10*12/( ('Monthly Balance'!AJ10+'Monthly Balance'!AK10)/2 ))</x:f>
        <x:v>0.034562827494092264</x:v>
      </x:c>
      <x:c r="AK10" s="44" t="n">
        <x:f>IF(( ('Monthly Balance'!AK10+'Monthly Balance'!AL10)/2 )=0,"",'Monthly NII'!AK10*12/( ('Monthly Balance'!AK10+'Monthly Balance'!AL10)/2 ))</x:f>
        <x:v>0.03456282749409227</x:v>
      </x:c>
      <x:c r="AL10" s="44" t="n">
        <x:f>IF(( ('Monthly Balance'!AL10+'Monthly Balance'!AM10)/2 )=0,"",'Monthly NII'!AL10*12/( ('Monthly Balance'!AL10+'Monthly Balance'!AM10)/2 ))</x:f>
        <x:v>0.034027586065867095</x:v>
      </x:c>
      <x:c r="AM10" s="44" t="n">
        <x:f>IF(( ('Monthly Balance'!AM10+'Monthly Balance'!AN10)/2 )=0,"",'Monthly NII'!AM10*12/( ('Monthly Balance'!AM10+'Monthly Balance'!AN10)/2 ))</x:f>
        <x:v>0.0340275860658671</x:v>
      </x:c>
      <x:c r="AN10" s="44" t="n">
        <x:f>IF(( ('Monthly Balance'!AN10+'Monthly Balance'!AO10)/2 )=0,"",'Monthly NII'!AN10*12/( ('Monthly Balance'!AN10+'Monthly Balance'!AO10)/2 ))</x:f>
        <x:v>0.034027586065867095</x:v>
      </x:c>
      <x:c r="AO10" s="44" t="n">
        <x:f>IF(( ('Monthly Balance'!AO10+'Monthly Balance'!AP10)/2 )=0,"",'Monthly NII'!AO10*12/( ('Monthly Balance'!AO10+'Monthly Balance'!AP10)/2 ))</x:f>
        <x:v>0.034226235416100426</x:v>
      </x:c>
      <x:c r="AP10" s="44" t="n">
        <x:f>IF(( ('Monthly Balance'!AP10+'Monthly Balance'!AQ10)/2 )=0,"",'Monthly NII'!AP10*12/( ('Monthly Balance'!AP10+'Monthly Balance'!AQ10)/2 ))</x:f>
        <x:v>0.034226235416100426</x:v>
      </x:c>
      <x:c r="AQ10" s="44" t="n">
        <x:f>IF(( ('Monthly Balance'!AQ10+'Monthly Balance'!AR10)/2 )=0,"",'Monthly NII'!AQ10*12/( ('Monthly Balance'!AQ10+'Monthly Balance'!AR10)/2 ))</x:f>
        <x:v>0.034226235416100426</x:v>
      </x:c>
    </x:row>
    <x:row r="11">
      <x:c r="A11" s="20" t="str">
        <x:v>  Cash equivalents and other</x:v>
      </x:c>
      <x:c r="B11" s="44" t="n">
        <x:f>IF(( ('Monthly Balance'!B11+'Monthly Balance'!C11)/2 )=0,"",'Monthly NII'!B11*12/( ('Monthly Balance'!B11+'Monthly Balance'!C11)/2 ))</x:f>
        <x:v>0.044822756168516324</x:v>
      </x:c>
      <x:c r="C11" s="44" t="n">
        <x:f>IF(( ('Monthly Balance'!C11+'Monthly Balance'!D11)/2 )=0,"",'Monthly NII'!C11*12/( ('Monthly Balance'!C11+'Monthly Balance'!D11)/2 ))</x:f>
        <x:v>0.044822756168516324</x:v>
      </x:c>
      <x:c r="D11" s="44" t="n">
        <x:f>IF(( ('Monthly Balance'!D11+'Monthly Balance'!E11)/2 )=0,"",'Monthly NII'!D11*12/( ('Monthly Balance'!D11+'Monthly Balance'!E11)/2 ))</x:f>
        <x:v>0.044822756168516324</x:v>
      </x:c>
      <x:c r="E11" s="44" t="n">
        <x:f>IF(( ('Monthly Balance'!E11+'Monthly Balance'!F11)/2 )=0,"",'Monthly NII'!E11*12/( ('Monthly Balance'!E11+'Monthly Balance'!F11)/2 ))</x:f>
        <x:v>0.0484411234217985</x:v>
      </x:c>
      <x:c r="F11" s="44" t="n">
        <x:f>IF(( ('Monthly Balance'!F11+'Monthly Balance'!G11)/2 )=0,"",'Monthly NII'!F11*12/( ('Monthly Balance'!F11+'Monthly Balance'!G11)/2 ))</x:f>
        <x:v>0.04844112342179851</x:v>
      </x:c>
      <x:c r="G11" s="44" t="n">
        <x:f>IF(( ('Monthly Balance'!G11+'Monthly Balance'!H11)/2 )=0,"",'Monthly NII'!G11*12/( ('Monthly Balance'!G11+'Monthly Balance'!H11)/2 ))</x:f>
        <x:v>0.04844112342179851</x:v>
      </x:c>
      <x:c r="H11" s="44" t="n">
        <x:f>IF(( ('Monthly Balance'!H11+'Monthly Balance'!I11)/2 )=0,"",'Monthly NII'!H11*12/( ('Monthly Balance'!H11+'Monthly Balance'!I11)/2 ))</x:f>
        <x:v>0.05210060152512669</x:v>
      </x:c>
      <x:c r="I11" s="44" t="n">
        <x:f>IF(( ('Monthly Balance'!I11+'Monthly Balance'!J11)/2 )=0,"",'Monthly NII'!I11*12/( ('Monthly Balance'!I11+'Monthly Balance'!J11)/2 ))</x:f>
        <x:v>0.0521006015251267</x:v>
      </x:c>
      <x:c r="J11" s="44" t="n">
        <x:f>IF(( ('Monthly Balance'!J11+'Monthly Balance'!K11)/2 )=0,"",'Monthly NII'!J11*12/( ('Monthly Balance'!J11+'Monthly Balance'!K11)/2 ))</x:f>
        <x:v>0.052100601525126695</x:v>
      </x:c>
      <x:c r="K11" s="44" t="n">
        <x:f>IF(( ('Monthly Balance'!K11+'Monthly Balance'!L11)/2 )=0,"",'Monthly NII'!K11*12/( ('Monthly Balance'!K11+'Monthly Balance'!L11)/2 ))</x:f>
        <x:v>0.05208408408408409</x:v>
      </x:c>
      <x:c r="L11" s="44" t="n">
        <x:f>IF(( ('Monthly Balance'!L11+'Monthly Balance'!M11)/2 )=0,"",'Monthly NII'!L11*12/( ('Monthly Balance'!L11+'Monthly Balance'!M11)/2 ))</x:f>
        <x:v>0.05208408408408408</x:v>
      </x:c>
      <x:c r="M11" s="44" t="n">
        <x:f>IF(( ('Monthly Balance'!M11+'Monthly Balance'!N11)/2 )=0,"",'Monthly NII'!M11*12/( ('Monthly Balance'!M11+'Monthly Balance'!N11)/2 ))</x:f>
        <x:v>0.052084084084084076</x:v>
      </x:c>
      <x:c r="N11" s="44" t="n">
        <x:f>IF(( ('Monthly Balance'!N11+'Monthly Balance'!O11)/2 )=0,"",'Monthly NII'!N11*12/( ('Monthly Balance'!N11+'Monthly Balance'!O11)/2 ))</x:f>
        <x:v>0.05222290936576651</x:v>
      </x:c>
      <x:c r="O11" s="44" t="n">
        <x:f>IF(( ('Monthly Balance'!O11+'Monthly Balance'!P11)/2 )=0,"",'Monthly NII'!O11*12/( ('Monthly Balance'!O11+'Monthly Balance'!P11)/2 ))</x:f>
        <x:v>0.052222909365766505</x:v>
      </x:c>
      <x:c r="P11" s="44" t="n">
        <x:f>IF(( ('Monthly Balance'!P11+'Monthly Balance'!Q11)/2 )=0,"",'Monthly NII'!P11*12/( ('Monthly Balance'!P11+'Monthly Balance'!Q11)/2 ))</x:f>
        <x:v>0.052222909365766505</x:v>
      </x:c>
      <x:c r="Q11" s="44" t="n">
        <x:f>IF(( ('Monthly Balance'!Q11+'Monthly Balance'!R11)/2 )=0,"",'Monthly NII'!Q11*12/( ('Monthly Balance'!Q11+'Monthly Balance'!R11)/2 ))</x:f>
        <x:v>0.05150930150930151</x:v>
      </x:c>
      <x:c r="R11" s="44" t="n">
        <x:f>IF(( ('Monthly Balance'!R11+'Monthly Balance'!S11)/2 )=0,"",'Monthly NII'!R11*12/( ('Monthly Balance'!R11+'Monthly Balance'!S11)/2 ))</x:f>
        <x:v>0.05150930150930151</x:v>
      </x:c>
      <x:c r="S11" s="44" t="n">
        <x:f>IF(( ('Monthly Balance'!S11+'Monthly Balance'!T11)/2 )=0,"",'Monthly NII'!S11*12/( ('Monthly Balance'!S11+'Monthly Balance'!T11)/2 ))</x:f>
        <x:v>0.05150930150930151</x:v>
      </x:c>
      <x:c r="T11" s="44" t="n">
        <x:f>IF(( ('Monthly Balance'!T11+'Monthly Balance'!U11)/2 )=0,"",'Monthly NII'!T11*12/( ('Monthly Balance'!T11+'Monthly Balance'!U11)/2 ))</x:f>
        <x:v>0.051412742382271476</x:v>
      </x:c>
      <x:c r="U11" s="44" t="n">
        <x:f>IF(( ('Monthly Balance'!U11+'Monthly Balance'!V11)/2 )=0,"",'Monthly NII'!U11*12/( ('Monthly Balance'!U11+'Monthly Balance'!V11)/2 ))</x:f>
        <x:v>0.05141274238227147</x:v>
      </x:c>
      <x:c r="V11" s="44" t="n">
        <x:f>IF(( ('Monthly Balance'!V11+'Monthly Balance'!W11)/2 )=0,"",'Monthly NII'!V11*12/( ('Monthly Balance'!V11+'Monthly Balance'!W11)/2 ))</x:f>
        <x:v>0.05141274238227147</x:v>
      </x:c>
      <x:c r="W11" s="44" t="n">
        <x:f>IF(( ('Monthly Balance'!W11+'Monthly Balance'!X11)/2 )=0,"",'Monthly NII'!W11*12/( ('Monthly Balance'!W11+'Monthly Balance'!X11)/2 ))</x:f>
        <x:v>0.045920246063205314</x:v>
      </x:c>
      <x:c r="X11" s="44" t="n">
        <x:f>IF(( ('Monthly Balance'!X11+'Monthly Balance'!Y11)/2 )=0,"",'Monthly NII'!X11*12/( ('Monthly Balance'!X11+'Monthly Balance'!Y11)/2 ))</x:f>
        <x:v>0.04592024606320532</x:v>
      </x:c>
      <x:c r="Y11" s="44" t="n">
        <x:f>IF(( ('Monthly Balance'!Y11+'Monthly Balance'!Z11)/2 )=0,"",'Monthly NII'!Y11*12/( ('Monthly Balance'!Y11+'Monthly Balance'!Z11)/2 ))</x:f>
        <x:v>0.04592024606320532</x:v>
      </x:c>
      <x:c r="Z11" s="44" t="n">
        <x:f>IF(( ('Monthly Balance'!Z11+'Monthly Balance'!AA11)/2 )=0,"",'Monthly NII'!Z11*12/( ('Monthly Balance'!Z11+'Monthly Balance'!AA11)/2 ))</x:f>
        <x:v>0.04148711449091678</x:v>
      </x:c>
      <x:c r="AA11" s="44" t="n">
        <x:f>IF(( ('Monthly Balance'!AA11+'Monthly Balance'!AB11)/2 )=0,"",'Monthly NII'!AA11*12/( ('Monthly Balance'!AA11+'Monthly Balance'!AB11)/2 ))</x:f>
        <x:v>0.04148711449091677</x:v>
      </x:c>
      <x:c r="AB11" s="44" t="n">
        <x:f>IF(( ('Monthly Balance'!AB11+'Monthly Balance'!AC11)/2 )=0,"",'Monthly NII'!AB11*12/( ('Monthly Balance'!AB11+'Monthly Balance'!AC11)/2 ))</x:f>
        <x:v>0.04148711449091677</x:v>
      </x:c>
      <x:c r="AC11" s="44" t="n">
        <x:f>IF(( ('Monthly Balance'!AC11+'Monthly Balance'!AD11)/2 )=0,"",'Monthly NII'!AC11*12/( ('Monthly Balance'!AC11+'Monthly Balance'!AD11)/2 ))</x:f>
        <x:v>0.04459601259181532</x:v>
      </x:c>
      <x:c r="AD11" s="44" t="n">
        <x:f>IF(( ('Monthly Balance'!AD11+'Monthly Balance'!AE11)/2 )=0,"",'Monthly NII'!AD11*12/( ('Monthly Balance'!AD11+'Monthly Balance'!AE11)/2 ))</x:f>
        <x:v>0.04459601259181532</x:v>
      </x:c>
      <x:c r="AE11" s="44" t="n">
        <x:f>IF(( ('Monthly Balance'!AE11+'Monthly Balance'!AF11)/2 )=0,"",'Monthly NII'!AE11*12/( ('Monthly Balance'!AE11+'Monthly Balance'!AF11)/2 ))</x:f>
        <x:v>0.04459601259181532</x:v>
      </x:c>
      <x:c r="AF11" s="44" t="n">
        <x:f>IF(( ('Monthly Balance'!AF11+'Monthly Balance'!AG11)/2 )=0,"",'Monthly NII'!AF11*12/( ('Monthly Balance'!AF11+'Monthly Balance'!AG11)/2 ))</x:f>
        <x:v>0.05017023303402896</x:v>
      </x:c>
      <x:c r="AG11" s="44" t="n">
        <x:f>IF(( ('Monthly Balance'!AG11+'Monthly Balance'!AH11)/2 )=0,"",'Monthly NII'!AG11*12/( ('Monthly Balance'!AG11+'Monthly Balance'!AH11)/2 ))</x:f>
        <x:v>0.05017023303402897</x:v>
      </x:c>
      <x:c r="AH11" s="44" t="n">
        <x:f>IF(( ('Monthly Balance'!AH11+'Monthly Balance'!AI11)/2 )=0,"",'Monthly NII'!AH11*12/( ('Monthly Balance'!AH11+'Monthly Balance'!AI11)/2 ))</x:f>
        <x:v>0.05017023303402897</x:v>
      </x:c>
      <x:c r="AI11" s="44" t="n">
        <x:f>IF(( ('Monthly Balance'!AI11+'Monthly Balance'!AJ11)/2 )=0,"",'Monthly NII'!AI11*12/( ('Monthly Balance'!AI11+'Monthly Balance'!AJ11)/2 ))</x:f>
        <x:v>0.04318877091956091</x:v>
      </x:c>
      <x:c r="AJ11" s="44" t="n">
        <x:f>IF(( ('Monthly Balance'!AJ11+'Monthly Balance'!AK11)/2 )=0,"",'Monthly NII'!AJ11*12/( ('Monthly Balance'!AJ11+'Monthly Balance'!AK11)/2 ))</x:f>
        <x:v>0.043188770919560915</x:v>
      </x:c>
      <x:c r="AK11" s="44" t="n">
        <x:f>IF(( ('Monthly Balance'!AK11+'Monthly Balance'!AL11)/2 )=0,"",'Monthly NII'!AK11*12/( ('Monthly Balance'!AK11+'Monthly Balance'!AL11)/2 ))</x:f>
        <x:v>0.043188770919560915</x:v>
      </x:c>
      <x:c r="AL11" s="44" t="n">
        <x:f>IF(( ('Monthly Balance'!AL11+'Monthly Balance'!AM11)/2 )=0,"",'Monthly NII'!AL11*12/( ('Monthly Balance'!AL11+'Monthly Balance'!AM11)/2 ))</x:f>
        <x:v>0.0365689109183533</x:v>
      </x:c>
      <x:c r="AM11" s="44" t="n">
        <x:f>IF(( ('Monthly Balance'!AM11+'Monthly Balance'!AN11)/2 )=0,"",'Monthly NII'!AM11*12/( ('Monthly Balance'!AM11+'Monthly Balance'!AN11)/2 ))</x:f>
        <x:v>0.0365689109183533</x:v>
      </x:c>
      <x:c r="AN11" s="44" t="n">
        <x:f>IF(( ('Monthly Balance'!AN11+'Monthly Balance'!AO11)/2 )=0,"",'Monthly NII'!AN11*12/( ('Monthly Balance'!AN11+'Monthly Balance'!AO11)/2 ))</x:f>
        <x:v>0.0365689109183533</x:v>
      </x:c>
      <x:c r="AO11" s="44" t="n">
        <x:f>IF(( ('Monthly Balance'!AO11+'Monthly Balance'!AP11)/2 )=0,"",'Monthly NII'!AO11*12/( ('Monthly Balance'!AO11+'Monthly Balance'!AP11)/2 ))</x:f>
        <x:v>0.03704253361431836</x:v>
      </x:c>
      <x:c r="AP11" s="44" t="n">
        <x:f>IF(( ('Monthly Balance'!AP11+'Monthly Balance'!AQ11)/2 )=0,"",'Monthly NII'!AP11*12/( ('Monthly Balance'!AP11+'Monthly Balance'!AQ11)/2 ))</x:f>
        <x:v>0.03704253361431836</x:v>
      </x:c>
      <x:c r="AQ11" s="44" t="n">
        <x:f>IF(( ('Monthly Balance'!AQ11+'Monthly Balance'!AR11)/2 )=0,"",'Monthly NII'!AQ11*12/( ('Monthly Balance'!AQ11+'Monthly Balance'!AR11)/2 ))</x:f>
        <x:v>0.03704253361431836</x:v>
      </x:c>
    </x:row>
    <x:row r="12">
      <x:c r="A12" s="26" t="str">
        <x:v>  Total interest-earning assets</x:v>
      </x:c>
      <x:c r="B12" s="47" t="n">
        <x:f>IF(( ('Monthly Balance'!B12+'Monthly Balance'!C12)/2 )=0,"",'Monthly NII'!B12*12/( ('Monthly Balance'!B12+'Monthly Balance'!C12)/2 ))</x:f>
        <x:v>0.08965094129352319</x:v>
      </x:c>
      <x:c r="C12" s="47" t="n">
        <x:f>IF(( ('Monthly Balance'!C12+'Monthly Balance'!D12)/2 )=0,"",'Monthly NII'!C12*12/( ('Monthly Balance'!C12+'Monthly Balance'!D12)/2 ))</x:f>
        <x:v>0.08965094129352319</x:v>
      </x:c>
      <x:c r="D12" s="47" t="n">
        <x:f>IF(( ('Monthly Balance'!D12+'Monthly Balance'!E12)/2 )=0,"",'Monthly NII'!D12*12/( ('Monthly Balance'!D12+'Monthly Balance'!E12)/2 ))</x:f>
        <x:v>0.08965094129352319</x:v>
      </x:c>
      <x:c r="E12" s="47" t="n">
        <x:f>IF(( ('Monthly Balance'!E12+'Monthly Balance'!F12)/2 )=0,"",'Monthly NII'!E12*12/( ('Monthly Balance'!E12+'Monthly Balance'!F12)/2 ))</x:f>
        <x:v>0.09263457761762557</x:v>
      </x:c>
      <x:c r="F12" s="47" t="n">
        <x:f>IF(( ('Monthly Balance'!F12+'Monthly Balance'!G12)/2 )=0,"",'Monthly NII'!F12*12/( ('Monthly Balance'!F12+'Monthly Balance'!G12)/2 ))</x:f>
        <x:v>0.09259938197245064</x:v>
      </x:c>
      <x:c r="G12" s="47" t="n">
        <x:f>IF(( ('Monthly Balance'!G12+'Monthly Balance'!H12)/2 )=0,"",'Monthly NII'!G12*12/( ('Monthly Balance'!G12+'Monthly Balance'!H12)/2 ))</x:f>
        <x:v>0.0925646048624176</x:v>
      </x:c>
      <x:c r="H12" s="47" t="n">
        <x:f>IF(( ('Monthly Balance'!H12+'Monthly Balance'!I12)/2 )=0,"",'Monthly NII'!H12*12/( ('Monthly Balance'!H12+'Monthly Balance'!I12)/2 ))</x:f>
        <x:v>0.09791469197684524</x:v>
      </x:c>
      <x:c r="I12" s="47" t="n">
        <x:f>IF(( ('Monthly Balance'!I12+'Monthly Balance'!J12)/2 )=0,"",'Monthly NII'!I12*12/( ('Monthly Balance'!I12+'Monthly Balance'!J12)/2 ))</x:f>
        <x:v>0.09805831371806319</x:v>
      </x:c>
      <x:c r="J12" s="47" t="n">
        <x:f>IF(( ('Monthly Balance'!J12+'Monthly Balance'!K12)/2 )=0,"",'Monthly NII'!J12*12/( ('Monthly Balance'!J12+'Monthly Balance'!K12)/2 ))</x:f>
        <x:v>0.0982017400088837</x:v>
      </x:c>
      <x:c r="K12" s="47" t="n">
        <x:f>IF(( ('Monthly Balance'!K12+'Monthly Balance'!L12)/2 )=0,"",'Monthly NII'!K12*12/( ('Monthly Balance'!K12+'Monthly Balance'!L12)/2 ))</x:f>
        <x:v>0.09978745692133417</x:v>
      </x:c>
      <x:c r="L12" s="47" t="n">
        <x:f>IF(( ('Monthly Balance'!L12+'Monthly Balance'!M12)/2 )=0,"",'Monthly NII'!L12*12/( ('Monthly Balance'!L12+'Monthly Balance'!M12)/2 ))</x:f>
        <x:v>0.09973399792836066</x:v>
      </x:c>
      <x:c r="M12" s="47" t="n">
        <x:f>IF(( ('Monthly Balance'!M12+'Monthly Balance'!N12)/2 )=0,"",'Monthly NII'!M12*12/( ('Monthly Balance'!M12+'Monthly Balance'!N12)/2 ))</x:f>
        <x:v>0.09968101582861794</x:v>
      </x:c>
      <x:c r="N12" s="47" t="n">
        <x:f>IF(( ('Monthly Balance'!N12+'Monthly Balance'!O12)/2 )=0,"",'Monthly NII'!N12*12/( ('Monthly Balance'!N12+'Monthly Balance'!O12)/2 ))</x:f>
        <x:v>0.09997122627314359</x:v>
      </x:c>
      <x:c r="O12" s="47" t="n">
        <x:f>IF(( ('Monthly Balance'!O12+'Monthly Balance'!P12)/2 )=0,"",'Monthly NII'!O12*12/( ('Monthly Balance'!O12+'Monthly Balance'!P12)/2 ))</x:f>
        <x:v>0.0998385450745082</x:v>
      </x:c>
      <x:c r="P12" s="47" t="n">
        <x:f>IF(( ('Monthly Balance'!P12+'Monthly Balance'!Q12)/2 )=0,"",'Monthly NII'!P12*12/( ('Monthly Balance'!P12+'Monthly Balance'!Q12)/2 ))</x:f>
        <x:v>0.09970499586830911</x:v>
      </x:c>
      <x:c r="Q12" s="47" t="n">
        <x:f>IF(( ('Monthly Balance'!Q12+'Monthly Balance'!R12)/2 )=0,"",'Monthly NII'!Q12*12/( ('Monthly Balance'!Q12+'Monthly Balance'!R12)/2 ))</x:f>
        <x:v>0.10014544065818558</x:v>
      </x:c>
      <x:c r="R12" s="47" t="n">
        <x:f>IF(( ('Monthly Balance'!R12+'Monthly Balance'!S12)/2 )=0,"",'Monthly NII'!R12*12/( ('Monthly Balance'!R12+'Monthly Balance'!S12)/2 ))</x:f>
        <x:v>0.10006475822118925</x:v>
      </x:c>
      <x:c r="S12" s="47" t="n">
        <x:f>IF(( ('Monthly Balance'!S12+'Monthly Balance'!T12)/2 )=0,"",'Monthly NII'!S12*12/( ('Monthly Balance'!S12+'Monthly Balance'!T12)/2 ))</x:f>
        <x:v>0.09998532924012134</x:v>
      </x:c>
      <x:c r="T12" s="47" t="n">
        <x:f>IF(( ('Monthly Balance'!T12+'Monthly Balance'!U12)/2 )=0,"",'Monthly NII'!T12*12/( ('Monthly Balance'!T12+'Monthly Balance'!U12)/2 ))</x:f>
        <x:v>0.1042744518492898</x:v>
      </x:c>
      <x:c r="U12" s="47" t="n">
        <x:f>IF(( ('Monthly Balance'!U12+'Monthly Balance'!V12)/2 )=0,"",'Monthly NII'!U12*12/( ('Monthly Balance'!U12+'Monthly Balance'!V12)/2 ))</x:f>
        <x:v>0.10438211246160481</x:v>
      </x:c>
      <x:c r="V12" s="47" t="n">
        <x:f>IF(( ('Monthly Balance'!V12+'Monthly Balance'!W12)/2 )=0,"",'Monthly NII'!V12*12/( ('Monthly Balance'!V12+'Monthly Balance'!W12)/2 ))</x:f>
        <x:v>0.10449031738770652</x:v>
      </x:c>
      <x:c r="W12" s="47" t="n">
        <x:f>IF(( ('Monthly Balance'!W12+'Monthly Balance'!X12)/2 )=0,"",'Monthly NII'!W12*12/( ('Monthly Balance'!W12+'Monthly Balance'!X12)/2 ))</x:f>
        <x:v>0.10192623616903339</x:v>
      </x:c>
      <x:c r="X12" s="47" t="n">
        <x:f>IF(( ('Monthly Balance'!X12+'Monthly Balance'!Y12)/2 )=0,"",'Monthly NII'!X12*12/( ('Monthly Balance'!X12+'Monthly Balance'!Y12)/2 ))</x:f>
        <x:v>0.10173435498925525</x:v>
      </x:c>
      <x:c r="Y12" s="47" t="n">
        <x:f>IF(( ('Monthly Balance'!Y12+'Monthly Balance'!Z12)/2 )=0,"",'Monthly NII'!Y12*12/( ('Monthly Balance'!Y12+'Monthly Balance'!Z12)/2 ))</x:f>
        <x:v>0.10154682501226336</x:v>
      </x:c>
      <x:c r="Z12" s="47" t="n">
        <x:f>IF(( ('Monthly Balance'!Z12+'Monthly Balance'!AA12)/2 )=0,"",'Monthly NII'!Z12*12/( ('Monthly Balance'!Z12+'Monthly Balance'!AA12)/2 ))</x:f>
        <x:v>0.0986397332982026</x:v>
      </x:c>
      <x:c r="AA12" s="47" t="n">
        <x:f>IF(( ('Monthly Balance'!AA12+'Monthly Balance'!AB12)/2 )=0,"",'Monthly NII'!AA12*12/( ('Monthly Balance'!AA12+'Monthly Balance'!AB12)/2 ))</x:f>
        <x:v>0.09869244183408207</x:v>
      </x:c>
      <x:c r="AB12" s="47" t="n">
        <x:f>IF(( ('Monthly Balance'!AB12+'Monthly Balance'!AC12)/2 )=0,"",'Monthly NII'!AB12*12/( ('Monthly Balance'!AB12+'Monthly Balance'!AC12)/2 ))</x:f>
        <x:v>0.09874604539564738</x:v>
      </x:c>
      <x:c r="AC12" s="47" t="n">
        <x:f>IF(( ('Monthly Balance'!AC12+'Monthly Balance'!AD12)/2 )=0,"",'Monthly NII'!AC12*12/( ('Monthly Balance'!AC12+'Monthly Balance'!AD12)/2 ))</x:f>
        <x:v>0.1039678927125345</x:v>
      </x:c>
      <x:c r="AD12" s="47" t="n">
        <x:f>IF(( ('Monthly Balance'!AD12+'Monthly Balance'!AE12)/2 )=0,"",'Monthly NII'!AD12*12/( ('Monthly Balance'!AD12+'Monthly Balance'!AE12)/2 ))</x:f>
        <x:v>0.10537044057386809</x:v>
      </x:c>
      <x:c r="AE12" s="47" t="n">
        <x:f>IF(( ('Monthly Balance'!AE12+'Monthly Balance'!AF12)/2 )=0,"",'Monthly NII'!AE12*12/( ('Monthly Balance'!AE12+'Monthly Balance'!AF12)/2 ))</x:f>
        <x:v>0.10654998969446382</x:v>
      </x:c>
      <x:c r="AF12" s="47" t="n">
        <x:f>IF(( ('Monthly Balance'!AF12+'Monthly Balance'!AG12)/2 )=0,"",'Monthly NII'!AF12*12/( ('Monthly Balance'!AF12+'Monthly Balance'!AG12)/2 ))</x:f>
        <x:v>0.11281216738565801</x:v>
      </x:c>
      <x:c r="AG12" s="47" t="n">
        <x:f>IF(( ('Monthly Balance'!AG12+'Monthly Balance'!AH12)/2 )=0,"",'Monthly NII'!AG12*12/( ('Monthly Balance'!AG12+'Monthly Balance'!AH12)/2 ))</x:f>
        <x:v>0.11302543459975356</x:v>
      </x:c>
      <x:c r="AH12" s="47" t="n">
        <x:f>IF(( ('Monthly Balance'!AH12+'Monthly Balance'!AI12)/2 )=0,"",'Monthly NII'!AH12*12/( ('Monthly Balance'!AH12+'Monthly Balance'!AI12)/2 ))</x:f>
        <x:v>0.11323855040189293</x:v>
      </x:c>
      <x:c r="AI12" s="47" t="n">
        <x:f>IF(( ('Monthly Balance'!AI12+'Monthly Balance'!AJ12)/2 )=0,"",'Monthly NII'!AI12*12/( ('Monthly Balance'!AI12+'Monthly Balance'!AJ12)/2 ))</x:f>
        <x:v>0.1109277217024511</x:v>
      </x:c>
      <x:c r="AJ12" s="47" t="n">
        <x:f>IF(( ('Monthly Balance'!AJ12+'Monthly Balance'!AK12)/2 )=0,"",'Monthly NII'!AJ12*12/( ('Monthly Balance'!AJ12+'Monthly Balance'!AK12)/2 ))</x:f>
        <x:v>0.11044465440128931</x:v>
      </x:c>
      <x:c r="AK12" s="47" t="n">
        <x:f>IF(( ('Monthly Balance'!AK12+'Monthly Balance'!AL12)/2 )=0,"",'Monthly NII'!AK12*12/( ('Monthly Balance'!AK12+'Monthly Balance'!AL12)/2 ))</x:f>
        <x:v>0.10997295537826254</x:v>
      </x:c>
      <x:c r="AL12" s="47" t="n">
        <x:f>IF(( ('Monthly Balance'!AL12+'Monthly Balance'!AM12)/2 )=0,"",'Monthly NII'!AL12*12/( ('Monthly Balance'!AL12+'Monthly Balance'!AM12)/2 ))</x:f>
        <x:v>0.10560225156434973</x:v>
      </x:c>
      <x:c r="AM12" s="47" t="n">
        <x:f>IF(( ('Monthly Balance'!AM12+'Monthly Balance'!AN12)/2 )=0,"",'Monthly NII'!AM12*12/( ('Monthly Balance'!AM12+'Monthly Balance'!AN12)/2 ))</x:f>
        <x:v>0.10519578789091551</x:v>
      </x:c>
      <x:c r="AN12" s="47" t="n">
        <x:f>IF(( ('Monthly Balance'!AN12+'Monthly Balance'!AO12)/2 )=0,"",'Monthly NII'!AN12*12/( ('Monthly Balance'!AN12+'Monthly Balance'!AO12)/2 ))</x:f>
        <x:v>0.10479109590520666</x:v>
      </x:c>
      <x:c r="AO12" s="47" t="n">
        <x:f>IF(( ('Monthly Balance'!AO12+'Monthly Balance'!AP12)/2 )=0,"",'Monthly NII'!AO12*12/( ('Monthly Balance'!AO12+'Monthly Balance'!AP12)/2 ))</x:f>
        <x:v>0.10533079558501289</x:v>
      </x:c>
      <x:c r="AP12" s="47" t="n">
        <x:f>IF(( ('Monthly Balance'!AP12+'Monthly Balance'!AQ12)/2 )=0,"",'Monthly NII'!AP12*12/( ('Monthly Balance'!AP12+'Monthly Balance'!AQ12)/2 ))</x:f>
        <x:v>0.10612338746370933</x:v>
      </x:c>
      <x:c r="AQ12" s="47" t="n">
        <x:f>IF(( ('Monthly Balance'!AQ12+'Monthly Balance'!AR12)/2 )=0,"",'Monthly NII'!AQ12*12/( ('Monthly Balance'!AQ12+'Monthly Balance'!AR12)/2 ))</x:f>
        <x:v>0.10691874255589782</x:v>
      </x:c>
    </x:row>
    <x:row r="13">
      <x:c r="A13" s="20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  <x:c r="AA13" s="44"/>
      <x:c r="AB13" s="44"/>
      <x:c r="AC13" s="44"/>
      <x:c r="AD13" s="44"/>
      <x:c r="AE13" s="44"/>
      <x:c r="AF13" s="44"/>
      <x:c r="AG13" s="44"/>
      <x:c r="AH13" s="44"/>
      <x:c r="AI13" s="44"/>
      <x:c r="AJ13" s="44"/>
      <x:c r="AK13" s="44"/>
      <x:c r="AL13" s="44"/>
      <x:c r="AM13" s="44"/>
      <x:c r="AN13" s="44"/>
      <x:c r="AO13" s="44"/>
      <x:c r="AP13" s="44"/>
      <x:c r="AQ13" s="44"/>
    </x:row>
    <x:row r="14">
      <x:c r="A14" s="35" t="str">
        <x:v>INTEREST-BEARING LIABILITIES</x:v>
      </x:c>
      <x:c r="B14" s="46"/>
      <x:c r="C14" s="46"/>
      <x:c r="D14" s="46"/>
      <x:c r="E14" s="46"/>
      <x:c r="F14" s="46"/>
      <x:c r="G14" s="46"/>
      <x:c r="H14" s="46"/>
      <x:c r="I14" s="46"/>
      <x:c r="J14" s="46"/>
      <x:c r="K14" s="46"/>
      <x:c r="L14" s="46"/>
      <x:c r="M14" s="46"/>
      <x:c r="N14" s="46"/>
      <x:c r="O14" s="46"/>
      <x:c r="P14" s="46"/>
      <x:c r="Q14" s="46"/>
      <x:c r="R14" s="46"/>
      <x:c r="S14" s="46"/>
      <x:c r="T14" s="46"/>
      <x:c r="U14" s="46"/>
      <x:c r="V14" s="46"/>
      <x:c r="W14" s="46"/>
      <x:c r="X14" s="46"/>
      <x:c r="Y14" s="46"/>
      <x:c r="Z14" s="46"/>
      <x:c r="AA14" s="46"/>
      <x:c r="AB14" s="46"/>
      <x:c r="AC14" s="46"/>
      <x:c r="AD14" s="46"/>
      <x:c r="AE14" s="46"/>
      <x:c r="AF14" s="46"/>
      <x:c r="AG14" s="46"/>
      <x:c r="AH14" s="46"/>
      <x:c r="AI14" s="46"/>
      <x:c r="AJ14" s="46"/>
      <x:c r="AK14" s="46"/>
      <x:c r="AL14" s="46"/>
      <x:c r="AM14" s="46"/>
      <x:c r="AN14" s="46"/>
      <x:c r="AO14" s="46"/>
      <x:c r="AP14" s="46"/>
      <x:c r="AQ14" s="46"/>
    </x:row>
    <x:row r="15">
      <x:c r="A15" s="20" t="str">
        <x:v>  Interest-bearing deposits</x:v>
      </x:c>
      <x:c r="B15" s="44" t="n">
        <x:f>IF(( ('Monthly Balance'!B15+'Monthly Balance'!C15)/2 )=0,"",'Monthly NII'!B15*12/( ('Monthly Balance'!B15+'Monthly Balance'!C15)/2 ))</x:f>
        <x:v>0.024042385066777205</x:v>
      </x:c>
      <x:c r="C15" s="44" t="n">
        <x:f>IF(( ('Monthly Balance'!C15+'Monthly Balance'!D15)/2 )=0,"",'Monthly NII'!C15*12/( ('Monthly Balance'!C15+'Monthly Balance'!D15)/2 ))</x:f>
        <x:v>0.024042385066777205</x:v>
      </x:c>
      <x:c r="D15" s="44" t="n">
        <x:f>IF(( ('Monthly Balance'!D15+'Monthly Balance'!E15)/2 )=0,"",'Monthly NII'!D15*12/( ('Monthly Balance'!D15+'Monthly Balance'!E15)/2 ))</x:f>
        <x:v>0.024042385066777205</x:v>
      </x:c>
      <x:c r="E15" s="44" t="n">
        <x:f>IF(( ('Monthly Balance'!E15+'Monthly Balance'!F15)/2 )=0,"",'Monthly NII'!E15*12/( ('Monthly Balance'!E15+'Monthly Balance'!F15)/2 ))</x:f>
        <x:v>0.029079809838222004</x:v>
      </x:c>
      <x:c r="F15" s="44" t="n">
        <x:f>IF(( ('Monthly Balance'!F15+'Monthly Balance'!G15)/2 )=0,"",'Monthly NII'!F15*12/( ('Monthly Balance'!F15+'Monthly Balance'!G15)/2 ))</x:f>
        <x:v>0.029079809838222007</x:v>
      </x:c>
      <x:c r="G15" s="44" t="n">
        <x:f>IF(( ('Monthly Balance'!G15+'Monthly Balance'!H15)/2 )=0,"",'Monthly NII'!G15*12/( ('Monthly Balance'!G15+'Monthly Balance'!H15)/2 ))</x:f>
        <x:v>0.029079809838222007</x:v>
      </x:c>
      <x:c r="H15" s="44" t="n">
        <x:f>IF(( ('Monthly Balance'!H15+'Monthly Balance'!I15)/2 )=0,"",'Monthly NII'!H15*12/( ('Monthly Balance'!H15+'Monthly Balance'!I15)/2 ))</x:f>
        <x:v>0.033047286350749286</x:v>
      </x:c>
      <x:c r="I15" s="44" t="n">
        <x:f>IF(( ('Monthly Balance'!I15+'Monthly Balance'!J15)/2 )=0,"",'Monthly NII'!I15*12/( ('Monthly Balance'!I15+'Monthly Balance'!J15)/2 ))</x:f>
        <x:v>0.03304728635074929</x:v>
      </x:c>
      <x:c r="J15" s="44" t="n">
        <x:f>IF(( ('Monthly Balance'!J15+'Monthly Balance'!K15)/2 )=0,"",'Monthly NII'!J15*12/( ('Monthly Balance'!J15+'Monthly Balance'!K15)/2 ))</x:f>
        <x:v>0.03304728635074929</x:v>
      </x:c>
      <x:c r="K15" s="44" t="n">
        <x:f>IF(( ('Monthly Balance'!K15+'Monthly Balance'!L15)/2 )=0,"",'Monthly NII'!K15*12/( ('Monthly Balance'!K15+'Monthly Balance'!L15)/2 ))</x:f>
        <x:v>0.03465449656295567</x:v>
      </x:c>
      <x:c r="L15" s="44" t="n">
        <x:f>IF(( ('Monthly Balance'!L15+'Monthly Balance'!M15)/2 )=0,"",'Monthly NII'!L15*12/( ('Monthly Balance'!L15+'Monthly Balance'!M15)/2 ))</x:f>
        <x:v>0.03465449656295567</x:v>
      </x:c>
      <x:c r="M15" s="44" t="n">
        <x:f>IF(( ('Monthly Balance'!M15+'Monthly Balance'!N15)/2 )=0,"",'Monthly NII'!M15*12/( ('Monthly Balance'!M15+'Monthly Balance'!N15)/2 ))</x:f>
        <x:v>0.03465449656295567</x:v>
      </x:c>
      <x:c r="N15" s="44" t="n">
        <x:f>IF(( ('Monthly Balance'!N15+'Monthly Balance'!O15)/2 )=0,"",'Monthly NII'!N15*12/( ('Monthly Balance'!N15+'Monthly Balance'!O15)/2 ))</x:f>
        <x:v>0.03532108651279635</x:v>
      </x:c>
      <x:c r="O15" s="44" t="n">
        <x:f>IF(( ('Monthly Balance'!O15+'Monthly Balance'!P15)/2 )=0,"",'Monthly NII'!O15*12/( ('Monthly Balance'!O15+'Monthly Balance'!P15)/2 ))</x:f>
        <x:v>0.035321086512796356</x:v>
      </x:c>
      <x:c r="P15" s="44" t="n">
        <x:f>IF(( ('Monthly Balance'!P15+'Monthly Balance'!Q15)/2 )=0,"",'Monthly NII'!P15*12/( ('Monthly Balance'!P15+'Monthly Balance'!Q15)/2 ))</x:f>
        <x:v>0.035321086512796356</x:v>
      </x:c>
      <x:c r="Q15" s="44" t="n">
        <x:f>IF(( ('Monthly Balance'!Q15+'Monthly Balance'!R15)/2 )=0,"",'Monthly NII'!Q15*12/( ('Monthly Balance'!Q15+'Monthly Balance'!R15)/2 ))</x:f>
        <x:v>0.03563756079868312</x:v>
      </x:c>
      <x:c r="R15" s="44" t="n">
        <x:f>IF(( ('Monthly Balance'!R15+'Monthly Balance'!S15)/2 )=0,"",'Monthly NII'!R15*12/( ('Monthly Balance'!R15+'Monthly Balance'!S15)/2 ))</x:f>
        <x:v>0.03563756079868312</x:v>
      </x:c>
      <x:c r="S15" s="44" t="n">
        <x:f>IF(( ('Monthly Balance'!S15+'Monthly Balance'!T15)/2 )=0,"",'Monthly NII'!S15*12/( ('Monthly Balance'!S15+'Monthly Balance'!T15)/2 ))</x:f>
        <x:v>0.03563756079868312</x:v>
      </x:c>
      <x:c r="T15" s="44" t="n">
        <x:f>IF(( ('Monthly Balance'!T15+'Monthly Balance'!U15)/2 )=0,"",'Monthly NII'!T15*12/( ('Monthly Balance'!T15+'Monthly Balance'!U15)/2 ))</x:f>
        <x:v>0.03630099627437144</x:v>
      </x:c>
      <x:c r="U15" s="44" t="n">
        <x:f>IF(( ('Monthly Balance'!U15+'Monthly Balance'!V15)/2 )=0,"",'Monthly NII'!U15*12/( ('Monthly Balance'!U15+'Monthly Balance'!V15)/2 ))</x:f>
        <x:v>0.03630099627437144</x:v>
      </x:c>
      <x:c r="V15" s="44" t="n">
        <x:f>IF(( ('Monthly Balance'!V15+'Monthly Balance'!W15)/2 )=0,"",'Monthly NII'!V15*12/( ('Monthly Balance'!V15+'Monthly Balance'!W15)/2 ))</x:f>
        <x:v>0.03630099627437144</x:v>
      </x:c>
      <x:c r="W15" s="44" t="n">
        <x:f>IF(( ('Monthly Balance'!W15+'Monthly Balance'!X15)/2 )=0,"",'Monthly NII'!W15*12/( ('Monthly Balance'!W15+'Monthly Balance'!X15)/2 ))</x:f>
        <x:v>0.034521440202641585</x:v>
      </x:c>
      <x:c r="X15" s="44" t="n">
        <x:f>IF(( ('Monthly Balance'!X15+'Monthly Balance'!Y15)/2 )=0,"",'Monthly NII'!X15*12/( ('Monthly Balance'!X15+'Monthly Balance'!Y15)/2 ))</x:f>
        <x:v>0.03452144020264158</x:v>
      </x:c>
      <x:c r="Y15" s="44" t="n">
        <x:f>IF(( ('Monthly Balance'!Y15+'Monthly Balance'!Z15)/2 )=0,"",'Monthly NII'!Y15*12/( ('Monthly Balance'!Y15+'Monthly Balance'!Z15)/2 ))</x:f>
        <x:v>0.03452144020264157</x:v>
      </x:c>
      <x:c r="Z15" s="44" t="n">
        <x:f>IF(( ('Monthly Balance'!Z15+'Monthly Balance'!AA15)/2 )=0,"",'Monthly NII'!Z15*12/( ('Monthly Balance'!Z15+'Monthly Balance'!AA15)/2 ))</x:f>
        <x:v>0.03214539426947668</x:v>
      </x:c>
      <x:c r="AA15" s="44" t="n">
        <x:f>IF(( ('Monthly Balance'!AA15+'Monthly Balance'!AB15)/2 )=0,"",'Monthly NII'!AA15*12/( ('Monthly Balance'!AA15+'Monthly Balance'!AB15)/2 ))</x:f>
        <x:v>0.03214539426947668</x:v>
      </x:c>
      <x:c r="AB15" s="44" t="n">
        <x:f>IF(( ('Monthly Balance'!AB15+'Monthly Balance'!AC15)/2 )=0,"",'Monthly NII'!AB15*12/( ('Monthly Balance'!AB15+'Monthly Balance'!AC15)/2 ))</x:f>
        <x:v>0.03214539426947667</x:v>
      </x:c>
      <x:c r="AC15" s="44" t="n">
        <x:f>IF(( ('Monthly Balance'!AC15+'Monthly Balance'!AD15)/2 )=0,"",'Monthly NII'!AC15*12/( ('Monthly Balance'!AC15+'Monthly Balance'!AD15)/2 ))</x:f>
        <x:v>0.032236483536920844</x:v>
      </x:c>
      <x:c r="AD15" s="44" t="n">
        <x:f>IF(( ('Monthly Balance'!AD15+'Monthly Balance'!AE15)/2 )=0,"",'Monthly NII'!AD15*12/( ('Monthly Balance'!AD15+'Monthly Balance'!AE15)/2 ))</x:f>
        <x:v>0.032236483536920844</x:v>
      </x:c>
      <x:c r="AE15" s="44" t="n">
        <x:f>IF(( ('Monthly Balance'!AE15+'Monthly Balance'!AF15)/2 )=0,"",'Monthly NII'!AE15*12/( ('Monthly Balance'!AE15+'Monthly Balance'!AF15)/2 ))</x:f>
        <x:v>0.03223648353692085</x:v>
      </x:c>
      <x:c r="AF15" s="44" t="n">
        <x:f>IF(( ('Monthly Balance'!AF15+'Monthly Balance'!AG15)/2 )=0,"",'Monthly NII'!AF15*12/( ('Monthly Balance'!AF15+'Monthly Balance'!AG15)/2 ))</x:f>
        <x:v>0.03273519032960433</x:v>
      </x:c>
      <x:c r="AG15" s="44" t="n">
        <x:f>IF(( ('Monthly Balance'!AG15+'Monthly Balance'!AH15)/2 )=0,"",'Monthly NII'!AG15*12/( ('Monthly Balance'!AG15+'Monthly Balance'!AH15)/2 ))</x:f>
        <x:v>0.03273519032960433</x:v>
      </x:c>
      <x:c r="AH15" s="44" t="n">
        <x:f>IF(( ('Monthly Balance'!AH15+'Monthly Balance'!AI15)/2 )=0,"",'Monthly NII'!AH15*12/( ('Monthly Balance'!AH15+'Monthly Balance'!AI15)/2 ))</x:f>
        <x:v>0.03273519032960432</x:v>
      </x:c>
      <x:c r="AI15" s="44" t="n">
        <x:f>IF(( ('Monthly Balance'!AI15+'Monthly Balance'!AJ15)/2 )=0,"",'Monthly NII'!AI15*12/( ('Monthly Balance'!AI15+'Monthly Balance'!AJ15)/2 ))</x:f>
        <x:v>0.03152434608190644</x:v>
      </x:c>
      <x:c r="AJ15" s="44" t="n">
        <x:f>IF(( ('Monthly Balance'!AJ15+'Monthly Balance'!AK15)/2 )=0,"",'Monthly NII'!AJ15*12/( ('Monthly Balance'!AJ15+'Monthly Balance'!AK15)/2 ))</x:f>
        <x:v>0.03152434608190644</x:v>
      </x:c>
      <x:c r="AK15" s="44" t="n">
        <x:f>IF(( ('Monthly Balance'!AK15+'Monthly Balance'!AL15)/2 )=0,"",'Monthly NII'!AK15*12/( ('Monthly Balance'!AK15+'Monthly Balance'!AL15)/2 ))</x:f>
        <x:v>0.03152434608190644</x:v>
      </x:c>
      <x:c r="AL15" s="44" t="n">
        <x:f>IF(( ('Monthly Balance'!AL15+'Monthly Balance'!AM15)/2 )=0,"",'Monthly NII'!AL15*12/( ('Monthly Balance'!AL15+'Monthly Balance'!AM15)/2 ))</x:f>
        <x:v>0.029976303055379162</x:v>
      </x:c>
      <x:c r="AM15" s="44" t="n">
        <x:f>IF(( ('Monthly Balance'!AM15+'Monthly Balance'!AN15)/2 )=0,"",'Monthly NII'!AM15*12/( ('Monthly Balance'!AM15+'Monthly Balance'!AN15)/2 ))</x:f>
        <x:v>0.029976303055379162</x:v>
      </x:c>
      <x:c r="AN15" s="44" t="n">
        <x:f>IF(( ('Monthly Balance'!AN15+'Monthly Balance'!AO15)/2 )=0,"",'Monthly NII'!AN15*12/( ('Monthly Balance'!AN15+'Monthly Balance'!AO15)/2 ))</x:f>
        <x:v>0.029976303055379162</x:v>
      </x:c>
      <x:c r="AO15" s="44" t="n">
        <x:f>IF(( ('Monthly Balance'!AO15+'Monthly Balance'!AP15)/2 )=0,"",'Monthly NII'!AO15*12/( ('Monthly Balance'!AO15+'Monthly Balance'!AP15)/2 ))</x:f>
        <x:v>0.029144565952895468</x:v>
      </x:c>
      <x:c r="AP15" s="44" t="n">
        <x:f>IF(( ('Monthly Balance'!AP15+'Monthly Balance'!AQ15)/2 )=0,"",'Monthly NII'!AP15*12/( ('Monthly Balance'!AP15+'Monthly Balance'!AQ15)/2 ))</x:f>
        <x:v>0.029144565952895465</x:v>
      </x:c>
      <x:c r="AQ15" s="44" t="n">
        <x:f>IF(( ('Monthly Balance'!AQ15+'Monthly Balance'!AR15)/2 )=0,"",'Monthly NII'!AQ15*12/( ('Monthly Balance'!AQ15+'Monthly Balance'!AR15)/2 ))</x:f>
        <x:v>0.029144565952895465</x:v>
      </x:c>
    </x:row>
    <x:row r="16">
      <x:c r="A16" s="20" t="str">
        <x:v>  Securitized debt obligations</x:v>
      </x:c>
      <x:c r="B16" s="44" t="n">
        <x:f>IF(( ('Monthly Balance'!B16+'Monthly Balance'!C16)/2 )=0,"",'Monthly NII'!B16*12/( ('Monthly Balance'!B16+'Monthly Balance'!C16)/2 ))</x:f>
        <x:v>0.0489247000173903</x:v>
      </x:c>
      <x:c r="C16" s="44" t="n">
        <x:f>IF(( ('Monthly Balance'!C16+'Monthly Balance'!D16)/2 )=0,"",'Monthly NII'!C16*12/( ('Monthly Balance'!C16+'Monthly Balance'!D16)/2 ))</x:f>
        <x:v>0.0489247000173903</x:v>
      </x:c>
      <x:c r="D16" s="44" t="n">
        <x:f>IF(( ('Monthly Balance'!D16+'Monthly Balance'!E16)/2 )=0,"",'Monthly NII'!D16*12/( ('Monthly Balance'!D16+'Monthly Balance'!E16)/2 ))</x:f>
        <x:v>0.0489247000173903</x:v>
      </x:c>
      <x:c r="E16" s="44" t="n">
        <x:f>IF(( ('Monthly Balance'!E16+'Monthly Balance'!F16)/2 )=0,"",'Monthly NII'!E16*12/( ('Monthly Balance'!E16+'Monthly Balance'!F16)/2 ))</x:f>
        <x:v>0.053120252096111646</x:v>
      </x:c>
      <x:c r="F16" s="44" t="n">
        <x:f>IF(( ('Monthly Balance'!F16+'Monthly Balance'!G16)/2 )=0,"",'Monthly NII'!F16*12/( ('Monthly Balance'!F16+'Monthly Balance'!G16)/2 ))</x:f>
        <x:v>0.05312025209611164</x:v>
      </x:c>
      <x:c r="G16" s="44" t="n">
        <x:f>IF(( ('Monthly Balance'!G16+'Monthly Balance'!H16)/2 )=0,"",'Monthly NII'!G16*12/( ('Monthly Balance'!G16+'Monthly Balance'!H16)/2 ))</x:f>
        <x:v>0.05312025209611164</x:v>
      </x:c>
      <x:c r="H16" s="44" t="n">
        <x:f>IF(( ('Monthly Balance'!H16+'Monthly Balance'!I16)/2 )=0,"",'Monthly NII'!H16*12/( ('Monthly Balance'!H16+'Monthly Balance'!I16)/2 ))</x:f>
        <x:v>0.05643379228284889</x:v>
      </x:c>
      <x:c r="I16" s="44" t="n">
        <x:f>IF(( ('Monthly Balance'!I16+'Monthly Balance'!J16)/2 )=0,"",'Monthly NII'!I16*12/( ('Monthly Balance'!I16+'Monthly Balance'!J16)/2 ))</x:f>
        <x:v>0.05643379228284889</x:v>
      </x:c>
      <x:c r="J16" s="44" t="n">
        <x:f>IF(( ('Monthly Balance'!J16+'Monthly Balance'!K16)/2 )=0,"",'Monthly NII'!J16*12/( ('Monthly Balance'!J16+'Monthly Balance'!K16)/2 ))</x:f>
        <x:v>0.05643379228284889</x:v>
      </x:c>
      <x:c r="K16" s="44" t="n">
        <x:f>IF(( ('Monthly Balance'!K16+'Monthly Balance'!L16)/2 )=0,"",'Monthly NII'!K16*12/( ('Monthly Balance'!K16+'Monthly Balance'!L16)/2 ))</x:f>
        <x:v>0.058360146455120394</x:v>
      </x:c>
      <x:c r="L16" s="44" t="n">
        <x:f>IF(( ('Monthly Balance'!L16+'Monthly Balance'!M16)/2 )=0,"",'Monthly NII'!L16*12/( ('Monthly Balance'!L16+'Monthly Balance'!M16)/2 ))</x:f>
        <x:v>0.05836014645512038</x:v>
      </x:c>
      <x:c r="M16" s="44" t="n">
        <x:f>IF(( ('Monthly Balance'!M16+'Monthly Balance'!N16)/2 )=0,"",'Monthly NII'!M16*12/( ('Monthly Balance'!M16+'Monthly Balance'!N16)/2 ))</x:f>
        <x:v>0.05836014645512038</x:v>
      </x:c>
      <x:c r="N16" s="44" t="n">
        <x:f>IF(( ('Monthly Balance'!N16+'Monthly Balance'!O16)/2 )=0,"",'Monthly NII'!N16*12/( ('Monthly Balance'!N16+'Monthly Balance'!O16)/2 ))</x:f>
        <x:v>0.05853330343126261</x:v>
      </x:c>
      <x:c r="O16" s="44" t="n">
        <x:f>IF(( ('Monthly Balance'!O16+'Monthly Balance'!P16)/2 )=0,"",'Monthly NII'!O16*12/( ('Monthly Balance'!O16+'Monthly Balance'!P16)/2 ))</x:f>
        <x:v>0.05853330343126262</x:v>
      </x:c>
      <x:c r="P16" s="44" t="n">
        <x:f>IF(( ('Monthly Balance'!P16+'Monthly Balance'!Q16)/2 )=0,"",'Monthly NII'!P16*12/( ('Monthly Balance'!P16+'Monthly Balance'!Q16)/2 ))</x:f>
        <x:v>0.058533303431262625</x:v>
      </x:c>
      <x:c r="Q16" s="44" t="n">
        <x:f>IF(( ('Monthly Balance'!Q16+'Monthly Balance'!R16)/2 )=0,"",'Monthly NII'!Q16*12/( ('Monthly Balance'!Q16+'Monthly Balance'!R16)/2 ))</x:f>
        <x:v>0.05913362365344946</x:v>
      </x:c>
      <x:c r="R16" s="44" t="n">
        <x:f>IF(( ('Monthly Balance'!R16+'Monthly Balance'!S16)/2 )=0,"",'Monthly NII'!R16*12/( ('Monthly Balance'!R16+'Monthly Balance'!S16)/2 ))</x:f>
        <x:v>0.059133623653449464</x:v>
      </x:c>
      <x:c r="S16" s="44" t="n">
        <x:f>IF(( ('Monthly Balance'!S16+'Monthly Balance'!T16)/2 )=0,"",'Monthly NII'!S16*12/( ('Monthly Balance'!S16+'Monthly Balance'!T16)/2 ))</x:f>
        <x:v>0.059133623653449464</x:v>
      </x:c>
      <x:c r="T16" s="44" t="n">
        <x:f>IF(( ('Monthly Balance'!T16+'Monthly Balance'!U16)/2 )=0,"",'Monthly NII'!T16*12/( ('Monthly Balance'!T16+'Monthly Balance'!U16)/2 ))</x:f>
        <x:v>0.05911703404282195</x:v>
      </x:c>
      <x:c r="U16" s="44" t="n">
        <x:f>IF(( ('Monthly Balance'!U16+'Monthly Balance'!V16)/2 )=0,"",'Monthly NII'!U16*12/( ('Monthly Balance'!U16+'Monthly Balance'!V16)/2 ))</x:f>
        <x:v>0.05911703404282195</x:v>
      </x:c>
      <x:c r="V16" s="44" t="n">
        <x:f>IF(( ('Monthly Balance'!V16+'Monthly Balance'!W16)/2 )=0,"",'Monthly NII'!V16*12/( ('Monthly Balance'!V16+'Monthly Balance'!W16)/2 ))</x:f>
        <x:v>0.05911703404282195</x:v>
      </x:c>
      <x:c r="W16" s="44" t="n">
        <x:f>IF(( ('Monthly Balance'!W16+'Monthly Balance'!X16)/2 )=0,"",'Monthly NII'!W16*12/( ('Monthly Balance'!W16+'Monthly Balance'!X16)/2 ))</x:f>
        <x:v>0.0549597855227882</x:v>
      </x:c>
      <x:c r="X16" s="44" t="n">
        <x:f>IF(( ('Monthly Balance'!X16+'Monthly Balance'!Y16)/2 )=0,"",'Monthly NII'!X16*12/( ('Monthly Balance'!X16+'Monthly Balance'!Y16)/2 ))</x:f>
        <x:v>0.054959785522788206</x:v>
      </x:c>
      <x:c r="Y16" s="44" t="n">
        <x:f>IF(( ('Monthly Balance'!Y16+'Monthly Balance'!Z16)/2 )=0,"",'Monthly NII'!Y16*12/( ('Monthly Balance'!Y16+'Monthly Balance'!Z16)/2 ))</x:f>
        <x:v>0.05495978552278821</x:v>
      </x:c>
      <x:c r="Z16" s="44" t="n">
        <x:f>IF(( ('Monthly Balance'!Z16+'Monthly Balance'!AA16)/2 )=0,"",'Monthly NII'!Z16*12/( ('Monthly Balance'!Z16+'Monthly Balance'!AA16)/2 ))</x:f>
        <x:v>0.05127084698856602</x:v>
      </x:c>
      <x:c r="AA16" s="44" t="n">
        <x:f>IF(( ('Monthly Balance'!AA16+'Monthly Balance'!AB16)/2 )=0,"",'Monthly NII'!AA16*12/( ('Monthly Balance'!AA16+'Monthly Balance'!AB16)/2 ))</x:f>
        <x:v>0.051270846988566016</x:v>
      </x:c>
      <x:c r="AB16" s="44" t="n">
        <x:f>IF(( ('Monthly Balance'!AB16+'Monthly Balance'!AC16)/2 )=0,"",'Monthly NII'!AB16*12/( ('Monthly Balance'!AB16+'Monthly Balance'!AC16)/2 ))</x:f>
        <x:v>0.051270846988566016</x:v>
      </x:c>
      <x:c r="AC16" s="44" t="n">
        <x:f>IF(( ('Monthly Balance'!AC16+'Monthly Balance'!AD16)/2 )=0,"",'Monthly NII'!AC16*12/( ('Monthly Balance'!AC16+'Monthly Balance'!AD16)/2 ))</x:f>
        <x:v>0.050295177489841296</x:v>
      </x:c>
      <x:c r="AD16" s="44" t="n">
        <x:f>IF(( ('Monthly Balance'!AD16+'Monthly Balance'!AE16)/2 )=0,"",'Monthly NII'!AD16*12/( ('Monthly Balance'!AD16+'Monthly Balance'!AE16)/2 ))</x:f>
        <x:v>0.050295177489841296</x:v>
      </x:c>
      <x:c r="AE16" s="44" t="n">
        <x:f>IF(( ('Monthly Balance'!AE16+'Monthly Balance'!AF16)/2 )=0,"",'Monthly NII'!AE16*12/( ('Monthly Balance'!AE16+'Monthly Balance'!AF16)/2 ))</x:f>
        <x:v>0.050295177489841296</x:v>
      </x:c>
      <x:c r="AF16" s="44" t="n">
        <x:f>IF(( ('Monthly Balance'!AF16+'Monthly Balance'!AG16)/2 )=0,"",'Monthly NII'!AF16*12/( ('Monthly Balance'!AF16+'Monthly Balance'!AG16)/2 ))</x:f>
        <x:v>0.05108754547565602</x:v>
      </x:c>
      <x:c r="AG16" s="44" t="n">
        <x:f>IF(( ('Monthly Balance'!AG16+'Monthly Balance'!AH16)/2 )=0,"",'Monthly NII'!AG16*12/( ('Monthly Balance'!AG16+'Monthly Balance'!AH16)/2 ))</x:f>
        <x:v>0.05108754547565601</x:v>
      </x:c>
      <x:c r="AH16" s="44" t="n">
        <x:f>IF(( ('Monthly Balance'!AH16+'Monthly Balance'!AI16)/2 )=0,"",'Monthly NII'!AH16*12/( ('Monthly Balance'!AH16+'Monthly Balance'!AI16)/2 ))</x:f>
        <x:v>0.05108754547565601</x:v>
      </x:c>
      <x:c r="AI16" s="44" t="n">
        <x:f>IF(( ('Monthly Balance'!AI16+'Monthly Balance'!AJ16)/2 )=0,"",'Monthly NII'!AI16*12/( ('Monthly Balance'!AI16+'Monthly Balance'!AJ16)/2 ))</x:f>
        <x:v>0.048942216608778025</x:v>
      </x:c>
      <x:c r="AJ16" s="44" t="n">
        <x:f>IF(( ('Monthly Balance'!AJ16+'Monthly Balance'!AK16)/2 )=0,"",'Monthly NII'!AJ16*12/( ('Monthly Balance'!AJ16+'Monthly Balance'!AK16)/2 ))</x:f>
        <x:v>0.048942216608778025</x:v>
      </x:c>
      <x:c r="AK16" s="44" t="n">
        <x:f>IF(( ('Monthly Balance'!AK16+'Monthly Balance'!AL16)/2 )=0,"",'Monthly NII'!AK16*12/( ('Monthly Balance'!AK16+'Monthly Balance'!AL16)/2 ))</x:f>
        <x:v>0.04894221660877802</x:v>
      </x:c>
      <x:c r="AL16" s="44" t="n">
        <x:f>IF(( ('Monthly Balance'!AL16+'Monthly Balance'!AM16)/2 )=0,"",'Monthly NII'!AL16*12/( ('Monthly Balance'!AL16+'Monthly Balance'!AM16)/2 ))</x:f>
        <x:v>0.04520679705033665</x:v>
      </x:c>
      <x:c r="AM16" s="44" t="n">
        <x:f>IF(( ('Monthly Balance'!AM16+'Monthly Balance'!AN16)/2 )=0,"",'Monthly NII'!AM16*12/( ('Monthly Balance'!AM16+'Monthly Balance'!AN16)/2 ))</x:f>
        <x:v>0.045206797050336645</x:v>
      </x:c>
      <x:c r="AN16" s="44" t="n">
        <x:f>IF(( ('Monthly Balance'!AN16+'Monthly Balance'!AO16)/2 )=0,"",'Monthly NII'!AN16*12/( ('Monthly Balance'!AN16+'Monthly Balance'!AO16)/2 ))</x:f>
        <x:v>0.04520679705033664</x:v>
      </x:c>
      <x:c r="AO16" s="44" t="n">
        <x:f>IF(( ('Monthly Balance'!AO16+'Monthly Balance'!AP16)/2 )=0,"",'Monthly NII'!AO16*12/( ('Monthly Balance'!AO16+'Monthly Balance'!AP16)/2 ))</x:f>
        <x:v>0.045927379784102065</x:v>
      </x:c>
      <x:c r="AP16" s="44" t="n">
        <x:f>IF(( ('Monthly Balance'!AP16+'Monthly Balance'!AQ16)/2 )=0,"",'Monthly NII'!AP16*12/( ('Monthly Balance'!AP16+'Monthly Balance'!AQ16)/2 ))</x:f>
        <x:v>0.04592737978410206</x:v>
      </x:c>
      <x:c r="AQ16" s="44" t="n">
        <x:f>IF(( ('Monthly Balance'!AQ16+'Monthly Balance'!AR16)/2 )=0,"",'Monthly NII'!AQ16*12/( ('Monthly Balance'!AQ16+'Monthly Balance'!AR16)/2 ))</x:f>
        <x:v>0.04592737978410206</x:v>
      </x:c>
    </x:row>
    <x:row r="17">
      <x:c r="A17" s="20" t="str">
        <x:v>  Senior and subordinated notes</x:v>
      </x:c>
      <x:c r="B17" s="44" t="n">
        <x:f>IF(( ('Monthly Balance'!B17+'Monthly Balance'!C17)/2 )=0,"",'Monthly NII'!B17*12/( ('Monthly Balance'!B17+'Monthly Balance'!C17)/2 ))</x:f>
        <x:v>0.06490576055216353</x:v>
      </x:c>
      <x:c r="C17" s="44" t="n">
        <x:f>IF(( ('Monthly Balance'!C17+'Monthly Balance'!D17)/2 )=0,"",'Monthly NII'!C17*12/( ('Monthly Balance'!C17+'Monthly Balance'!D17)/2 ))</x:f>
        <x:v>0.06490576055216353</x:v>
      </x:c>
      <x:c r="D17" s="44" t="n">
        <x:f>IF(( ('Monthly Balance'!D17+'Monthly Balance'!E17)/2 )=0,"",'Monthly NII'!D17*12/( ('Monthly Balance'!D17+'Monthly Balance'!E17)/2 ))</x:f>
        <x:v>0.06490576055216353</x:v>
      </x:c>
      <x:c r="E17" s="44" t="n">
        <x:f>IF(( ('Monthly Balance'!E17+'Monthly Balance'!F17)/2 )=0,"",'Monthly NII'!E17*12/( ('Monthly Balance'!E17+'Monthly Balance'!F17)/2 ))</x:f>
        <x:v>0.07002420344153046</x:v>
      </x:c>
      <x:c r="F17" s="44" t="n">
        <x:f>IF(( ('Monthly Balance'!F17+'Monthly Balance'!G17)/2 )=0,"",'Monthly NII'!F17*12/( ('Monthly Balance'!F17+'Monthly Balance'!G17)/2 ))</x:f>
        <x:v>0.07002420344153046</x:v>
      </x:c>
      <x:c r="G17" s="44" t="n">
        <x:f>IF(( ('Monthly Balance'!G17+'Monthly Balance'!H17)/2 )=0,"",'Monthly NII'!G17*12/( ('Monthly Balance'!G17+'Monthly Balance'!H17)/2 ))</x:f>
        <x:v>0.07002420344153046</x:v>
      </x:c>
      <x:c r="H17" s="44" t="n">
        <x:f>IF(( ('Monthly Balance'!H17+'Monthly Balance'!I17)/2 )=0,"",'Monthly NII'!H17*12/( ('Monthly Balance'!H17+'Monthly Balance'!I17)/2 ))</x:f>
        <x:v>0.07347249540003806</x:v>
      </x:c>
      <x:c r="I17" s="44" t="n">
        <x:f>IF(( ('Monthly Balance'!I17+'Monthly Balance'!J17)/2 )=0,"",'Monthly NII'!I17*12/( ('Monthly Balance'!I17+'Monthly Balance'!J17)/2 ))</x:f>
        <x:v>0.07347249540003807</x:v>
      </x:c>
      <x:c r="J17" s="44" t="n">
        <x:f>IF(( ('Monthly Balance'!J17+'Monthly Balance'!K17)/2 )=0,"",'Monthly NII'!J17*12/( ('Monthly Balance'!J17+'Monthly Balance'!K17)/2 ))</x:f>
        <x:v>0.07347249540003807</x:v>
      </x:c>
      <x:c r="K17" s="44" t="n">
        <x:f>IF(( ('Monthly Balance'!K17+'Monthly Balance'!L17)/2 )=0,"",'Monthly NII'!K17*12/( ('Monthly Balance'!K17+'Monthly Balance'!L17)/2 ))</x:f>
        <x:v>0.07459436248198018</x:v>
      </x:c>
      <x:c r="L17" s="44" t="n">
        <x:f>IF(( ('Monthly Balance'!L17+'Monthly Balance'!M17)/2 )=0,"",'Monthly NII'!L17*12/( ('Monthly Balance'!L17+'Monthly Balance'!M17)/2 ))</x:f>
        <x:v>0.07459436248198019</x:v>
      </x:c>
      <x:c r="M17" s="44" t="n">
        <x:f>IF(( ('Monthly Balance'!M17+'Monthly Balance'!N17)/2 )=0,"",'Monthly NII'!M17*12/( ('Monthly Balance'!M17+'Monthly Balance'!N17)/2 ))</x:f>
        <x:v>0.07459436248198018</x:v>
      </x:c>
      <x:c r="N17" s="44" t="n">
        <x:f>IF(( ('Monthly Balance'!N17+'Monthly Balance'!O17)/2 )=0,"",'Monthly NII'!N17*12/( ('Monthly Balance'!N17+'Monthly Balance'!O17)/2 ))</x:f>
        <x:v>0.0752537952873242</x:v>
      </x:c>
      <x:c r="O17" s="44" t="n">
        <x:f>IF(( ('Monthly Balance'!O17+'Monthly Balance'!P17)/2 )=0,"",'Monthly NII'!O17*12/( ('Monthly Balance'!O17+'Monthly Balance'!P17)/2 ))</x:f>
        <x:v>0.0752537952873242</x:v>
      </x:c>
      <x:c r="P17" s="44" t="n">
        <x:f>IF(( ('Monthly Balance'!P17+'Monthly Balance'!Q17)/2 )=0,"",'Monthly NII'!P17*12/( ('Monthly Balance'!P17+'Monthly Balance'!Q17)/2 ))</x:f>
        <x:v>0.0752537952873242</x:v>
      </x:c>
      <x:c r="Q17" s="44" t="n">
        <x:f>IF(( ('Monthly Balance'!Q17+'Monthly Balance'!R17)/2 )=0,"",'Monthly NII'!Q17*12/( ('Monthly Balance'!Q17+'Monthly Balance'!R17)/2 ))</x:f>
        <x:v>0.07631222157660277</x:v>
      </x:c>
      <x:c r="R17" s="44" t="n">
        <x:f>IF(( ('Monthly Balance'!R17+'Monthly Balance'!S17)/2 )=0,"",'Monthly NII'!R17*12/( ('Monthly Balance'!R17+'Monthly Balance'!S17)/2 ))</x:f>
        <x:v>0.07631222157660275</x:v>
      </x:c>
      <x:c r="S17" s="44" t="n">
        <x:f>IF(( ('Monthly Balance'!S17+'Monthly Balance'!T17)/2 )=0,"",'Monthly NII'!S17*12/( ('Monthly Balance'!S17+'Monthly Balance'!T17)/2 ))</x:f>
        <x:v>0.07631222157660274</x:v>
      </x:c>
      <x:c r="T17" s="44" t="n">
        <x:f>IF(( ('Monthly Balance'!T17+'Monthly Balance'!U17)/2 )=0,"",'Monthly NII'!T17*12/( ('Monthly Balance'!T17+'Monthly Balance'!U17)/2 ))</x:f>
        <x:v>0.07440466901782093</x:v>
      </x:c>
      <x:c r="U17" s="44" t="n">
        <x:f>IF(( ('Monthly Balance'!U17+'Monthly Balance'!V17)/2 )=0,"",'Monthly NII'!U17*12/( ('Monthly Balance'!U17+'Monthly Balance'!V17)/2 ))</x:f>
        <x:v>0.07440466901782092</x:v>
      </x:c>
      <x:c r="V17" s="44" t="n">
        <x:f>IF(( ('Monthly Balance'!V17+'Monthly Balance'!W17)/2 )=0,"",'Monthly NII'!V17*12/( ('Monthly Balance'!V17+'Monthly Balance'!W17)/2 ))</x:f>
        <x:v>0.07440466901782092</x:v>
      </x:c>
      <x:c r="W17" s="44" t="n">
        <x:f>IF(( ('Monthly Balance'!W17+'Monthly Balance'!X17)/2 )=0,"",'Monthly NII'!W17*12/( ('Monthly Balance'!W17+'Monthly Balance'!X17)/2 ))</x:f>
        <x:v>0.06993912705608082</x:v>
      </x:c>
      <x:c r="X17" s="44" t="n">
        <x:f>IF(( ('Monthly Balance'!X17+'Monthly Balance'!Y17)/2 )=0,"",'Monthly NII'!X17*12/( ('Monthly Balance'!X17+'Monthly Balance'!Y17)/2 ))</x:f>
        <x:v>0.06993912705608082</x:v>
      </x:c>
      <x:c r="Y17" s="44" t="n">
        <x:f>IF(( ('Monthly Balance'!Y17+'Monthly Balance'!Z17)/2 )=0,"",'Monthly NII'!Y17*12/( ('Monthly Balance'!Y17+'Monthly Balance'!Z17)/2 ))</x:f>
        <x:v>0.06993912705608081</x:v>
      </x:c>
      <x:c r="Z17" s="44" t="n">
        <x:f>IF(( ('Monthly Balance'!Z17+'Monthly Balance'!AA17)/2 )=0,"",'Monthly NII'!Z17*12/( ('Monthly Balance'!Z17+'Monthly Balance'!AA17)/2 ))</x:f>
        <x:v>0.06659852955721869</x:v>
      </x:c>
      <x:c r="AA17" s="44" t="n">
        <x:f>IF(( ('Monthly Balance'!AA17+'Monthly Balance'!AB17)/2 )=0,"",'Monthly NII'!AA17*12/( ('Monthly Balance'!AA17+'Monthly Balance'!AB17)/2 ))</x:f>
        <x:v>0.06659852955721869</x:v>
      </x:c>
      <x:c r="AB17" s="44" t="n">
        <x:f>IF(( ('Monthly Balance'!AB17+'Monthly Balance'!AC17)/2 )=0,"",'Monthly NII'!AB17*12/( ('Monthly Balance'!AB17+'Monthly Balance'!AC17)/2 ))</x:f>
        <x:v>0.06659852955721868</x:v>
      </x:c>
      <x:c r="AC17" s="44" t="n">
        <x:f>IF(( ('Monthly Balance'!AC17+'Monthly Balance'!AD17)/2 )=0,"",'Monthly NII'!AC17*12/( ('Monthly Balance'!AC17+'Monthly Balance'!AD17)/2 ))</x:f>
        <x:v>0.06510099780968606</x:v>
      </x:c>
      <x:c r="AD17" s="44" t="n">
        <x:f>IF(( ('Monthly Balance'!AD17+'Monthly Balance'!AE17)/2 )=0,"",'Monthly NII'!AD17*12/( ('Monthly Balance'!AD17+'Monthly Balance'!AE17)/2 ))</x:f>
        <x:v>0.06510099780968605</x:v>
      </x:c>
      <x:c r="AE17" s="44" t="n">
        <x:f>IF(( ('Monthly Balance'!AE17+'Monthly Balance'!AF17)/2 )=0,"",'Monthly NII'!AE17*12/( ('Monthly Balance'!AE17+'Monthly Balance'!AF17)/2 ))</x:f>
        <x:v>0.06510099780968605</x:v>
      </x:c>
      <x:c r="AF17" s="44" t="n">
        <x:f>IF(( ('Monthly Balance'!AF17+'Monthly Balance'!AG17)/2 )=0,"",'Monthly NII'!AF17*12/( ('Monthly Balance'!AF17+'Monthly Balance'!AG17)/2 ))</x:f>
        <x:v>0.06418173797970886</x:v>
      </x:c>
      <x:c r="AG17" s="44" t="n">
        <x:f>IF(( ('Monthly Balance'!AG17+'Monthly Balance'!AH17)/2 )=0,"",'Monthly NII'!AG17*12/( ('Monthly Balance'!AG17+'Monthly Balance'!AH17)/2 ))</x:f>
        <x:v>0.06418173797970887</x:v>
      </x:c>
      <x:c r="AH17" s="44" t="n">
        <x:f>IF(( ('Monthly Balance'!AH17+'Monthly Balance'!AI17)/2 )=0,"",'Monthly NII'!AH17*12/( ('Monthly Balance'!AH17+'Monthly Balance'!AI17)/2 ))</x:f>
        <x:v>0.06418173797970887</x:v>
      </x:c>
      <x:c r="AI17" s="44" t="n">
        <x:f>IF(( ('Monthly Balance'!AI17+'Monthly Balance'!AJ17)/2 )=0,"",'Monthly NII'!AI17*12/( ('Monthly Balance'!AI17+'Monthly Balance'!AJ17)/2 ))</x:f>
        <x:v>0.06022777047744196</x:v>
      </x:c>
      <x:c r="AJ17" s="44" t="n">
        <x:f>IF(( ('Monthly Balance'!AJ17+'Monthly Balance'!AK17)/2 )=0,"",'Monthly NII'!AJ17*12/( ('Monthly Balance'!AJ17+'Monthly Balance'!AK17)/2 ))</x:f>
        <x:v>0.06022777047744196</x:v>
      </x:c>
      <x:c r="AK17" s="44" t="n">
        <x:f>IF(( ('Monthly Balance'!AK17+'Monthly Balance'!AL17)/2 )=0,"",'Monthly NII'!AK17*12/( ('Monthly Balance'!AK17+'Monthly Balance'!AL17)/2 ))</x:f>
        <x:v>0.06022777047744197</x:v>
      </x:c>
      <x:c r="AL17" s="44" t="n">
        <x:f>IF(( ('Monthly Balance'!AL17+'Monthly Balance'!AM17)/2 )=0,"",'Monthly NII'!AL17*12/( ('Monthly Balance'!AL17+'Monthly Balance'!AM17)/2 ))</x:f>
        <x:v>0.056227870845003435</x:v>
      </x:c>
      <x:c r="AM17" s="44" t="n">
        <x:f>IF(( ('Monthly Balance'!AM17+'Monthly Balance'!AN17)/2 )=0,"",'Monthly NII'!AM17*12/( ('Monthly Balance'!AM17+'Monthly Balance'!AN17)/2 ))</x:f>
        <x:v>0.056227870845003435</x:v>
      </x:c>
      <x:c r="AN17" s="44" t="n">
        <x:f>IF(( ('Monthly Balance'!AN17+'Monthly Balance'!AO17)/2 )=0,"",'Monthly NII'!AN17*12/( ('Monthly Balance'!AN17+'Monthly Balance'!AO17)/2 ))</x:f>
        <x:v>0.05622787084500342</x:v>
      </x:c>
      <x:c r="AO17" s="44" t="n">
        <x:f>IF(( ('Monthly Balance'!AO17+'Monthly Balance'!AP17)/2 )=0,"",'Monthly NII'!AO17*12/( ('Monthly Balance'!AO17+'Monthly Balance'!AP17)/2 ))</x:f>
        <x:v>0.05706971038455384</x:v>
      </x:c>
      <x:c r="AP17" s="44" t="n">
        <x:f>IF(( ('Monthly Balance'!AP17+'Monthly Balance'!AQ17)/2 )=0,"",'Monthly NII'!AP17*12/( ('Monthly Balance'!AP17+'Monthly Balance'!AQ17)/2 ))</x:f>
        <x:v>0.05706971038455384</x:v>
      </x:c>
      <x:c r="AQ17" s="44" t="n">
        <x:f>IF(( ('Monthly Balance'!AQ17+'Monthly Balance'!AR17)/2 )=0,"",'Monthly NII'!AQ17*12/( ('Monthly Balance'!AQ17+'Monthly Balance'!AR17)/2 ))</x:f>
        <x:v>0.05706971038455384</x:v>
      </x:c>
    </x:row>
    <x:row r="18">
      <x:c r="A18" s="20" t="str">
        <x:v>  Other borrowings</x:v>
      </x:c>
      <x:c r="B18" s="44" t="n">
        <x:f>IF(( ('Monthly Balance'!B18+'Monthly Balance'!C18)/2 )=0,"",'Monthly NII'!B18*12/( ('Monthly Balance'!B18+'Monthly Balance'!C18)/2 ))</x:f>
        <x:v>0.020556745182012847</x:v>
      </x:c>
      <x:c r="C18" s="44" t="n">
        <x:f>IF(( ('Monthly Balance'!C18+'Monthly Balance'!D18)/2 )=0,"",'Monthly NII'!C18*12/( ('Monthly Balance'!C18+'Monthly Balance'!D18)/2 ))</x:f>
        <x:v>0.020556745182012847</x:v>
      </x:c>
      <x:c r="D18" s="44" t="n">
        <x:f>IF(( ('Monthly Balance'!D18+'Monthly Balance'!E18)/2 )=0,"",'Monthly NII'!D18*12/( ('Monthly Balance'!D18+'Monthly Balance'!E18)/2 ))</x:f>
        <x:v>0.020556745182012847</x:v>
      </x:c>
      <x:c r="E18" s="44" t="n">
        <x:f>IF(( ('Monthly Balance'!E18+'Monthly Balance'!F18)/2 )=0,"",'Monthly NII'!E18*12/( ('Monthly Balance'!E18+'Monthly Balance'!F18)/2 ))</x:f>
        <x:v>0.019842910293509715</x:v>
      </x:c>
      <x:c r="F18" s="44" t="n">
        <x:f>IF(( ('Monthly Balance'!F18+'Monthly Balance'!G18)/2 )=0,"",'Monthly NII'!F18*12/( ('Monthly Balance'!F18+'Monthly Balance'!G18)/2 ))</x:f>
        <x:v>0.019842910293509715</x:v>
      </x:c>
      <x:c r="G18" s="44" t="n">
        <x:f>IF(( ('Monthly Balance'!G18+'Monthly Balance'!H18)/2 )=0,"",'Monthly NII'!G18*12/( ('Monthly Balance'!G18+'Monthly Balance'!H18)/2 ))</x:f>
        <x:v>0.019842910293509715</x:v>
      </x:c>
      <x:c r="H18" s="44" t="n">
        <x:f>IF(( ('Monthly Balance'!H18+'Monthly Balance'!I18)/2 )=0,"",'Monthly NII'!H18*12/( ('Monthly Balance'!H18+'Monthly Balance'!I18)/2 ))</x:f>
        <x:v>0.01779215527699151</x:v>
      </x:c>
      <x:c r="I18" s="44" t="n">
        <x:f>IF(( ('Monthly Balance'!I18+'Monthly Balance'!J18)/2 )=0,"",'Monthly NII'!I18*12/( ('Monthly Balance'!I18+'Monthly Balance'!J18)/2 ))</x:f>
        <x:v>0.017792155276991507</x:v>
      </x:c>
      <x:c r="J18" s="44" t="n">
        <x:f>IF(( ('Monthly Balance'!J18+'Monthly Balance'!K18)/2 )=0,"",'Monthly NII'!J18*12/( ('Monthly Balance'!J18+'Monthly Balance'!K18)/2 ))</x:f>
        <x:v>0.017792155276991507</x:v>
      </x:c>
      <x:c r="K18" s="44" t="n">
        <x:f>IF(( ('Monthly Balance'!K18+'Monthly Balance'!L18)/2 )=0,"",'Monthly NII'!K18*12/( ('Monthly Balance'!K18+'Monthly Balance'!L18)/2 ))</x:f>
        <x:v>0.017050298380221655</x:v>
      </x:c>
      <x:c r="L18" s="44" t="n">
        <x:f>IF(( ('Monthly Balance'!L18+'Monthly Balance'!M18)/2 )=0,"",'Monthly NII'!L18*12/( ('Monthly Balance'!L18+'Monthly Balance'!M18)/2 ))</x:f>
        <x:v>0.017050298380221655</x:v>
      </x:c>
      <x:c r="M18" s="44" t="n">
        <x:f>IF(( ('Monthly Balance'!M18+'Monthly Balance'!N18)/2 )=0,"",'Monthly NII'!M18*12/( ('Monthly Balance'!M18+'Monthly Balance'!N18)/2 ))</x:f>
        <x:v>0.01705029838022165</x:v>
      </x:c>
      <x:c r="N18" s="44" t="n">
        <x:f>IF(( ('Monthly Balance'!N18+'Monthly Balance'!O18)/2 )=0,"",'Monthly NII'!N18*12/( ('Monthly Balance'!N18+'Monthly Balance'!O18)/2 ))</x:f>
        <x:v>0.016856300042140747</x:v>
      </x:c>
      <x:c r="O18" s="44" t="n">
        <x:f>IF(( ('Monthly Balance'!O18+'Monthly Balance'!P18)/2 )=0,"",'Monthly NII'!O18*12/( ('Monthly Balance'!O18+'Monthly Balance'!P18)/2 ))</x:f>
        <x:v>0.01685630004214075</x:v>
      </x:c>
      <x:c r="P18" s="44" t="n">
        <x:f>IF(( ('Monthly Balance'!P18+'Monthly Balance'!Q18)/2 )=0,"",'Monthly NII'!P18*12/( ('Monthly Balance'!P18+'Monthly Balance'!Q18)/2 ))</x:f>
        <x:v>0.01685630004214075</x:v>
      </x:c>
      <x:c r="Q18" s="44" t="n">
        <x:f>IF(( ('Monthly Balance'!Q18+'Monthly Balance'!R18)/2 )=0,"",'Monthly NII'!Q18*12/( ('Monthly Balance'!Q18+'Monthly Balance'!R18)/2 ))</x:f>
        <x:v>0.017585931254996003</x:v>
      </x:c>
      <x:c r="R18" s="44" t="n">
        <x:f>IF(( ('Monthly Balance'!R18+'Monthly Balance'!S18)/2 )=0,"",'Monthly NII'!R18*12/( ('Monthly Balance'!R18+'Monthly Balance'!S18)/2 ))</x:f>
        <x:v>0.017585931254996003</x:v>
      </x:c>
      <x:c r="S18" s="44" t="n">
        <x:f>IF(( ('Monthly Balance'!S18+'Monthly Balance'!T18)/2 )=0,"",'Monthly NII'!S18*12/( ('Monthly Balance'!S18+'Monthly Balance'!T18)/2 ))</x:f>
        <x:v>0.017585931254996006</x:v>
      </x:c>
      <x:c r="T18" s="44" t="n">
        <x:f>IF(( ('Monthly Balance'!T18+'Monthly Balance'!U18)/2 )=0,"",'Monthly NII'!T18*12/( ('Monthly Balance'!T18+'Monthly Balance'!U18)/2 ))</x:f>
        <x:v>0.015069066555043954</x:v>
      </x:c>
      <x:c r="U18" s="44" t="n">
        <x:f>IF(( ('Monthly Balance'!U18+'Monthly Balance'!V18)/2 )=0,"",'Monthly NII'!U18*12/( ('Monthly Balance'!U18+'Monthly Balance'!V18)/2 ))</x:f>
        <x:v>0.01506906655504395</x:v>
      </x:c>
      <x:c r="V18" s="44" t="n">
        <x:f>IF(( ('Monthly Balance'!V18+'Monthly Balance'!W18)/2 )=0,"",'Monthly NII'!V18*12/( ('Monthly Balance'!V18+'Monthly Balance'!W18)/2 ))</x:f>
        <x:v>0.015069066555043949</x:v>
      </x:c>
      <x:c r="W18" s="44" t="n">
        <x:f>IF(( ('Monthly Balance'!W18+'Monthly Balance'!X18)/2 )=0,"",'Monthly NII'!W18*12/( ('Monthly Balance'!W18+'Monthly Balance'!X18)/2 ))</x:f>
        <x:v>0.019753086419753086</x:v>
      </x:c>
      <x:c r="X18" s="44" t="n">
        <x:f>IF(( ('Monthly Balance'!X18+'Monthly Balance'!Y18)/2 )=0,"",'Monthly NII'!X18*12/( ('Monthly Balance'!X18+'Monthly Balance'!Y18)/2 ))</x:f>
        <x:v>0.019753086419753086</x:v>
      </x:c>
      <x:c r="Y18" s="44" t="n">
        <x:f>IF(( ('Monthly Balance'!Y18+'Monthly Balance'!Z18)/2 )=0,"",'Monthly NII'!Y18*12/( ('Monthly Balance'!Y18+'Monthly Balance'!Z18)/2 ))</x:f>
        <x:v>0.01975308641975309</x:v>
      </x:c>
      <x:c r="Z18" s="44" t="n">
        <x:f>IF(( ('Monthly Balance'!Z18+'Monthly Balance'!AA18)/2 )=0,"",'Monthly NII'!Z18*12/( ('Monthly Balance'!Z18+'Monthly Balance'!AA18)/2 ))</x:f>
        <x:v>0.015570934256055366</x:v>
      </x:c>
      <x:c r="AA18" s="44" t="n">
        <x:f>IF(( ('Monthly Balance'!AA18+'Monthly Balance'!AB18)/2 )=0,"",'Monthly NII'!AA18*12/( ('Monthly Balance'!AA18+'Monthly Balance'!AB18)/2 ))</x:f>
        <x:v>0.015570934256055362</x:v>
      </x:c>
      <x:c r="AB18" s="44" t="n">
        <x:f>IF(( ('Monthly Balance'!AB18+'Monthly Balance'!AC18)/2 )=0,"",'Monthly NII'!AB18*12/( ('Monthly Balance'!AB18+'Monthly Balance'!AC18)/2 ))</x:f>
        <x:v>0.01557093425605536</x:v>
      </x:c>
      <x:c r="AC18" s="44" t="n">
        <x:f>IF(( ('Monthly Balance'!AC18+'Monthly Balance'!AD18)/2 )=0,"",'Monthly NII'!AC18*12/( ('Monthly Balance'!AC18+'Monthly Balance'!AD18)/2 ))</x:f>
        <x:v>0.019498607242339833</x:v>
      </x:c>
      <x:c r="AD18" s="44" t="n">
        <x:f>IF(( ('Monthly Balance'!AD18+'Monthly Balance'!AE18)/2 )=0,"",'Monthly NII'!AD18*12/( ('Monthly Balance'!AD18+'Monthly Balance'!AE18)/2 ))</x:f>
        <x:v>0.019498607242339833</x:v>
      </x:c>
      <x:c r="AE18" s="44" t="n">
        <x:f>IF(( ('Monthly Balance'!AE18+'Monthly Balance'!AF18)/2 )=0,"",'Monthly NII'!AE18*12/( ('Monthly Balance'!AE18+'Monthly Balance'!AF18)/2 ))</x:f>
        <x:v>0.019498607242339833</x:v>
      </x:c>
      <x:c r="AF18" s="44" t="n">
        <x:f>IF(( ('Monthly Balance'!AF18+'Monthly Balance'!AG18)/2 )=0,"",'Monthly NII'!AF18*12/( ('Monthly Balance'!AF18+'Monthly Balance'!AG18)/2 ))</x:f>
        <x:v>0.019230769230769232</x:v>
      </x:c>
      <x:c r="AG18" s="44" t="n">
        <x:f>IF(( ('Monthly Balance'!AG18+'Monthly Balance'!AH18)/2 )=0,"",'Monthly NII'!AG18*12/( ('Monthly Balance'!AG18+'Monthly Balance'!AH18)/2 ))</x:f>
        <x:v>0.019230769230769232</x:v>
      </x:c>
      <x:c r="AH18" s="44" t="n">
        <x:f>IF(( ('Monthly Balance'!AH18+'Monthly Balance'!AI18)/2 )=0,"",'Monthly NII'!AH18*12/( ('Monthly Balance'!AH18+'Monthly Balance'!AI18)/2 ))</x:f>
        <x:v>0.019230769230769232</x:v>
      </x:c>
      <x:c r="AI18" s="44" t="n">
        <x:f>IF(( ('Monthly Balance'!AI18+'Monthly Balance'!AJ18)/2 )=0,"",'Monthly NII'!AI18*12/( ('Monthly Balance'!AI18+'Monthly Balance'!AJ18)/2 ))</x:f>
        <x:v>0.024526792855238604</x:v>
      </x:c>
      <x:c r="AJ18" s="44" t="n">
        <x:f>IF(( ('Monthly Balance'!AJ18+'Monthly Balance'!AK18)/2 )=0,"",'Monthly NII'!AJ18*12/( ('Monthly Balance'!AJ18+'Monthly Balance'!AK18)/2 ))</x:f>
        <x:v>0.024526792855238604</x:v>
      </x:c>
      <x:c r="AK18" s="44" t="n">
        <x:f>IF(( ('Monthly Balance'!AK18+'Monthly Balance'!AL18)/2 )=0,"",'Monthly NII'!AK18*12/( ('Monthly Balance'!AK18+'Monthly Balance'!AL18)/2 ))</x:f>
        <x:v>0.024526792855238604</x:v>
      </x:c>
      <x:c r="AL18" s="44" t="n">
        <x:f>IF(( ('Monthly Balance'!AL18+'Monthly Balance'!AM18)/2 )=0,"",'Monthly NII'!AL18*12/( ('Monthly Balance'!AL18+'Monthly Balance'!AM18)/2 ))</x:f>
        <x:v>0.024539877300613494</x:v>
      </x:c>
      <x:c r="AM18" s="44" t="n">
        <x:f>IF(( ('Monthly Balance'!AM18+'Monthly Balance'!AN18)/2 )=0,"",'Monthly NII'!AM18*12/( ('Monthly Balance'!AM18+'Monthly Balance'!AN18)/2 ))</x:f>
        <x:v>0.024539877300613498</x:v>
      </x:c>
      <x:c r="AN18" s="44" t="n">
        <x:f>IF(( ('Monthly Balance'!AN18+'Monthly Balance'!AO18)/2 )=0,"",'Monthly NII'!AN18*12/( ('Monthly Balance'!AN18+'Monthly Balance'!AO18)/2 ))</x:f>
        <x:v>0.024539877300613498</x:v>
      </x:c>
      <x:c r="AO18" s="44" t="n">
        <x:f>IF(( ('Monthly Balance'!AO18+'Monthly Balance'!AP18)/2 )=0,"",'Monthly NII'!AO18*12/( ('Monthly Balance'!AO18+'Monthly Balance'!AP18)/2 ))</x:f>
        <x:v>0.021886399166232414</x:v>
      </x:c>
      <x:c r="AP18" s="44" t="n">
        <x:f>IF(( ('Monthly Balance'!AP18+'Monthly Balance'!AQ18)/2 )=0,"",'Monthly NII'!AP18*12/( ('Monthly Balance'!AP18+'Monthly Balance'!AQ18)/2 ))</x:f>
        <x:v>0.021886399166232414</x:v>
      </x:c>
      <x:c r="AQ18" s="44" t="n">
        <x:f>IF(( ('Monthly Balance'!AQ18+'Monthly Balance'!AR18)/2 )=0,"",'Monthly NII'!AQ18*12/( ('Monthly Balance'!AQ18+'Monthly Balance'!AR18)/2 ))</x:f>
        <x:v>0.021886399166232414</x:v>
      </x:c>
    </x:row>
    <x:row r="19">
      <x:c r="A19" s="26" t="str">
        <x:v>  Total interest-bearing liabilities</x:v>
      </x:c>
      <x:c r="B19" s="47" t="n">
        <x:f>IF(( ('Monthly Balance'!B19+'Monthly Balance'!C19)/2 )=0,"",'Monthly NII'!B19*12/( ('Monthly Balance'!B19+'Monthly Balance'!C19)/2 ))</x:f>
        <x:v>0.028651920448523053</x:v>
      </x:c>
      <x:c r="C19" s="47" t="n">
        <x:f>IF(( ('Monthly Balance'!C19+'Monthly Balance'!D19)/2 )=0,"",'Monthly NII'!C19*12/( ('Monthly Balance'!C19+'Monthly Balance'!D19)/2 ))</x:f>
        <x:v>0.028651920448523053</x:v>
      </x:c>
      <x:c r="D19" s="47" t="n">
        <x:f>IF(( ('Monthly Balance'!D19+'Monthly Balance'!E19)/2 )=0,"",'Monthly NII'!D19*12/( ('Monthly Balance'!D19+'Monthly Balance'!E19)/2 ))</x:f>
        <x:v>0.028651920448523053</x:v>
      </x:c>
      <x:c r="E19" s="47" t="n">
        <x:f>IF(( ('Monthly Balance'!E19+'Monthly Balance'!F19)/2 )=0,"",'Monthly NII'!E19*12/( ('Monthly Balance'!E19+'Monthly Balance'!F19)/2 ))</x:f>
        <x:v>0.03360878415012007</x:v>
      </x:c>
      <x:c r="F19" s="47" t="n">
        <x:f>IF(( ('Monthly Balance'!F19+'Monthly Balance'!G19)/2 )=0,"",'Monthly NII'!F19*12/( ('Monthly Balance'!F19+'Monthly Balance'!G19)/2 ))</x:f>
        <x:v>0.03359023869643908</x:v>
      </x:c>
      <x:c r="G19" s="47" t="n">
        <x:f>IF(( ('Monthly Balance'!G19+'Monthly Balance'!H19)/2 )=0,"",'Monthly NII'!G19*12/( ('Monthly Balance'!G19+'Monthly Balance'!H19)/2 ))</x:f>
        <x:v>0.03357203343171739</x:v>
      </x:c>
      <x:c r="H19" s="47" t="n">
        <x:f>IF(( ('Monthly Balance'!H19+'Monthly Balance'!I19)/2 )=0,"",'Monthly NII'!H19*12/( ('Monthly Balance'!H19+'Monthly Balance'!I19)/2 ))</x:f>
        <x:v>0.037454081101238386</x:v>
      </x:c>
      <x:c r="I19" s="47" t="n">
        <x:f>IF(( ('Monthly Balance'!I19+'Monthly Balance'!J19)/2 )=0,"",'Monthly NII'!I19*12/( ('Monthly Balance'!I19+'Monthly Balance'!J19)/2 ))</x:f>
        <x:v>0.037533045398666226</x:v>
      </x:c>
      <x:c r="J19" s="47" t="n">
        <x:f>IF(( ('Monthly Balance'!J19+'Monthly Balance'!K19)/2 )=0,"",'Monthly NII'!J19*12/( ('Monthly Balance'!J19+'Monthly Balance'!K19)/2 ))</x:f>
        <x:v>0.03761227645574056</x:v>
      </x:c>
      <x:c r="K19" s="47" t="n">
        <x:f>IF(( ('Monthly Balance'!K19+'Monthly Balance'!L19)/2 )=0,"",'Monthly NII'!K19*12/( ('Monthly Balance'!K19+'Monthly Balance'!L19)/2 ))</x:f>
        <x:v>0.03921638823285349</x:v>
      </x:c>
      <x:c r="L19" s="47" t="n">
        <x:f>IF(( ('Monthly Balance'!L19+'Monthly Balance'!M19)/2 )=0,"",'Monthly NII'!L19*12/( ('Monthly Balance'!L19+'Monthly Balance'!M19)/2 ))</x:f>
        <x:v>0.039219397702106716</x:v>
      </x:c>
      <x:c r="M19" s="47" t="n">
        <x:f>IF(( ('Monthly Balance'!M19+'Monthly Balance'!N19)/2 )=0,"",'Monthly NII'!M19*12/( ('Monthly Balance'!M19+'Monthly Balance'!N19)/2 ))</x:f>
        <x:v>0.03922237403353968</x:v>
      </x:c>
      <x:c r="N19" s="47" t="n">
        <x:f>IF(( ('Monthly Balance'!N19+'Monthly Balance'!O19)/2 )=0,"",'Monthly NII'!N19*12/( ('Monthly Balance'!N19+'Monthly Balance'!O19)/2 ))</x:f>
        <x:v>0.039835546695124</x:v>
      </x:c>
      <x:c r="O19" s="47" t="n">
        <x:f>IF(( ('Monthly Balance'!O19+'Monthly Balance'!P19)/2 )=0,"",'Monthly NII'!O19*12/( ('Monthly Balance'!O19+'Monthly Balance'!P19)/2 ))</x:f>
        <x:v>0.03978752662658074</x:v>
      </x:c>
      <x:c r="P19" s="47" t="n">
        <x:f>IF(( ('Monthly Balance'!P19+'Monthly Balance'!Q19)/2 )=0,"",'Monthly NII'!P19*12/( ('Monthly Balance'!P19+'Monthly Balance'!Q19)/2 ))</x:f>
        <x:v>0.039739156903442235</x:v>
      </x:c>
      <x:c r="Q19" s="47" t="n">
        <x:f>IF(( ('Monthly Balance'!Q19+'Monthly Balance'!R19)/2 )=0,"",'Monthly NII'!Q19*12/( ('Monthly Balance'!Q19+'Monthly Balance'!R19)/2 ))</x:f>
        <x:v>0.0400699031127538</x:v>
      </x:c>
      <x:c r="R19" s="47" t="n">
        <x:f>IF(( ('Monthly Balance'!R19+'Monthly Balance'!S19)/2 )=0,"",'Monthly NII'!R19*12/( ('Monthly Balance'!R19+'Monthly Balance'!S19)/2 ))</x:f>
        <x:v>0.039987898680902675</x:v>
      </x:c>
      <x:c r="S19" s="47" t="n">
        <x:f>IF(( ('Monthly Balance'!S19+'Monthly Balance'!T19)/2 )=0,"",'Monthly NII'!S19*12/( ('Monthly Balance'!S19+'Monthly Balance'!T19)/2 ))</x:f>
        <x:v>0.0399072474160583</x:v>
      </x:c>
      <x:c r="T19" s="47" t="n">
        <x:f>IF(( ('Monthly Balance'!T19+'Monthly Balance'!U19)/2 )=0,"",'Monthly NII'!T19*12/( ('Monthly Balance'!T19+'Monthly Balance'!U19)/2 ))</x:f>
        <x:v>0.04031135014582275</x:v>
      </x:c>
      <x:c r="U19" s="47" t="n">
        <x:f>IF(( ('Monthly Balance'!U19+'Monthly Balance'!V19)/2 )=0,"",'Monthly NII'!U19*12/( ('Monthly Balance'!U19+'Monthly Balance'!V19)/2 ))</x:f>
        <x:v>0.04038722209770207</x:v>
      </x:c>
      <x:c r="V19" s="47" t="n">
        <x:f>IF(( ('Monthly Balance'!V19+'Monthly Balance'!W19)/2 )=0,"",'Monthly NII'!V19*12/( ('Monthly Balance'!V19+'Monthly Balance'!W19)/2 ))</x:f>
        <x:v>0.04046401794616699</x:v>
      </x:c>
      <x:c r="W19" s="47" t="n">
        <x:f>IF(( ('Monthly Balance'!W19+'Monthly Balance'!X19)/2 )=0,"",'Monthly NII'!W19*12/( ('Monthly Balance'!W19+'Monthly Balance'!X19)/2 ))</x:f>
        <x:v>0.038321284832260154</x:v>
      </x:c>
      <x:c r="X19" s="47" t="n">
        <x:f>IF(( ('Monthly Balance'!X19+'Monthly Balance'!Y19)/2 )=0,"",'Monthly NII'!X19*12/( ('Monthly Balance'!X19+'Monthly Balance'!Y19)/2 ))</x:f>
        <x:v>0.03810937886661718</x:v>
      </x:c>
      <x:c r="Y19" s="47" t="n">
        <x:f>IF(( ('Monthly Balance'!Y19+'Monthly Balance'!Z19)/2 )=0,"",'Monthly NII'!Y19*12/( ('Monthly Balance'!Y19+'Monthly Balance'!Z19)/2 ))</x:f>
        <x:v>0.03790369084676899</x:v>
      </x:c>
      <x:c r="Z19" s="47" t="n">
        <x:f>IF(( ('Monthly Balance'!Z19+'Monthly Balance'!AA19)/2 )=0,"",'Monthly NII'!Z19*12/( ('Monthly Balance'!Z19+'Monthly Balance'!AA19)/2 ))</x:f>
        <x:v>0.03534323441349223</x:v>
      </x:c>
      <x:c r="AA19" s="47" t="n">
        <x:f>IF(( ('Monthly Balance'!AA19+'Monthly Balance'!AB19)/2 )=0,"",'Monthly NII'!AA19*12/( ('Monthly Balance'!AA19+'Monthly Balance'!AB19)/2 ))</x:f>
        <x:v>0.03544899457073402</x:v>
      </x:c>
      <x:c r="AB19" s="47" t="n">
        <x:f>IF(( ('Monthly Balance'!AB19+'Monthly Balance'!AC19)/2 )=0,"",'Monthly NII'!AB19*12/( ('Monthly Balance'!AB19+'Monthly Balance'!AC19)/2 ))</x:f>
        <x:v>0.03555627922002475</x:v>
      </x:c>
      <x:c r="AC19" s="47" t="n">
        <x:f>IF(( ('Monthly Balance'!AC19+'Monthly Balance'!AD19)/2 )=0,"",'Monthly NII'!AC19*12/( ('Monthly Balance'!AC19+'Monthly Balance'!AD19)/2 ))</x:f>
        <x:v>0.03541376092712061</x:v>
      </x:c>
      <x:c r="AD19" s="47" t="n">
        <x:f>IF(( ('Monthly Balance'!AD19+'Monthly Balance'!AE19)/2 )=0,"",'Monthly NII'!AD19*12/( ('Monthly Balance'!AD19+'Monthly Balance'!AE19)/2 ))</x:f>
        <x:v>0.035171107022751565</x:v>
      </x:c>
      <x:c r="AE19" s="47" t="n">
        <x:f>IF(( ('Monthly Balance'!AE19+'Monthly Balance'!AF19)/2 )=0,"",'Monthly NII'!AE19*12/( ('Monthly Balance'!AE19+'Monthly Balance'!AF19)/2 ))</x:f>
        <x:v>0.03496663360633024</x:v>
      </x:c>
      <x:c r="AF19" s="47" t="n">
        <x:f>IF(( ('Monthly Balance'!AF19+'Monthly Balance'!AG19)/2 )=0,"",'Monthly NII'!AF19*12/( ('Monthly Balance'!AF19+'Monthly Balance'!AG19)/2 ))</x:f>
        <x:v>0.03533943032776219</x:v>
      </x:c>
      <x:c r="AG19" s="47" t="n">
        <x:f>IF(( ('Monthly Balance'!AG19+'Monthly Balance'!AH19)/2 )=0,"",'Monthly NII'!AG19*12/( ('Monthly Balance'!AG19+'Monthly Balance'!AH19)/2 ))</x:f>
        <x:v>0.035450697180779034</x:v>
      </x:c>
      <x:c r="AH19" s="47" t="n">
        <x:f>IF(( ('Monthly Balance'!AH19+'Monthly Balance'!AI19)/2 )=0,"",'Monthly NII'!AH19*12/( ('Monthly Balance'!AH19+'Monthly Balance'!AI19)/2 ))</x:f>
        <x:v>0.03556194111185873</x:v>
      </x:c>
      <x:c r="AI19" s="47" t="n">
        <x:f>IF(( ('Monthly Balance'!AI19+'Monthly Balance'!AJ19)/2 )=0,"",'Monthly NII'!AI19*12/( ('Monthly Balance'!AI19+'Monthly Balance'!AJ19)/2 ))</x:f>
        <x:v>0.03414097860879201</x:v>
      </x:c>
      <x:c r="AJ19" s="47" t="n">
        <x:f>IF(( ('Monthly Balance'!AJ19+'Monthly Balance'!AK19)/2 )=0,"",'Monthly NII'!AJ19*12/( ('Monthly Balance'!AJ19+'Monthly Balance'!AK19)/2 ))</x:f>
        <x:v>0.034029345372460496</x:v>
      </x:c>
      <x:c r="AK19" s="47" t="n">
        <x:f>IF(( ('Monthly Balance'!AK19+'Monthly Balance'!AL19)/2 )=0,"",'Monthly NII'!AK19*12/( ('Monthly Balance'!AK19+'Monthly Balance'!AL19)/2 ))</x:f>
        <x:v>0.03391897867878031</x:v>
      </x:c>
      <x:c r="AL19" s="47" t="n">
        <x:f>IF(( ('Monthly Balance'!AL19+'Monthly Balance'!AM19)/2 )=0,"",'Monthly NII'!AL19*12/( ('Monthly Balance'!AL19+'Monthly Balance'!AM19)/2 ))</x:f>
        <x:v>0.032159941080323086</x:v>
      </x:c>
      <x:c r="AM19" s="47" t="n">
        <x:f>IF(( ('Monthly Balance'!AM19+'Monthly Balance'!AN19)/2 )=0,"",'Monthly NII'!AM19*12/( ('Monthly Balance'!AM19+'Monthly Balance'!AN19)/2 ))</x:f>
        <x:v>0.032267426364761695</x:v>
      </x:c>
      <x:c r="AN19" s="47" t="n">
        <x:f>IF(( ('Monthly Balance'!AN19+'Monthly Balance'!AO19)/2 )=0,"",'Monthly NII'!AN19*12/( ('Monthly Balance'!AN19+'Monthly Balance'!AO19)/2 ))</x:f>
        <x:v>0.032373196401384335</x:v>
      </x:c>
      <x:c r="AO19" s="47" t="n">
        <x:f>IF(( ('Monthly Balance'!AO19+'Monthly Balance'!AP19)/2 )=0,"",'Monthly NII'!AO19*12/( ('Monthly Balance'!AO19+'Monthly Balance'!AP19)/2 ))</x:f>
        <x:v>0.03166139283313463</x:v>
      </x:c>
      <x:c r="AP19" s="47" t="n">
        <x:f>IF(( ('Monthly Balance'!AP19+'Monthly Balance'!AQ19)/2 )=0,"",'Monthly NII'!AP19*12/( ('Monthly Balance'!AP19+'Monthly Balance'!AQ19)/2 ))</x:f>
        <x:v>0.0314800571365784</x:v>
      </x:c>
      <x:c r="AQ19" s="47" t="n">
        <x:f>IF(( ('Monthly Balance'!AQ19+'Monthly Balance'!AR19)/2 )=0,"",'Monthly NII'!AQ19*12/( ('Monthly Balance'!AQ19+'Monthly Balance'!AR19)/2 ))</x:f>
        <x:v>0.03129730601993643</x:v>
      </x:c>
    </x:row>
    <x:row r="20">
      <x:c r="A20" s="20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  <x:c r="AA20" s="44"/>
      <x:c r="AB20" s="44"/>
      <x:c r="AC20" s="44"/>
      <x:c r="AD20" s="44"/>
      <x:c r="AE20" s="44"/>
      <x:c r="AF20" s="44"/>
      <x:c r="AG20" s="44"/>
      <x:c r="AH20" s="44"/>
      <x:c r="AI20" s="44"/>
      <x:c r="AJ20" s="44"/>
      <x:c r="AK20" s="44"/>
      <x:c r="AL20" s="44"/>
      <x:c r="AM20" s="44"/>
      <x:c r="AN20" s="44"/>
      <x:c r="AO20" s="44"/>
      <x:c r="AP20" s="44"/>
      <x:c r="AQ20" s="44"/>
    </x:row>
    <x:row r="21">
      <x:c r="A21" s="26" t="str">
        <x:v>Net interest spread (asset yield − funding cost)</x:v>
      </x:c>
      <x:c r="B21" s="47" t="n">
        <x:f>B12-B19</x:f>
        <x:v>0.06099902084500014</x:v>
      </x:c>
      <x:c r="C21" s="47" t="n">
        <x:f>C12-C19</x:f>
        <x:v>0.06099902084500014</x:v>
      </x:c>
      <x:c r="D21" s="47" t="n">
        <x:f>D12-D19</x:f>
        <x:v>0.06099902084500014</x:v>
      </x:c>
      <x:c r="E21" s="47" t="n">
        <x:f>E12-E19</x:f>
        <x:v>0.0590257934675055</x:v>
      </x:c>
      <x:c r="F21" s="47" t="n">
        <x:f>F12-F19</x:f>
        <x:v>0.05900914327601156</x:v>
      </x:c>
      <x:c r="G21" s="47" t="n">
        <x:f>G12-G19</x:f>
        <x:v>0.05899257143070021</x:v>
      </x:c>
      <x:c r="H21" s="47" t="n">
        <x:f>H12-H19</x:f>
        <x:v>0.060460610875606856</x:v>
      </x:c>
      <x:c r="I21" s="47" t="n">
        <x:f>I12-I19</x:f>
        <x:v>0.06052526831939696</x:v>
      </x:c>
      <x:c r="J21" s="47" t="n">
        <x:f>J12-J19</x:f>
        <x:v>0.06058946355314313</x:v>
      </x:c>
      <x:c r="K21" s="47" t="n">
        <x:f>K12-K19</x:f>
        <x:v>0.06057106868848068</x:v>
      </x:c>
      <x:c r="L21" s="47" t="n">
        <x:f>L12-L19</x:f>
        <x:v>0.06051460022625394</x:v>
      </x:c>
      <x:c r="M21" s="47" t="n">
        <x:f>M12-M19</x:f>
        <x:v>0.060458641795078254</x:v>
      </x:c>
      <x:c r="N21" s="47" t="n">
        <x:f>N12-N19</x:f>
        <x:v>0.06013567957801959</x:v>
      </x:c>
      <x:c r="O21" s="47" t="n">
        <x:f>O12-O19</x:f>
        <x:v>0.060051018447927464</x:v>
      </x:c>
      <x:c r="P21" s="47" t="n">
        <x:f>P12-P19</x:f>
        <x:v>0.059965838964866874</x:v>
      </x:c>
      <x:c r="Q21" s="47" t="n">
        <x:f>Q12-Q19</x:f>
        <x:v>0.060075537545431774</x:v>
      </x:c>
      <x:c r="R21" s="47" t="n">
        <x:f>R12-R19</x:f>
        <x:v>0.060076859540286576</x:v>
      </x:c>
      <x:c r="S21" s="47" t="n">
        <x:f>S12-S19</x:f>
        <x:v>0.06007808182406304</x:v>
      </x:c>
      <x:c r="T21" s="47" t="n">
        <x:f>T12-T19</x:f>
        <x:v>0.06396310170346704</x:v>
      </x:c>
      <x:c r="U21" s="47" t="n">
        <x:f>U12-U19</x:f>
        <x:v>0.06399489036390274</x:v>
      </x:c>
      <x:c r="V21" s="47" t="n">
        <x:f>V12-V19</x:f>
        <x:v>0.06402629944153954</x:v>
      </x:c>
      <x:c r="W21" s="47" t="n">
        <x:f>W12-W19</x:f>
        <x:v>0.06360495133677324</x:v>
      </x:c>
      <x:c r="X21" s="47" t="n">
        <x:f>X12-X19</x:f>
        <x:v>0.06362497612263807</x:v>
      </x:c>
      <x:c r="Y21" s="47" t="n">
        <x:f>Y12-Y19</x:f>
        <x:v>0.06364313416549437</x:v>
      </x:c>
      <x:c r="Z21" s="47" t="n">
        <x:f>Z12-Z19</x:f>
        <x:v>0.06329649888471037</x:v>
      </x:c>
      <x:c r="AA21" s="47" t="n">
        <x:f>AA12-AA19</x:f>
        <x:v>0.06324344726334805</x:v>
      </x:c>
      <x:c r="AB21" s="47" t="n">
        <x:f>AB12-AB19</x:f>
        <x:v>0.06318976617562264</x:v>
      </x:c>
      <x:c r="AC21" s="47" t="n">
        <x:f>AC12-AC19</x:f>
        <x:v>0.06855413178541389</x:v>
      </x:c>
      <x:c r="AD21" s="47" t="n">
        <x:f>AD12-AD19</x:f>
        <x:v>0.07019933355111652</x:v>
      </x:c>
      <x:c r="AE21" s="47" t="n">
        <x:f>AE12-AE19</x:f>
        <x:v>0.07158335608813357</x:v>
      </x:c>
      <x:c r="AF21" s="47" t="n">
        <x:f>AF12-AF19</x:f>
        <x:v>0.07747273705789581</x:v>
      </x:c>
      <x:c r="AG21" s="47" t="n">
        <x:f>AG12-AG19</x:f>
        <x:v>0.07757473741897453</x:v>
      </x:c>
      <x:c r="AH21" s="47" t="n">
        <x:f>AH12-AH19</x:f>
        <x:v>0.0776766092900342</x:v>
      </x:c>
      <x:c r="AI21" s="47" t="n">
        <x:f>AI12-AI19</x:f>
        <x:v>0.0767867430936591</x:v>
      </x:c>
      <x:c r="AJ21" s="47" t="n">
        <x:f>AJ12-AJ19</x:f>
        <x:v>0.07641530902882882</x:v>
      </x:c>
      <x:c r="AK21" s="47" t="n">
        <x:f>AK12-AK19</x:f>
        <x:v>0.07605397669948223</x:v>
      </x:c>
      <x:c r="AL21" s="47" t="n">
        <x:f>AL12-AL19</x:f>
        <x:v>0.07344231048402663</x:v>
      </x:c>
      <x:c r="AM21" s="47" t="n">
        <x:f>AM12-AM19</x:f>
        <x:v>0.07292836152615381</x:v>
      </x:c>
      <x:c r="AN21" s="47" t="n">
        <x:f>AN12-AN19</x:f>
        <x:v>0.07241789950382232</x:v>
      </x:c>
      <x:c r="AO21" s="47" t="n">
        <x:f>AO12-AO19</x:f>
        <x:v>0.07366940275187826</x:v>
      </x:c>
      <x:c r="AP21" s="47" t="n">
        <x:f>AP12-AP19</x:f>
        <x:v>0.07464333032713094</x:v>
      </x:c>
      <x:c r="AQ21" s="47" t="n">
        <x:f>AQ12-AQ19</x:f>
        <x:v>0.0756214365359614</x:v>
      </x:c>
    </x:row>
    <x:row r="22">
      <x:c r="A22" s="26" t="str">
        <x:v>Net interest margin (NII / avg earning assets)</x:v>
      </x:c>
      <x:c r="B22" s="47" t="n">
        <x:f>IF(( ('Monthly Balance'!B12+'Monthly Balance'!C12)/2 )=0,"",'Monthly NII'!B21*12/( ('Monthly Balance'!B12+'Monthly Balance'!C12)/2 ))</x:f>
        <x:v>0.06604794588222858</x:v>
      </x:c>
      <x:c r="C22" s="47" t="n">
        <x:f>IF(( ('Monthly Balance'!C12+'Monthly Balance'!D12)/2 )=0,"",'Monthly NII'!C21*12/( ('Monthly Balance'!C12+'Monthly Balance'!D12)/2 ))</x:f>
        <x:v>0.06604794588222858</x:v>
      </x:c>
      <x:c r="D22" s="47" t="n">
        <x:f>IF(( ('Monthly Balance'!D12+'Monthly Balance'!E12)/2 )=0,"",'Monthly NII'!D21*12/( ('Monthly Balance'!D12+'Monthly Balance'!E12)/2 ))</x:f>
        <x:v>0.06604794588222858</x:v>
      </x:c>
      <x:c r="E22" s="47" t="n">
        <x:f>IF(( ('Monthly Balance'!E12+'Monthly Balance'!F12)/2 )=0,"",'Monthly NII'!E21*12/( ('Monthly Balance'!E12+'Monthly Balance'!F12)/2 ))</x:f>
        <x:v>0.06490194176283992</x:v>
      </x:c>
      <x:c r="F22" s="47" t="n">
        <x:f>IF(( ('Monthly Balance'!F12+'Monthly Balance'!G12)/2 )=0,"",'Monthly NII'!F21*12/( ('Monthly Balance'!F12+'Monthly Balance'!G12)/2 ))</x:f>
        <x:v>0.0647904194343932</x:v>
      </x:c>
      <x:c r="G22" s="47" t="n">
        <x:f>IF(( ('Monthly Balance'!G12+'Monthly Balance'!H12)/2 )=0,"",'Monthly NII'!G21*12/( ('Monthly Balance'!G12+'Monthly Balance'!H12)/2 ))</x:f>
        <x:v>0.06468022329313045</x:v>
      </x:c>
      <x:c r="H22" s="47" t="n">
        <x:f>IF(( ('Monthly Balance'!H12+'Monthly Balance'!I12)/2 )=0,"",'Monthly NII'!H21*12/( ('Monthly Balance'!H12+'Monthly Balance'!I12)/2 ))</x:f>
        <x:v>0.0667927276394545</x:v>
      </x:c>
      <x:c r="I22" s="47" t="n">
        <x:f>IF(( ('Monthly Balance'!I12+'Monthly Balance'!J12)/2 )=0,"",'Monthly NII'!I21*12/( ('Monthly Balance'!I12+'Monthly Balance'!J12)/2 ))</x:f>
        <x:v>0.06694443692901526</x:v>
      </x:c>
      <x:c r="J22" s="47" t="n">
        <x:f>IF(( ('Monthly Balance'!J12+'Monthly Balance'!K12)/2 )=0,"",'Monthly NII'!J21*12/( ('Monthly Balance'!J12+'Monthly Balance'!K12)/2 ))</x:f>
        <x:v>0.06709593976208353</x:v>
      </x:c>
      <x:c r="K22" s="47" t="n">
        <x:f>IF(( ('Monthly Balance'!K12+'Monthly Balance'!L12)/2 )=0,"",'Monthly NII'!K21*12/( ('Monthly Balance'!K12+'Monthly Balance'!L12)/2 ))</x:f>
        <x:v>0.06737612886946041</x:v>
      </x:c>
      <x:c r="L22" s="47" t="n">
        <x:f>IF(( ('Monthly Balance'!L12+'Monthly Balance'!M12)/2 )=0,"",'Monthly NII'!L21*12/( ('Monthly Balance'!L12+'Monthly Balance'!M12)/2 ))</x:f>
        <x:v>0.067285772133095</x:v>
      </x:c>
      <x:c r="M22" s="47" t="n">
        <x:f>IF(( ('Monthly Balance'!M12+'Monthly Balance'!N12)/2 )=0,"",'Monthly NII'!M21*12/( ('Monthly Balance'!M12+'Monthly Balance'!N12)/2 ))</x:f>
        <x:v>0.0671962214447588</x:v>
      </x:c>
      <x:c r="N22" s="47" t="n">
        <x:f>IF(( ('Monthly Balance'!N12+'Monthly Balance'!O12)/2 )=0,"",'Monthly NII'!N21*12/( ('Monthly Balance'!N12+'Monthly Balance'!O12)/2 ))</x:f>
        <x:v>0.06696739267981151</x:v>
      </x:c>
      <x:c r="O22" s="47" t="n">
        <x:f>IF(( ('Monthly Balance'!O12+'Monthly Balance'!P12)/2 )=0,"",'Monthly NII'!O21*12/( ('Monthly Balance'!O12+'Monthly Balance'!P12)/2 ))</x:f>
        <x:v>0.06688655502531247</x:v>
      </x:c>
      <x:c r="P22" s="47" t="n">
        <x:f>IF(( ('Monthly Balance'!P12+'Monthly Balance'!Q12)/2 )=0,"",'Monthly NII'!P21*12/( ('Monthly Balance'!P12+'Monthly Balance'!Q12)/2 ))</x:f>
        <x:v>0.06680518852651401</x:v>
      </x:c>
      <x:c r="Q22" s="47" t="n">
        <x:f>IF(( ('Monthly Balance'!Q12+'Monthly Balance'!R12)/2 )=0,"",'Monthly NII'!Q21*12/( ('Monthly Balance'!Q12+'Monthly Balance'!R12)/2 ))</x:f>
        <x:v>0.06696964932345674</x:v>
      </x:c>
      <x:c r="R22" s="47" t="n">
        <x:f>IF(( ('Monthly Balance'!R12+'Monthly Balance'!S12)/2 )=0,"",'Monthly NII'!R21*12/( ('Monthly Balance'!R12+'Monthly Balance'!S12)/2 ))</x:f>
        <x:v>0.06694048453343031</x:v>
      </x:c>
      <x:c r="S22" s="47" t="n">
        <x:f>IF(( ('Monthly Balance'!S12+'Monthly Balance'!T12)/2 )=0,"",'Monthly NII'!S21*12/( ('Monthly Balance'!S12+'Monthly Balance'!T12)/2 ))</x:f>
        <x:v>0.06691177283803418</x:v>
      </x:c>
      <x:c r="T22" s="47" t="n">
        <x:f>IF(( ('Monthly Balance'!T12+'Monthly Balance'!U12)/2 )=0,"",'Monthly NII'!T21*12/( ('Monthly Balance'!T12+'Monthly Balance'!U12)/2 ))</x:f>
        <x:v>0.07091626327746396</x:v>
      </x:c>
      <x:c r="U22" s="47" t="n">
        <x:f>IF(( ('Monthly Balance'!U12+'Monthly Balance'!V12)/2 )=0,"",'Monthly NII'!U21*12/( ('Monthly Balance'!U12+'Monthly Balance'!V12)/2 ))</x:f>
        <x:v>0.07107840980100509</x:v>
      </x:c>
      <x:c r="V22" s="47" t="n">
        <x:f>IF(( ('Monthly Balance'!V12+'Monthly Balance'!W12)/2 )=0,"",'Monthly NII'!V21*12/( ('Monthly Balance'!V12+'Monthly Balance'!W12)/2 ))</x:f>
        <x:v>0.07124137610985426</x:v>
      </x:c>
      <x:c r="W22" s="47" t="n">
        <x:f>IF(( ('Monthly Balance'!W12+'Monthly Balance'!X12)/2 )=0,"",'Monthly NII'!W21*12/( ('Monthly Balance'!W12+'Monthly Balance'!X12)/2 ))</x:f>
        <x:v>0.07043844911790965</x:v>
      </x:c>
      <x:c r="X22" s="47" t="n">
        <x:f>IF(( ('Monthly Balance'!X12+'Monthly Balance'!Y12)/2 )=0,"",'Monthly NII'!X21*12/( ('Monthly Balance'!X12+'Monthly Balance'!Y12)/2 ))</x:f>
        <x:v>0.07031192341921899</x:v>
      </x:c>
      <x:c r="Y22" s="47" t="n">
        <x:f>IF(( ('Monthly Balance'!Y12+'Monthly Balance'!Z12)/2 )=0,"",'Monthly NII'!Y21*12/( ('Monthly Balance'!Y12+'Monthly Balance'!Z12)/2 ))</x:f>
        <x:v>0.07018826688660973</x:v>
      </x:c>
      <x:c r="Z22" s="47" t="n">
        <x:f>IF(( ('Monthly Balance'!Z12+'Monthly Balance'!AA12)/2 )=0,"",'Monthly NII'!Z21*12/( ('Monthly Balance'!Z12+'Monthly Balance'!AA12)/2 ))</x:f>
        <x:v>0.06933289180431866</x:v>
      </x:c>
      <x:c r="AA22" s="47" t="n">
        <x:f>IF(( ('Monthly Balance'!AA12+'Monthly Balance'!AB12)/2 )=0,"",'Monthly NII'!AA21*12/( ('Monthly Balance'!AA12+'Monthly Balance'!AB12)/2 ))</x:f>
        <x:v>0.0692610383969609</x:v>
      </x:c>
      <x:c r="AB22" s="47" t="n">
        <x:f>IF(( ('Monthly Balance'!AB12+'Monthly Balance'!AC12)/2 )=0,"",'Monthly NII'!AB21*12/( ('Monthly Balance'!AB12+'Monthly Balance'!AC12)/2 ))</x:f>
        <x:v>0.06918796487137897</x:v>
      </x:c>
      <x:c r="AC22" s="47" t="n">
        <x:f>IF(( ('Monthly Balance'!AC12+'Monthly Balance'!AD12)/2 )=0,"",'Monthly NII'!AC21*12/( ('Monthly Balance'!AC12+'Monthly Balance'!AD12)/2 ))</x:f>
        <x:v>0.07452730860256478</x:v>
      </x:c>
      <x:c r="AD22" s="47" t="n">
        <x:f>IF(( ('Monthly Balance'!AD12+'Monthly Balance'!AE12)/2 )=0,"",'Monthly NII'!AD21*12/( ('Monthly Balance'!AD12+'Monthly Balance'!AE12)/2 ))</x:f>
        <x:v>0.07616268104829414</x:v>
      </x:c>
      <x:c r="AE22" s="47" t="n">
        <x:f>IF(( ('Monthly Balance'!AE12+'Monthly Balance'!AF12)/2 )=0,"",'Monthly NII'!AE21*12/( ('Monthly Balance'!AE12+'Monthly Balance'!AF12)/2 ))</x:f>
        <x:v>0.07753803670166373</x:v>
      </x:c>
      <x:c r="AF22" s="47" t="n">
        <x:f>IF(( ('Monthly Balance'!AF12+'Monthly Balance'!AG12)/2 )=0,"",'Monthly NII'!AF21*12/( ('Monthly Balance'!AF12+'Monthly Balance'!AG12)/2 ))</x:f>
        <x:v>0.08350623244450045</x:v>
      </x:c>
      <x:c r="AG22" s="47" t="n">
        <x:f>IF(( ('Monthly Balance'!AG12+'Monthly Balance'!AH12)/2 )=0,"",'Monthly NII'!AG21*12/( ('Monthly Balance'!AG12+'Monthly Balance'!AH12)/2 ))</x:f>
        <x:v>0.08363464122026742</x:v>
      </x:c>
      <x:c r="AH22" s="47" t="n">
        <x:f>IF(( ('Monthly Balance'!AH12+'Monthly Balance'!AI12)/2 )=0,"",'Monthly NII'!AH21*12/( ('Monthly Balance'!AH12+'Monthly Balance'!AI12)/2 ))</x:f>
        <x:v>0.08376295883047948</x:v>
      </x:c>
      <x:c r="AI22" s="47" t="n">
        <x:f>IF(( ('Monthly Balance'!AI12+'Monthly Balance'!AJ12)/2 )=0,"",'Monthly NII'!AI21*12/( ('Monthly Balance'!AI12+'Monthly Balance'!AJ12)/2 ))</x:f>
        <x:v>0.08272302277465282</x:v>
      </x:c>
      <x:c r="AJ22" s="47" t="n">
        <x:f>IF(( ('Monthly Balance'!AJ12+'Monthly Balance'!AK12)/2 )=0,"",'Monthly NII'!AJ21*12/( ('Monthly Balance'!AJ12+'Monthly Balance'!AK12)/2 ))</x:f>
        <x:v>0.08250752452606655</x:v>
      </x:c>
      <x:c r="AK22" s="47" t="n">
        <x:f>IF(( ('Monthly Balance'!AK12+'Monthly Balance'!AL12)/2 )=0,"",'Monthly NII'!AK21*12/( ('Monthly Balance'!AK12+'Monthly Balance'!AL12)/2 ))</x:f>
        <x:v>0.08229709771167101</x:v>
      </x:c>
      <x:c r="AL22" s="47" t="n">
        <x:f>IF(( ('Monthly Balance'!AL12+'Monthly Balance'!AM12)/2 )=0,"",'Monthly NII'!AL21*12/( ('Monthly Balance'!AL12+'Monthly Balance'!AM12)/2 ))</x:f>
        <x:v>0.07936340566458798</x:v>
      </x:c>
      <x:c r="AM22" s="47" t="n">
        <x:f>IF(( ('Monthly Balance'!AM12+'Monthly Balance'!AN12)/2 )=0,"",'Monthly NII'!AM21*12/( ('Monthly Balance'!AM12+'Monthly Balance'!AN12)/2 ))</x:f>
        <x:v>0.07871374800906715</x:v>
      </x:c>
      <x:c r="AN22" s="47" t="n">
        <x:f>IF(( ('Monthly Balance'!AN12+'Monthly Balance'!AO12)/2 )=0,"",'Monthly NII'!AN21*12/( ('Monthly Balance'!AN12+'Monthly Balance'!AO12)/2 ))</x:f>
        <x:v>0.07806692207153047</x:v>
      </x:c>
      <x:c r="AO22" s="47" t="n">
        <x:f>IF(( ('Monthly Balance'!AO12+'Monthly Balance'!AP12)/2 )=0,"",'Monthly NII'!AO21*12/( ('Monthly Balance'!AO12+'Monthly Balance'!AP12)/2 ))</x:f>
        <x:v>0.07914644279739563</x:v>
      </x:c>
      <x:c r="AP22" s="47" t="n">
        <x:f>IF(( ('Monthly Balance'!AP12+'Monthly Balance'!AQ12)/2 )=0,"",'Monthly NII'!AP21*12/( ('Monthly Balance'!AP12+'Monthly Balance'!AQ12)/2 ))</x:f>
        <x:v>0.0801446931019798</x:v>
      </x:c>
      <x:c r="AQ22" s="47" t="n">
        <x:f>IF(( ('Monthly Balance'!AQ12+'Monthly Balance'!AR12)/2 )=0,"",'Monthly NII'!AQ21*12/( ('Monthly Balance'!AQ12+'Monthly Balance'!AR12)/2 ))</x:f>
        <x:v>0.08114642360713657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xSplit="1" ySplit="4" topLeftCell="B5" activePane="bottomRight" state="frozen"/>
    </x:sheetView>
  </x:sheetViews>
  <x:sheetFormatPr defaultRowHeight="15"/>
  <x:cols>
    <x:col min="1" max="1" width="4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8" t="str">
        <x:v>Monthly Imputation Checks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  <x:c r="M1" s="20"/>
      <x:c r="N1" s="20"/>
      <x:c r="O1" s="20"/>
    </x:row>
    <x:row r="2">
      <x:c r="A2" s="29" t="str">
        <x:v>All differences should equal 0.00. Checks are terminal and do not feed the monthly schedules.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</x:row>
    <x:row r="4">
      <x:c r="A4" s="23" t="str">
        <x:v>Line item</x:v>
      </x:c>
      <x:c r="B4" s="23" t="str">
        <x:v>Q1:23</x:v>
      </x:c>
      <x:c r="C4" s="23" t="str">
        <x:v>Q2:23</x:v>
      </x:c>
      <x:c r="D4" s="23" t="str">
        <x:v>Q3:23</x:v>
      </x:c>
      <x:c r="E4" s="23" t="str">
        <x:v>Q4:23</x:v>
      </x:c>
      <x:c r="F4" s="23" t="str">
        <x:v>Q1:24</x:v>
      </x:c>
      <x:c r="G4" s="23" t="str">
        <x:v>Q2:24</x:v>
      </x:c>
      <x:c r="H4" s="23" t="str">
        <x:v>Q3:24</x:v>
      </x:c>
      <x:c r="I4" s="23" t="str">
        <x:v>Q4:24</x:v>
      </x:c>
      <x:c r="J4" s="23" t="str">
        <x:v>Q1:25</x:v>
      </x:c>
      <x:c r="K4" s="23" t="str">
        <x:v>Q2:25</x:v>
      </x:c>
      <x:c r="L4" s="23" t="str">
        <x:v>Q3:25</x:v>
      </x:c>
      <x:c r="M4" s="23" t="str">
        <x:v>Q4:25</x:v>
      </x:c>
      <x:c r="N4" s="23" t="str">
        <x:v>Q1:26</x:v>
      </x:c>
      <x:c r="O4" s="23" t="str">
        <x:v>Q2:26</x:v>
      </x:c>
    </x:row>
    <x:row r="5">
      <x:c r="A5" s="25" t="str">
        <x:v>FOUR-POINT AVERAGE BALANCE DIFFERENCE</x:v>
      </x:c>
      <x:c r="B5" s="25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  <x:c r="O5" s="25"/>
    </x:row>
    <x:row r="6">
      <x:c r="A6" s="20" t="str">
        <x:v>  Credit card</x:v>
      </x:c>
      <x:c r="B6" s="50" t="n">
        <x:f>ROUND((SUM('Monthly Balance'!B6:'Monthly Balance'!E6)/4)-Balance!B6,2)</x:f>
        <x:v>0</x:v>
      </x:c>
      <x:c r="C6" s="50" t="n">
        <x:f>ROUND((SUM('Monthly Balance'!E6:'Monthly Balance'!H6)/4)-Balance!C6,2)</x:f>
        <x:v>0</x:v>
      </x:c>
      <x:c r="D6" s="50" t="n">
        <x:f>ROUND((SUM('Monthly Balance'!H6:'Monthly Balance'!K6)/4)-Balance!D6,2)</x:f>
        <x:v>0</x:v>
      </x:c>
      <x:c r="E6" s="50" t="n">
        <x:f>ROUND((SUM('Monthly Balance'!K6:'Monthly Balance'!N6)/4)-Balance!E6,2)</x:f>
        <x:v>0</x:v>
      </x:c>
      <x:c r="F6" s="50" t="n">
        <x:f>ROUND((SUM('Monthly Balance'!N6:'Monthly Balance'!Q6)/4)-Balance!F6,2)</x:f>
        <x:v>0</x:v>
      </x:c>
      <x:c r="G6" s="50" t="n">
        <x:f>ROUND((SUM('Monthly Balance'!Q6:'Monthly Balance'!T6)/4)-Balance!G6,2)</x:f>
        <x:v>0</x:v>
      </x:c>
      <x:c r="H6" s="50" t="n">
        <x:f>ROUND((SUM('Monthly Balance'!T6:'Monthly Balance'!W6)/4)-Balance!H6,2)</x:f>
        <x:v>0</x:v>
      </x:c>
      <x:c r="I6" s="50" t="n">
        <x:f>ROUND((SUM('Monthly Balance'!W6:'Monthly Balance'!Z6)/4)-Balance!I6,2)</x:f>
        <x:v>0</x:v>
      </x:c>
      <x:c r="J6" s="50" t="n">
        <x:f>ROUND((SUM('Monthly Balance'!Z6:'Monthly Balance'!AC6)/4)-Balance!J6,2)</x:f>
        <x:v>0</x:v>
      </x:c>
      <x:c r="K6" s="50" t="n">
        <x:f>ROUND((SUM('Monthly Balance'!AC6:'Monthly Balance'!AF6)/4)-Balance!K6,2)</x:f>
        <x:v>0</x:v>
      </x:c>
      <x:c r="L6" s="50" t="n">
        <x:f>ROUND((SUM('Monthly Balance'!AF6:'Monthly Balance'!AI6)/4)-Balance!L6,2)</x:f>
        <x:v>0</x:v>
      </x:c>
      <x:c r="M6" s="50" t="n">
        <x:f>ROUND((SUM('Monthly Balance'!AI6:'Monthly Balance'!AL6)/4)-Balance!M6,2)</x:f>
        <x:v>0</x:v>
      </x:c>
      <x:c r="N6" s="50" t="n">
        <x:f>ROUND((SUM('Monthly Balance'!AL6:'Monthly Balance'!AO6)/4)-Balance!N6,2)</x:f>
        <x:v>0</x:v>
      </x:c>
      <x:c r="O6" s="50" t="n">
        <x:f>ROUND((SUM('Monthly Balance'!AO6:'Monthly Balance'!AR6)/4)-Balance!O6,2)</x:f>
        <x:v>0</x:v>
      </x:c>
    </x:row>
    <x:row r="7">
      <x:c r="A7" s="20" t="str">
        <x:v>  Consumer banking</x:v>
      </x:c>
      <x:c r="B7" s="50" t="n">
        <x:f>ROUND((SUM('Monthly Balance'!B7:'Monthly Balance'!E7)/4)-Balance!B7,2)</x:f>
        <x:v>0</x:v>
      </x:c>
      <x:c r="C7" s="50" t="n">
        <x:f>ROUND((SUM('Monthly Balance'!E7:'Monthly Balance'!H7)/4)-Balance!C7,2)</x:f>
        <x:v>0</x:v>
      </x:c>
      <x:c r="D7" s="50" t="n">
        <x:f>ROUND((SUM('Monthly Balance'!H7:'Monthly Balance'!K7)/4)-Balance!D7,2)</x:f>
        <x:v>0</x:v>
      </x:c>
      <x:c r="E7" s="50" t="n">
        <x:f>ROUND((SUM('Monthly Balance'!K7:'Monthly Balance'!N7)/4)-Balance!E7,2)</x:f>
        <x:v>0</x:v>
      </x:c>
      <x:c r="F7" s="50" t="n">
        <x:f>ROUND((SUM('Monthly Balance'!N7:'Monthly Balance'!Q7)/4)-Balance!F7,2)</x:f>
        <x:v>0</x:v>
      </x:c>
      <x:c r="G7" s="50" t="n">
        <x:f>ROUND((SUM('Monthly Balance'!Q7:'Monthly Balance'!T7)/4)-Balance!G7,2)</x:f>
        <x:v>0</x:v>
      </x:c>
      <x:c r="H7" s="50" t="n">
        <x:f>ROUND((SUM('Monthly Balance'!T7:'Monthly Balance'!W7)/4)-Balance!H7,2)</x:f>
        <x:v>0</x:v>
      </x:c>
      <x:c r="I7" s="50" t="n">
        <x:f>ROUND((SUM('Monthly Balance'!W7:'Monthly Balance'!Z7)/4)-Balance!I7,2)</x:f>
        <x:v>0</x:v>
      </x:c>
      <x:c r="J7" s="50" t="n">
        <x:f>ROUND((SUM('Monthly Balance'!Z7:'Monthly Balance'!AC7)/4)-Balance!J7,2)</x:f>
        <x:v>0</x:v>
      </x:c>
      <x:c r="K7" s="50" t="n">
        <x:f>ROUND((SUM('Monthly Balance'!AC7:'Monthly Balance'!AF7)/4)-Balance!K7,2)</x:f>
        <x:v>0</x:v>
      </x:c>
      <x:c r="L7" s="50" t="n">
        <x:f>ROUND((SUM('Monthly Balance'!AF7:'Monthly Balance'!AI7)/4)-Balance!L7,2)</x:f>
        <x:v>0</x:v>
      </x:c>
      <x:c r="M7" s="50" t="n">
        <x:f>ROUND((SUM('Monthly Balance'!AI7:'Monthly Balance'!AL7)/4)-Balance!M7,2)</x:f>
        <x:v>0</x:v>
      </x:c>
      <x:c r="N7" s="50" t="n">
        <x:f>ROUND((SUM('Monthly Balance'!AL7:'Monthly Balance'!AO7)/4)-Balance!N7,2)</x:f>
        <x:v>0</x:v>
      </x:c>
      <x:c r="O7" s="50" t="n">
        <x:f>ROUND((SUM('Monthly Balance'!AO7:'Monthly Balance'!AR7)/4)-Balance!O7,2)</x:f>
        <x:v>0</x:v>
      </x:c>
    </x:row>
    <x:row r="8">
      <x:c r="A8" s="20" t="str">
        <x:v>  Commercial banking</x:v>
      </x:c>
      <x:c r="B8" s="50" t="n">
        <x:f>ROUND((SUM('Monthly Balance'!B8:'Monthly Balance'!E8)/4)-Balance!B8,2)</x:f>
        <x:v>0</x:v>
      </x:c>
      <x:c r="C8" s="50" t="n">
        <x:f>ROUND((SUM('Monthly Balance'!E8:'Monthly Balance'!H8)/4)-Balance!C8,2)</x:f>
        <x:v>0</x:v>
      </x:c>
      <x:c r="D8" s="50" t="n">
        <x:f>ROUND((SUM('Monthly Balance'!H8:'Monthly Balance'!K8)/4)-Balance!D8,2)</x:f>
        <x:v>0</x:v>
      </x:c>
      <x:c r="E8" s="50" t="n">
        <x:f>ROUND((SUM('Monthly Balance'!K8:'Monthly Balance'!N8)/4)-Balance!E8,2)</x:f>
        <x:v>0</x:v>
      </x:c>
      <x:c r="F8" s="50" t="n">
        <x:f>ROUND((SUM('Monthly Balance'!N8:'Monthly Balance'!Q8)/4)-Balance!F8,2)</x:f>
        <x:v>0</x:v>
      </x:c>
      <x:c r="G8" s="50" t="n">
        <x:f>ROUND((SUM('Monthly Balance'!Q8:'Monthly Balance'!T8)/4)-Balance!G8,2)</x:f>
        <x:v>0</x:v>
      </x:c>
      <x:c r="H8" s="50" t="n">
        <x:f>ROUND((SUM('Monthly Balance'!T8:'Monthly Balance'!W8)/4)-Balance!H8,2)</x:f>
        <x:v>0</x:v>
      </x:c>
      <x:c r="I8" s="50" t="n">
        <x:f>ROUND((SUM('Monthly Balance'!W8:'Monthly Balance'!Z8)/4)-Balance!I8,2)</x:f>
        <x:v>0</x:v>
      </x:c>
      <x:c r="J8" s="50" t="n">
        <x:f>ROUND((SUM('Monthly Balance'!Z8:'Monthly Balance'!AC8)/4)-Balance!J8,2)</x:f>
        <x:v>0</x:v>
      </x:c>
      <x:c r="K8" s="50" t="n">
        <x:f>ROUND((SUM('Monthly Balance'!AC8:'Monthly Balance'!AF8)/4)-Balance!K8,2)</x:f>
        <x:v>0</x:v>
      </x:c>
      <x:c r="L8" s="50" t="n">
        <x:f>ROUND((SUM('Monthly Balance'!AF8:'Monthly Balance'!AI8)/4)-Balance!L8,2)</x:f>
        <x:v>0</x:v>
      </x:c>
      <x:c r="M8" s="50" t="n">
        <x:f>ROUND((SUM('Monthly Balance'!AI8:'Monthly Balance'!AL8)/4)-Balance!M8,2)</x:f>
        <x:v>0</x:v>
      </x:c>
      <x:c r="N8" s="50" t="n">
        <x:f>ROUND((SUM('Monthly Balance'!AL8:'Monthly Balance'!AO8)/4)-Balance!N8,2)</x:f>
        <x:v>0</x:v>
      </x:c>
      <x:c r="O8" s="50" t="n">
        <x:f>ROUND((SUM('Monthly Balance'!AO8:'Monthly Balance'!AR8)/4)-Balance!O8,2)</x:f>
        <x:v>0</x:v>
      </x:c>
    </x:row>
    <x:row r="9">
      <x:c r="A9" s="20" t="str">
        <x:v>  Total loans (incl. HFS)</x:v>
      </x:c>
      <x:c r="B9" s="50" t="n">
        <x:f>ROUND((SUM('Monthly Balance'!B9:'Monthly Balance'!E9)/4)-Balance!B9,2)</x:f>
        <x:v>0</x:v>
      </x:c>
      <x:c r="C9" s="50" t="n">
        <x:f>ROUND((SUM('Monthly Balance'!E9:'Monthly Balance'!H9)/4)-Balance!C9,2)</x:f>
        <x:v>0</x:v>
      </x:c>
      <x:c r="D9" s="50" t="n">
        <x:f>ROUND((SUM('Monthly Balance'!H9:'Monthly Balance'!K9)/4)-Balance!D9,2)</x:f>
        <x:v>0</x:v>
      </x:c>
      <x:c r="E9" s="50" t="n">
        <x:f>ROUND((SUM('Monthly Balance'!K9:'Monthly Balance'!N9)/4)-Balance!E9,2)</x:f>
        <x:v>0</x:v>
      </x:c>
      <x:c r="F9" s="50" t="n">
        <x:f>ROUND((SUM('Monthly Balance'!N9:'Monthly Balance'!Q9)/4)-Balance!F9,2)</x:f>
        <x:v>0</x:v>
      </x:c>
      <x:c r="G9" s="50" t="n">
        <x:f>ROUND((SUM('Monthly Balance'!Q9:'Monthly Balance'!T9)/4)-Balance!G9,2)</x:f>
        <x:v>0</x:v>
      </x:c>
      <x:c r="H9" s="50" t="n">
        <x:f>ROUND((SUM('Monthly Balance'!T9:'Monthly Balance'!W9)/4)-Balance!H9,2)</x:f>
        <x:v>0</x:v>
      </x:c>
      <x:c r="I9" s="50" t="n">
        <x:f>ROUND((SUM('Monthly Balance'!W9:'Monthly Balance'!Z9)/4)-Balance!I9,2)</x:f>
        <x:v>0</x:v>
      </x:c>
      <x:c r="J9" s="50" t="n">
        <x:f>ROUND((SUM('Monthly Balance'!Z9:'Monthly Balance'!AC9)/4)-Balance!J9,2)</x:f>
        <x:v>0</x:v>
      </x:c>
      <x:c r="K9" s="50" t="n">
        <x:f>ROUND((SUM('Monthly Balance'!AC9:'Monthly Balance'!AF9)/4)-Balance!K9,2)</x:f>
        <x:v>0</x:v>
      </x:c>
      <x:c r="L9" s="50" t="n">
        <x:f>ROUND((SUM('Monthly Balance'!AF9:'Monthly Balance'!AI9)/4)-Balance!L9,2)</x:f>
        <x:v>0</x:v>
      </x:c>
      <x:c r="M9" s="50" t="n">
        <x:f>ROUND((SUM('Monthly Balance'!AI9:'Monthly Balance'!AL9)/4)-Balance!M9,2)</x:f>
        <x:v>0</x:v>
      </x:c>
      <x:c r="N9" s="50" t="n">
        <x:f>ROUND((SUM('Monthly Balance'!AL9:'Monthly Balance'!AO9)/4)-Balance!N9,2)</x:f>
        <x:v>0</x:v>
      </x:c>
      <x:c r="O9" s="50" t="n">
        <x:f>ROUND((SUM('Monthly Balance'!AO9:'Monthly Balance'!AR9)/4)-Balance!O9,2)</x:f>
        <x:v>0</x:v>
      </x:c>
    </x:row>
    <x:row r="10">
      <x:c r="A10" s="20" t="str">
        <x:v>  Investment securities</x:v>
      </x:c>
      <x:c r="B10" s="50" t="n">
        <x:f>ROUND((SUM('Monthly Balance'!B10:'Monthly Balance'!E10)/4)-Balance!B10,2)</x:f>
        <x:v>0</x:v>
      </x:c>
      <x:c r="C10" s="50" t="n">
        <x:f>ROUND((SUM('Monthly Balance'!E10:'Monthly Balance'!H10)/4)-Balance!C10,2)</x:f>
        <x:v>0</x:v>
      </x:c>
      <x:c r="D10" s="50" t="n">
        <x:f>ROUND((SUM('Monthly Balance'!H10:'Monthly Balance'!K10)/4)-Balance!D10,2)</x:f>
        <x:v>0</x:v>
      </x:c>
      <x:c r="E10" s="50" t="n">
        <x:f>ROUND((SUM('Monthly Balance'!K10:'Monthly Balance'!N10)/4)-Balance!E10,2)</x:f>
        <x:v>0</x:v>
      </x:c>
      <x:c r="F10" s="50" t="n">
        <x:f>ROUND((SUM('Monthly Balance'!N10:'Monthly Balance'!Q10)/4)-Balance!F10,2)</x:f>
        <x:v>0</x:v>
      </x:c>
      <x:c r="G10" s="50" t="n">
        <x:f>ROUND((SUM('Monthly Balance'!Q10:'Monthly Balance'!T10)/4)-Balance!G10,2)</x:f>
        <x:v>0</x:v>
      </x:c>
      <x:c r="H10" s="50" t="n">
        <x:f>ROUND((SUM('Monthly Balance'!T10:'Monthly Balance'!W10)/4)-Balance!H10,2)</x:f>
        <x:v>0</x:v>
      </x:c>
      <x:c r="I10" s="50" t="n">
        <x:f>ROUND((SUM('Monthly Balance'!W10:'Monthly Balance'!Z10)/4)-Balance!I10,2)</x:f>
        <x:v>0</x:v>
      </x:c>
      <x:c r="J10" s="50" t="n">
        <x:f>ROUND((SUM('Monthly Balance'!Z10:'Monthly Balance'!AC10)/4)-Balance!J10,2)</x:f>
        <x:v>0</x:v>
      </x:c>
      <x:c r="K10" s="50" t="n">
        <x:f>ROUND((SUM('Monthly Balance'!AC10:'Monthly Balance'!AF10)/4)-Balance!K10,2)</x:f>
        <x:v>0</x:v>
      </x:c>
      <x:c r="L10" s="50" t="n">
        <x:f>ROUND((SUM('Monthly Balance'!AF10:'Monthly Balance'!AI10)/4)-Balance!L10,2)</x:f>
        <x:v>0</x:v>
      </x:c>
      <x:c r="M10" s="50" t="n">
        <x:f>ROUND((SUM('Monthly Balance'!AI10:'Monthly Balance'!AL10)/4)-Balance!M10,2)</x:f>
        <x:v>0</x:v>
      </x:c>
      <x:c r="N10" s="50" t="n">
        <x:f>ROUND((SUM('Monthly Balance'!AL10:'Monthly Balance'!AO10)/4)-Balance!N10,2)</x:f>
        <x:v>0</x:v>
      </x:c>
      <x:c r="O10" s="50" t="n">
        <x:f>ROUND((SUM('Monthly Balance'!AO10:'Monthly Balance'!AR10)/4)-Balance!O10,2)</x:f>
        <x:v>0</x:v>
      </x:c>
    </x:row>
    <x:row r="11">
      <x:c r="A11" s="20" t="str">
        <x:v>  Cash equivalents and other</x:v>
      </x:c>
      <x:c r="B11" s="50" t="n">
        <x:f>ROUND((SUM('Monthly Balance'!B11:'Monthly Balance'!E11)/4)-Balance!B11,2)</x:f>
        <x:v>0</x:v>
      </x:c>
      <x:c r="C11" s="50" t="n">
        <x:f>ROUND((SUM('Monthly Balance'!E11:'Monthly Balance'!H11)/4)-Balance!C11,2)</x:f>
        <x:v>0</x:v>
      </x:c>
      <x:c r="D11" s="50" t="n">
        <x:f>ROUND((SUM('Monthly Balance'!H11:'Monthly Balance'!K11)/4)-Balance!D11,2)</x:f>
        <x:v>0</x:v>
      </x:c>
      <x:c r="E11" s="50" t="n">
        <x:f>ROUND((SUM('Monthly Balance'!K11:'Monthly Balance'!N11)/4)-Balance!E11,2)</x:f>
        <x:v>0</x:v>
      </x:c>
      <x:c r="F11" s="50" t="n">
        <x:f>ROUND((SUM('Monthly Balance'!N11:'Monthly Balance'!Q11)/4)-Balance!F11,2)</x:f>
        <x:v>0</x:v>
      </x:c>
      <x:c r="G11" s="50" t="n">
        <x:f>ROUND((SUM('Monthly Balance'!Q11:'Monthly Balance'!T11)/4)-Balance!G11,2)</x:f>
        <x:v>0</x:v>
      </x:c>
      <x:c r="H11" s="50" t="n">
        <x:f>ROUND((SUM('Monthly Balance'!T11:'Monthly Balance'!W11)/4)-Balance!H11,2)</x:f>
        <x:v>0</x:v>
      </x:c>
      <x:c r="I11" s="50" t="n">
        <x:f>ROUND((SUM('Monthly Balance'!W11:'Monthly Balance'!Z11)/4)-Balance!I11,2)</x:f>
        <x:v>0</x:v>
      </x:c>
      <x:c r="J11" s="50" t="n">
        <x:f>ROUND((SUM('Monthly Balance'!Z11:'Monthly Balance'!AC11)/4)-Balance!J11,2)</x:f>
        <x:v>0</x:v>
      </x:c>
      <x:c r="K11" s="50" t="n">
        <x:f>ROUND((SUM('Monthly Balance'!AC11:'Monthly Balance'!AF11)/4)-Balance!K11,2)</x:f>
        <x:v>0</x:v>
      </x:c>
      <x:c r="L11" s="50" t="n">
        <x:f>ROUND((SUM('Monthly Balance'!AF11:'Monthly Balance'!AI11)/4)-Balance!L11,2)</x:f>
        <x:v>0</x:v>
      </x:c>
      <x:c r="M11" s="50" t="n">
        <x:f>ROUND((SUM('Monthly Balance'!AI11:'Monthly Balance'!AL11)/4)-Balance!M11,2)</x:f>
        <x:v>0</x:v>
      </x:c>
      <x:c r="N11" s="50" t="n">
        <x:f>ROUND((SUM('Monthly Balance'!AL11:'Monthly Balance'!AO11)/4)-Balance!N11,2)</x:f>
        <x:v>0</x:v>
      </x:c>
      <x:c r="O11" s="50" t="n">
        <x:f>ROUND((SUM('Monthly Balance'!AO11:'Monthly Balance'!AR11)/4)-Balance!O11,2)</x:f>
        <x:v>0</x:v>
      </x:c>
    </x:row>
    <x:row r="12">
      <x:c r="A12" s="20" t="str">
        <x:v>  Total interest-earning assets</x:v>
      </x:c>
      <x:c r="B12" s="50" t="n">
        <x:f>ROUND((SUM('Monthly Balance'!B12:'Monthly Balance'!E12)/4)-Balance!B12,2)</x:f>
        <x:v>0</x:v>
      </x:c>
      <x:c r="C12" s="50" t="n">
        <x:f>ROUND((SUM('Monthly Balance'!E12:'Monthly Balance'!H12)/4)-Balance!C12,2)</x:f>
        <x:v>0</x:v>
      </x:c>
      <x:c r="D12" s="50" t="n">
        <x:f>ROUND((SUM('Monthly Balance'!H12:'Monthly Balance'!K12)/4)-Balance!D12,2)</x:f>
        <x:v>0</x:v>
      </x:c>
      <x:c r="E12" s="50" t="n">
        <x:f>ROUND((SUM('Monthly Balance'!K12:'Monthly Balance'!N12)/4)-Balance!E12,2)</x:f>
        <x:v>0</x:v>
      </x:c>
      <x:c r="F12" s="50" t="n">
        <x:f>ROUND((SUM('Monthly Balance'!N12:'Monthly Balance'!Q12)/4)-Balance!F12,2)</x:f>
        <x:v>0</x:v>
      </x:c>
      <x:c r="G12" s="50" t="n">
        <x:f>ROUND((SUM('Monthly Balance'!Q12:'Monthly Balance'!T12)/4)-Balance!G12,2)</x:f>
        <x:v>0</x:v>
      </x:c>
      <x:c r="H12" s="50" t="n">
        <x:f>ROUND((SUM('Monthly Balance'!T12:'Monthly Balance'!W12)/4)-Balance!H12,2)</x:f>
        <x:v>0</x:v>
      </x:c>
      <x:c r="I12" s="50" t="n">
        <x:f>ROUND((SUM('Monthly Balance'!W12:'Monthly Balance'!Z12)/4)-Balance!I12,2)</x:f>
        <x:v>0</x:v>
      </x:c>
      <x:c r="J12" s="50" t="n">
        <x:f>ROUND((SUM('Monthly Balance'!Z12:'Monthly Balance'!AC12)/4)-Balance!J12,2)</x:f>
        <x:v>0</x:v>
      </x:c>
      <x:c r="K12" s="50" t="n">
        <x:f>ROUND((SUM('Monthly Balance'!AC12:'Monthly Balance'!AF12)/4)-Balance!K12,2)</x:f>
        <x:v>0</x:v>
      </x:c>
      <x:c r="L12" s="50" t="n">
        <x:f>ROUND((SUM('Monthly Balance'!AF12:'Monthly Balance'!AI12)/4)-Balance!L12,2)</x:f>
        <x:v>0</x:v>
      </x:c>
      <x:c r="M12" s="50" t="n">
        <x:f>ROUND((SUM('Monthly Balance'!AI12:'Monthly Balance'!AL12)/4)-Balance!M12,2)</x:f>
        <x:v>0</x:v>
      </x:c>
      <x:c r="N12" s="50" t="n">
        <x:f>ROUND((SUM('Monthly Balance'!AL12:'Monthly Balance'!AO12)/4)-Balance!N12,2)</x:f>
        <x:v>0</x:v>
      </x:c>
      <x:c r="O12" s="50" t="n">
        <x:f>ROUND((SUM('Monthly Balance'!AO12:'Monthly Balance'!AR12)/4)-Balance!O12,2)</x:f>
        <x:v>0</x:v>
      </x:c>
    </x:row>
    <x:row r="13">
      <x:c r="A13" s="20" t="str">
        <x:v>  Interest-bearing deposits</x:v>
      </x:c>
      <x:c r="B13" s="50" t="n">
        <x:f>ROUND((SUM('Monthly Balance'!B15:'Monthly Balance'!E15)/4)-Balance!B15,2)</x:f>
        <x:v>0</x:v>
      </x:c>
      <x:c r="C13" s="50" t="n">
        <x:f>ROUND((SUM('Monthly Balance'!E15:'Monthly Balance'!H15)/4)-Balance!C15,2)</x:f>
        <x:v>0</x:v>
      </x:c>
      <x:c r="D13" s="50" t="n">
        <x:f>ROUND((SUM('Monthly Balance'!H15:'Monthly Balance'!K15)/4)-Balance!D15,2)</x:f>
        <x:v>0</x:v>
      </x:c>
      <x:c r="E13" s="50" t="n">
        <x:f>ROUND((SUM('Monthly Balance'!K15:'Monthly Balance'!N15)/4)-Balance!E15,2)</x:f>
        <x:v>0</x:v>
      </x:c>
      <x:c r="F13" s="50" t="n">
        <x:f>ROUND((SUM('Monthly Balance'!N15:'Monthly Balance'!Q15)/4)-Balance!F15,2)</x:f>
        <x:v>0</x:v>
      </x:c>
      <x:c r="G13" s="50" t="n">
        <x:f>ROUND((SUM('Monthly Balance'!Q15:'Monthly Balance'!T15)/4)-Balance!G15,2)</x:f>
        <x:v>0</x:v>
      </x:c>
      <x:c r="H13" s="50" t="n">
        <x:f>ROUND((SUM('Monthly Balance'!T15:'Monthly Balance'!W15)/4)-Balance!H15,2)</x:f>
        <x:v>0</x:v>
      </x:c>
      <x:c r="I13" s="50" t="n">
        <x:f>ROUND((SUM('Monthly Balance'!W15:'Monthly Balance'!Z15)/4)-Balance!I15,2)</x:f>
        <x:v>0</x:v>
      </x:c>
      <x:c r="J13" s="50" t="n">
        <x:f>ROUND((SUM('Monthly Balance'!Z15:'Monthly Balance'!AC15)/4)-Balance!J15,2)</x:f>
        <x:v>0</x:v>
      </x:c>
      <x:c r="K13" s="50" t="n">
        <x:f>ROUND((SUM('Monthly Balance'!AC15:'Monthly Balance'!AF15)/4)-Balance!K15,2)</x:f>
        <x:v>0</x:v>
      </x:c>
      <x:c r="L13" s="50" t="n">
        <x:f>ROUND((SUM('Monthly Balance'!AF15:'Monthly Balance'!AI15)/4)-Balance!L15,2)</x:f>
        <x:v>0</x:v>
      </x:c>
      <x:c r="M13" s="50" t="n">
        <x:f>ROUND((SUM('Monthly Balance'!AI15:'Monthly Balance'!AL15)/4)-Balance!M15,2)</x:f>
        <x:v>0</x:v>
      </x:c>
      <x:c r="N13" s="50" t="n">
        <x:f>ROUND((SUM('Monthly Balance'!AL15:'Monthly Balance'!AO15)/4)-Balance!N15,2)</x:f>
        <x:v>0</x:v>
      </x:c>
      <x:c r="O13" s="50" t="n">
        <x:f>ROUND((SUM('Monthly Balance'!AO15:'Monthly Balance'!AR15)/4)-Balance!O15,2)</x:f>
        <x:v>0</x:v>
      </x:c>
    </x:row>
    <x:row r="14">
      <x:c r="A14" s="20" t="str">
        <x:v>  Securitized debt obligations</x:v>
      </x:c>
      <x:c r="B14" s="50" t="n">
        <x:f>ROUND((SUM('Monthly Balance'!B16:'Monthly Balance'!E16)/4)-Balance!B16,2)</x:f>
        <x:v>0</x:v>
      </x:c>
      <x:c r="C14" s="50" t="n">
        <x:f>ROUND((SUM('Monthly Balance'!E16:'Monthly Balance'!H16)/4)-Balance!C16,2)</x:f>
        <x:v>0</x:v>
      </x:c>
      <x:c r="D14" s="50" t="n">
        <x:f>ROUND((SUM('Monthly Balance'!H16:'Monthly Balance'!K16)/4)-Balance!D16,2)</x:f>
        <x:v>0</x:v>
      </x:c>
      <x:c r="E14" s="50" t="n">
        <x:f>ROUND((SUM('Monthly Balance'!K16:'Monthly Balance'!N16)/4)-Balance!E16,2)</x:f>
        <x:v>0</x:v>
      </x:c>
      <x:c r="F14" s="50" t="n">
        <x:f>ROUND((SUM('Monthly Balance'!N16:'Monthly Balance'!Q16)/4)-Balance!F16,2)</x:f>
        <x:v>0</x:v>
      </x:c>
      <x:c r="G14" s="50" t="n">
        <x:f>ROUND((SUM('Monthly Balance'!Q16:'Monthly Balance'!T16)/4)-Balance!G16,2)</x:f>
        <x:v>0</x:v>
      </x:c>
      <x:c r="H14" s="50" t="n">
        <x:f>ROUND((SUM('Monthly Balance'!T16:'Monthly Balance'!W16)/4)-Balance!H16,2)</x:f>
        <x:v>0</x:v>
      </x:c>
      <x:c r="I14" s="50" t="n">
        <x:f>ROUND((SUM('Monthly Balance'!W16:'Monthly Balance'!Z16)/4)-Balance!I16,2)</x:f>
        <x:v>0</x:v>
      </x:c>
      <x:c r="J14" s="50" t="n">
        <x:f>ROUND((SUM('Monthly Balance'!Z16:'Monthly Balance'!AC16)/4)-Balance!J16,2)</x:f>
        <x:v>0</x:v>
      </x:c>
      <x:c r="K14" s="50" t="n">
        <x:f>ROUND((SUM('Monthly Balance'!AC16:'Monthly Balance'!AF16)/4)-Balance!K16,2)</x:f>
        <x:v>0</x:v>
      </x:c>
      <x:c r="L14" s="50" t="n">
        <x:f>ROUND((SUM('Monthly Balance'!AF16:'Monthly Balance'!AI16)/4)-Balance!L16,2)</x:f>
        <x:v>0</x:v>
      </x:c>
      <x:c r="M14" s="50" t="n">
        <x:f>ROUND((SUM('Monthly Balance'!AI16:'Monthly Balance'!AL16)/4)-Balance!M16,2)</x:f>
        <x:v>0</x:v>
      </x:c>
      <x:c r="N14" s="50" t="n">
        <x:f>ROUND((SUM('Monthly Balance'!AL16:'Monthly Balance'!AO16)/4)-Balance!N16,2)</x:f>
        <x:v>0</x:v>
      </x:c>
      <x:c r="O14" s="50" t="n">
        <x:f>ROUND((SUM('Monthly Balance'!AO16:'Monthly Balance'!AR16)/4)-Balance!O16,2)</x:f>
        <x:v>0</x:v>
      </x:c>
    </x:row>
    <x:row r="15">
      <x:c r="A15" s="20" t="str">
        <x:v>  Senior and subordinated notes</x:v>
      </x:c>
      <x:c r="B15" s="50" t="n">
        <x:f>ROUND((SUM('Monthly Balance'!B17:'Monthly Balance'!E17)/4)-Balance!B17,2)</x:f>
        <x:v>0</x:v>
      </x:c>
      <x:c r="C15" s="50" t="n">
        <x:f>ROUND((SUM('Monthly Balance'!E17:'Monthly Balance'!H17)/4)-Balance!C17,2)</x:f>
        <x:v>0</x:v>
      </x:c>
      <x:c r="D15" s="50" t="n">
        <x:f>ROUND((SUM('Monthly Balance'!H17:'Monthly Balance'!K17)/4)-Balance!D17,2)</x:f>
        <x:v>0</x:v>
      </x:c>
      <x:c r="E15" s="50" t="n">
        <x:f>ROUND((SUM('Monthly Balance'!K17:'Monthly Balance'!N17)/4)-Balance!E17,2)</x:f>
        <x:v>0</x:v>
      </x:c>
      <x:c r="F15" s="50" t="n">
        <x:f>ROUND((SUM('Monthly Balance'!N17:'Monthly Balance'!Q17)/4)-Balance!F17,2)</x:f>
        <x:v>0</x:v>
      </x:c>
      <x:c r="G15" s="50" t="n">
        <x:f>ROUND((SUM('Monthly Balance'!Q17:'Monthly Balance'!T17)/4)-Balance!G17,2)</x:f>
        <x:v>0</x:v>
      </x:c>
      <x:c r="H15" s="50" t="n">
        <x:f>ROUND((SUM('Monthly Balance'!T17:'Monthly Balance'!W17)/4)-Balance!H17,2)</x:f>
        <x:v>0</x:v>
      </x:c>
      <x:c r="I15" s="50" t="n">
        <x:f>ROUND((SUM('Monthly Balance'!W17:'Monthly Balance'!Z17)/4)-Balance!I17,2)</x:f>
        <x:v>0</x:v>
      </x:c>
      <x:c r="J15" s="50" t="n">
        <x:f>ROUND((SUM('Monthly Balance'!Z17:'Monthly Balance'!AC17)/4)-Balance!J17,2)</x:f>
        <x:v>0</x:v>
      </x:c>
      <x:c r="K15" s="50" t="n">
        <x:f>ROUND((SUM('Monthly Balance'!AC17:'Monthly Balance'!AF17)/4)-Balance!K17,2)</x:f>
        <x:v>0</x:v>
      </x:c>
      <x:c r="L15" s="50" t="n">
        <x:f>ROUND((SUM('Monthly Balance'!AF17:'Monthly Balance'!AI17)/4)-Balance!L17,2)</x:f>
        <x:v>0</x:v>
      </x:c>
      <x:c r="M15" s="50" t="n">
        <x:f>ROUND((SUM('Monthly Balance'!AI17:'Monthly Balance'!AL17)/4)-Balance!M17,2)</x:f>
        <x:v>0</x:v>
      </x:c>
      <x:c r="N15" s="50" t="n">
        <x:f>ROUND((SUM('Monthly Balance'!AL17:'Monthly Balance'!AO17)/4)-Balance!N17,2)</x:f>
        <x:v>0</x:v>
      </x:c>
      <x:c r="O15" s="50" t="n">
        <x:f>ROUND((SUM('Monthly Balance'!AO17:'Monthly Balance'!AR17)/4)-Balance!O17,2)</x:f>
        <x:v>0</x:v>
      </x:c>
    </x:row>
    <x:row r="16">
      <x:c r="A16" s="20" t="str">
        <x:v>  Other borrowings</x:v>
      </x:c>
      <x:c r="B16" s="50" t="n">
        <x:f>ROUND((SUM('Monthly Balance'!B18:'Monthly Balance'!E18)/4)-Balance!B18,2)</x:f>
        <x:v>0</x:v>
      </x:c>
      <x:c r="C16" s="50" t="n">
        <x:f>ROUND((SUM('Monthly Balance'!E18:'Monthly Balance'!H18)/4)-Balance!C18,2)</x:f>
        <x:v>0</x:v>
      </x:c>
      <x:c r="D16" s="50" t="n">
        <x:f>ROUND((SUM('Monthly Balance'!H18:'Monthly Balance'!K18)/4)-Balance!D18,2)</x:f>
        <x:v>0</x:v>
      </x:c>
      <x:c r="E16" s="50" t="n">
        <x:f>ROUND((SUM('Monthly Balance'!K18:'Monthly Balance'!N18)/4)-Balance!E18,2)</x:f>
        <x:v>0</x:v>
      </x:c>
      <x:c r="F16" s="50" t="n">
        <x:f>ROUND((SUM('Monthly Balance'!N18:'Monthly Balance'!Q18)/4)-Balance!F18,2)</x:f>
        <x:v>0</x:v>
      </x:c>
      <x:c r="G16" s="50" t="n">
        <x:f>ROUND((SUM('Monthly Balance'!Q18:'Monthly Balance'!T18)/4)-Balance!G18,2)</x:f>
        <x:v>0</x:v>
      </x:c>
      <x:c r="H16" s="50" t="n">
        <x:f>ROUND((SUM('Monthly Balance'!T18:'Monthly Balance'!W18)/4)-Balance!H18,2)</x:f>
        <x:v>0</x:v>
      </x:c>
      <x:c r="I16" s="50" t="n">
        <x:f>ROUND((SUM('Monthly Balance'!W18:'Monthly Balance'!Z18)/4)-Balance!I18,2)</x:f>
        <x:v>0</x:v>
      </x:c>
      <x:c r="J16" s="50" t="n">
        <x:f>ROUND((SUM('Monthly Balance'!Z18:'Monthly Balance'!AC18)/4)-Balance!J18,2)</x:f>
        <x:v>0</x:v>
      </x:c>
      <x:c r="K16" s="50" t="n">
        <x:f>ROUND((SUM('Monthly Balance'!AC18:'Monthly Balance'!AF18)/4)-Balance!K18,2)</x:f>
        <x:v>0</x:v>
      </x:c>
      <x:c r="L16" s="50" t="n">
        <x:f>ROUND((SUM('Monthly Balance'!AF18:'Monthly Balance'!AI18)/4)-Balance!L18,2)</x:f>
        <x:v>0</x:v>
      </x:c>
      <x:c r="M16" s="50" t="n">
        <x:f>ROUND((SUM('Monthly Balance'!AI18:'Monthly Balance'!AL18)/4)-Balance!M18,2)</x:f>
        <x:v>0</x:v>
      </x:c>
      <x:c r="N16" s="50" t="n">
        <x:f>ROUND((SUM('Monthly Balance'!AL18:'Monthly Balance'!AO18)/4)-Balance!N18,2)</x:f>
        <x:v>0</x:v>
      </x:c>
      <x:c r="O16" s="50" t="n">
        <x:f>ROUND((SUM('Monthly Balance'!AO18:'Monthly Balance'!AR18)/4)-Balance!O18,2)</x:f>
        <x:v>0</x:v>
      </x:c>
    </x:row>
    <x:row r="17">
      <x:c r="A17" s="20" t="str">
        <x:v>  Total interest-bearing liabilities</x:v>
      </x:c>
      <x:c r="B17" s="50" t="n">
        <x:f>ROUND((SUM('Monthly Balance'!B19:'Monthly Balance'!E19)/4)-Balance!B19,2)</x:f>
        <x:v>0</x:v>
      </x:c>
      <x:c r="C17" s="50" t="n">
        <x:f>ROUND((SUM('Monthly Balance'!E19:'Monthly Balance'!H19)/4)-Balance!C19,2)</x:f>
        <x:v>0</x:v>
      </x:c>
      <x:c r="D17" s="50" t="n">
        <x:f>ROUND((SUM('Monthly Balance'!H19:'Monthly Balance'!K19)/4)-Balance!D19,2)</x:f>
        <x:v>0</x:v>
      </x:c>
      <x:c r="E17" s="50" t="n">
        <x:f>ROUND((SUM('Monthly Balance'!K19:'Monthly Balance'!N19)/4)-Balance!E19,2)</x:f>
        <x:v>0</x:v>
      </x:c>
      <x:c r="F17" s="50" t="n">
        <x:f>ROUND((SUM('Monthly Balance'!N19:'Monthly Balance'!Q19)/4)-Balance!F19,2)</x:f>
        <x:v>0</x:v>
      </x:c>
      <x:c r="G17" s="50" t="n">
        <x:f>ROUND((SUM('Monthly Balance'!Q19:'Monthly Balance'!T19)/4)-Balance!G19,2)</x:f>
        <x:v>0</x:v>
      </x:c>
      <x:c r="H17" s="50" t="n">
        <x:f>ROUND((SUM('Monthly Balance'!T19:'Monthly Balance'!W19)/4)-Balance!H19,2)</x:f>
        <x:v>0</x:v>
      </x:c>
      <x:c r="I17" s="50" t="n">
        <x:f>ROUND((SUM('Monthly Balance'!W19:'Monthly Balance'!Z19)/4)-Balance!I19,2)</x:f>
        <x:v>0</x:v>
      </x:c>
      <x:c r="J17" s="50" t="n">
        <x:f>ROUND((SUM('Monthly Balance'!Z19:'Monthly Balance'!AC19)/4)-Balance!J19,2)</x:f>
        <x:v>0</x:v>
      </x:c>
      <x:c r="K17" s="50" t="n">
        <x:f>ROUND((SUM('Monthly Balance'!AC19:'Monthly Balance'!AF19)/4)-Balance!K19,2)</x:f>
        <x:v>0</x:v>
      </x:c>
      <x:c r="L17" s="50" t="n">
        <x:f>ROUND((SUM('Monthly Balance'!AF19:'Monthly Balance'!AI19)/4)-Balance!L19,2)</x:f>
        <x:v>0</x:v>
      </x:c>
      <x:c r="M17" s="50" t="n">
        <x:f>ROUND((SUM('Monthly Balance'!AI19:'Monthly Balance'!AL19)/4)-Balance!M19,2)</x:f>
        <x:v>0</x:v>
      </x:c>
      <x:c r="N17" s="50" t="n">
        <x:f>ROUND((SUM('Monthly Balance'!AL19:'Monthly Balance'!AO19)/4)-Balance!N19,2)</x:f>
        <x:v>0</x:v>
      </x:c>
      <x:c r="O17" s="50" t="n">
        <x:f>ROUND((SUM('Monthly Balance'!AO19:'Monthly Balance'!AR19)/4)-Balance!O19,2)</x:f>
        <x:v>0</x:v>
      </x:c>
    </x:row>
    <x:row r="18">
      <x:c r="A18" s="20"/>
      <x:c r="B18" s="50"/>
      <x:c r="C18" s="50"/>
      <x:c r="D18" s="50"/>
      <x:c r="E18" s="50"/>
      <x:c r="F18" s="50"/>
      <x:c r="G18" s="50"/>
      <x:c r="H18" s="50"/>
      <x:c r="I18" s="50"/>
      <x:c r="J18" s="50"/>
      <x:c r="K18" s="50"/>
      <x:c r="L18" s="50"/>
      <x:c r="M18" s="50"/>
      <x:c r="N18" s="50"/>
      <x:c r="O18" s="50"/>
    </x:row>
    <x:row r="19">
      <x:c r="A19" s="25" t="str">
        <x:v>MONTHLY INCOME SUM DIFFERENCE</x:v>
      </x:c>
      <x:c r="B19" s="51"/>
      <x:c r="C19" s="51"/>
      <x:c r="D19" s="51"/>
      <x:c r="E19" s="51"/>
      <x:c r="F19" s="51"/>
      <x:c r="G19" s="51"/>
      <x:c r="H19" s="51"/>
      <x:c r="I19" s="51"/>
      <x:c r="J19" s="51"/>
      <x:c r="K19" s="51"/>
      <x:c r="L19" s="51"/>
      <x:c r="M19" s="51"/>
      <x:c r="N19" s="51"/>
      <x:c r="O19" s="51"/>
    </x:row>
    <x:row r="20">
      <x:c r="A20" s="20" t="str">
        <x:v>  Credit card</x:v>
      </x:c>
      <x:c r="B20" s="50" t="n">
        <x:f>ROUND(SUM('Monthly NII'!B6:'Monthly NII'!D6)-'Net Interest Income'!B6,2)</x:f>
        <x:v>0</x:v>
      </x:c>
      <x:c r="C20" s="50" t="n">
        <x:f>ROUND(SUM('Monthly NII'!E6:'Monthly NII'!G6)-'Net Interest Income'!C6,2)</x:f>
        <x:v>0</x:v>
      </x:c>
      <x:c r="D20" s="50" t="n">
        <x:f>ROUND(SUM('Monthly NII'!H6:'Monthly NII'!J6)-'Net Interest Income'!D6,2)</x:f>
        <x:v>0</x:v>
      </x:c>
      <x:c r="E20" s="50" t="n">
        <x:f>ROUND(SUM('Monthly NII'!K6:'Monthly NII'!M6)-'Net Interest Income'!E6,2)</x:f>
        <x:v>0</x:v>
      </x:c>
      <x:c r="F20" s="50" t="n">
        <x:f>ROUND(SUM('Monthly NII'!N6:'Monthly NII'!P6)-'Net Interest Income'!F6,2)</x:f>
        <x:v>0</x:v>
      </x:c>
      <x:c r="G20" s="50" t="n">
        <x:f>ROUND(SUM('Monthly NII'!Q6:'Monthly NII'!S6)-'Net Interest Income'!G6,2)</x:f>
        <x:v>0</x:v>
      </x:c>
      <x:c r="H20" s="50" t="n">
        <x:f>ROUND(SUM('Monthly NII'!T6:'Monthly NII'!V6)-'Net Interest Income'!H6,2)</x:f>
        <x:v>0</x:v>
      </x:c>
      <x:c r="I20" s="50" t="n">
        <x:f>ROUND(SUM('Monthly NII'!W6:'Monthly NII'!Y6)-'Net Interest Income'!I6,2)</x:f>
        <x:v>0</x:v>
      </x:c>
      <x:c r="J20" s="50" t="n">
        <x:f>ROUND(SUM('Monthly NII'!Z6:'Monthly NII'!AB6)-'Net Interest Income'!J6,2)</x:f>
        <x:v>0</x:v>
      </x:c>
      <x:c r="K20" s="50" t="n">
        <x:f>ROUND(SUM('Monthly NII'!AC6:'Monthly NII'!AE6)-'Net Interest Income'!K6,2)</x:f>
        <x:v>0</x:v>
      </x:c>
      <x:c r="L20" s="50" t="n">
        <x:f>ROUND(SUM('Monthly NII'!AF6:'Monthly NII'!AH6)-'Net Interest Income'!L6,2)</x:f>
        <x:v>0</x:v>
      </x:c>
      <x:c r="M20" s="50" t="n">
        <x:f>ROUND(SUM('Monthly NII'!AI6:'Monthly NII'!AK6)-'Net Interest Income'!M6,2)</x:f>
        <x:v>0</x:v>
      </x:c>
      <x:c r="N20" s="50" t="n">
        <x:f>ROUND(SUM('Monthly NII'!AL6:'Monthly NII'!AN6)-'Net Interest Income'!N6,2)</x:f>
        <x:v>0</x:v>
      </x:c>
      <x:c r="O20" s="50" t="n">
        <x:f>ROUND(SUM('Monthly NII'!AO6:'Monthly NII'!AQ6)-'Net Interest Income'!O6,2)</x:f>
        <x:v>0</x:v>
      </x:c>
    </x:row>
    <x:row r="21">
      <x:c r="A21" s="20" t="str">
        <x:v>  Consumer banking</x:v>
      </x:c>
      <x:c r="B21" s="50" t="n">
        <x:f>ROUND(SUM('Monthly NII'!B7:'Monthly NII'!D7)-'Net Interest Income'!B7,2)</x:f>
        <x:v>0</x:v>
      </x:c>
      <x:c r="C21" s="50" t="n">
        <x:f>ROUND(SUM('Monthly NII'!E7:'Monthly NII'!G7)-'Net Interest Income'!C7,2)</x:f>
        <x:v>0</x:v>
      </x:c>
      <x:c r="D21" s="50" t="n">
        <x:f>ROUND(SUM('Monthly NII'!H7:'Monthly NII'!J7)-'Net Interest Income'!D7,2)</x:f>
        <x:v>0</x:v>
      </x:c>
      <x:c r="E21" s="50" t="n">
        <x:f>ROUND(SUM('Monthly NII'!K7:'Monthly NII'!M7)-'Net Interest Income'!E7,2)</x:f>
        <x:v>0</x:v>
      </x:c>
      <x:c r="F21" s="50" t="n">
        <x:f>ROUND(SUM('Monthly NII'!N7:'Monthly NII'!P7)-'Net Interest Income'!F7,2)</x:f>
        <x:v>0</x:v>
      </x:c>
      <x:c r="G21" s="50" t="n">
        <x:f>ROUND(SUM('Monthly NII'!Q7:'Monthly NII'!S7)-'Net Interest Income'!G7,2)</x:f>
        <x:v>0</x:v>
      </x:c>
      <x:c r="H21" s="50" t="n">
        <x:f>ROUND(SUM('Monthly NII'!T7:'Monthly NII'!V7)-'Net Interest Income'!H7,2)</x:f>
        <x:v>0</x:v>
      </x:c>
      <x:c r="I21" s="50" t="n">
        <x:f>ROUND(SUM('Monthly NII'!W7:'Monthly NII'!Y7)-'Net Interest Income'!I7,2)</x:f>
        <x:v>0</x:v>
      </x:c>
      <x:c r="J21" s="50" t="n">
        <x:f>ROUND(SUM('Monthly NII'!Z7:'Monthly NII'!AB7)-'Net Interest Income'!J7,2)</x:f>
        <x:v>0</x:v>
      </x:c>
      <x:c r="K21" s="50" t="n">
        <x:f>ROUND(SUM('Monthly NII'!AC7:'Monthly NII'!AE7)-'Net Interest Income'!K7,2)</x:f>
        <x:v>0</x:v>
      </x:c>
      <x:c r="L21" s="50" t="n">
        <x:f>ROUND(SUM('Monthly NII'!AF7:'Monthly NII'!AH7)-'Net Interest Income'!L7,2)</x:f>
        <x:v>0</x:v>
      </x:c>
      <x:c r="M21" s="50" t="n">
        <x:f>ROUND(SUM('Monthly NII'!AI7:'Monthly NII'!AK7)-'Net Interest Income'!M7,2)</x:f>
        <x:v>0</x:v>
      </x:c>
      <x:c r="N21" s="50" t="n">
        <x:f>ROUND(SUM('Monthly NII'!AL7:'Monthly NII'!AN7)-'Net Interest Income'!N7,2)</x:f>
        <x:v>0</x:v>
      </x:c>
      <x:c r="O21" s="50" t="n">
        <x:f>ROUND(SUM('Monthly NII'!AO7:'Monthly NII'!AQ7)-'Net Interest Income'!O7,2)</x:f>
        <x:v>0</x:v>
      </x:c>
    </x:row>
    <x:row r="22">
      <x:c r="A22" s="20" t="str">
        <x:v>  Commercial banking</x:v>
      </x:c>
      <x:c r="B22" s="50" t="n">
        <x:f>ROUND(SUM('Monthly NII'!B8:'Monthly NII'!D8)-'Net Interest Income'!B8,2)</x:f>
        <x:v>0</x:v>
      </x:c>
      <x:c r="C22" s="50" t="n">
        <x:f>ROUND(SUM('Monthly NII'!E8:'Monthly NII'!G8)-'Net Interest Income'!C8,2)</x:f>
        <x:v>0</x:v>
      </x:c>
      <x:c r="D22" s="50" t="n">
        <x:f>ROUND(SUM('Monthly NII'!H8:'Monthly NII'!J8)-'Net Interest Income'!D8,2)</x:f>
        <x:v>0</x:v>
      </x:c>
      <x:c r="E22" s="50" t="n">
        <x:f>ROUND(SUM('Monthly NII'!K8:'Monthly NII'!M8)-'Net Interest Income'!E8,2)</x:f>
        <x:v>0</x:v>
      </x:c>
      <x:c r="F22" s="50" t="n">
        <x:f>ROUND(SUM('Monthly NII'!N8:'Monthly NII'!P8)-'Net Interest Income'!F8,2)</x:f>
        <x:v>0</x:v>
      </x:c>
      <x:c r="G22" s="50" t="n">
        <x:f>ROUND(SUM('Monthly NII'!Q8:'Monthly NII'!S8)-'Net Interest Income'!G8,2)</x:f>
        <x:v>0</x:v>
      </x:c>
      <x:c r="H22" s="50" t="n">
        <x:f>ROUND(SUM('Monthly NII'!T8:'Monthly NII'!V8)-'Net Interest Income'!H8,2)</x:f>
        <x:v>0</x:v>
      </x:c>
      <x:c r="I22" s="50" t="n">
        <x:f>ROUND(SUM('Monthly NII'!W8:'Monthly NII'!Y8)-'Net Interest Income'!I8,2)</x:f>
        <x:v>0</x:v>
      </x:c>
      <x:c r="J22" s="50" t="n">
        <x:f>ROUND(SUM('Monthly NII'!Z8:'Monthly NII'!AB8)-'Net Interest Income'!J8,2)</x:f>
        <x:v>0</x:v>
      </x:c>
      <x:c r="K22" s="50" t="n">
        <x:f>ROUND(SUM('Monthly NII'!AC8:'Monthly NII'!AE8)-'Net Interest Income'!K8,2)</x:f>
        <x:v>0</x:v>
      </x:c>
      <x:c r="L22" s="50" t="n">
        <x:f>ROUND(SUM('Monthly NII'!AF8:'Monthly NII'!AH8)-'Net Interest Income'!L8,2)</x:f>
        <x:v>0</x:v>
      </x:c>
      <x:c r="M22" s="50" t="n">
        <x:f>ROUND(SUM('Monthly NII'!AI8:'Monthly NII'!AK8)-'Net Interest Income'!M8,2)</x:f>
        <x:v>0</x:v>
      </x:c>
      <x:c r="N22" s="50" t="n">
        <x:f>ROUND(SUM('Monthly NII'!AL8:'Monthly NII'!AN8)-'Net Interest Income'!N8,2)</x:f>
        <x:v>0</x:v>
      </x:c>
      <x:c r="O22" s="50" t="n">
        <x:f>ROUND(SUM('Monthly NII'!AO8:'Monthly NII'!AQ8)-'Net Interest Income'!O8,2)</x:f>
        <x:v>0</x:v>
      </x:c>
    </x:row>
    <x:row r="23">
      <x:c r="A23" s="20" t="str">
        <x:v>  Total loans (incl. HFS)</x:v>
      </x:c>
      <x:c r="B23" s="50" t="n">
        <x:f>ROUND(SUM('Monthly NII'!B9:'Monthly NII'!D9)-'Net Interest Income'!B9,2)</x:f>
        <x:v>0</x:v>
      </x:c>
      <x:c r="C23" s="50" t="n">
        <x:f>ROUND(SUM('Monthly NII'!E9:'Monthly NII'!G9)-'Net Interest Income'!C9,2)</x:f>
        <x:v>0</x:v>
      </x:c>
      <x:c r="D23" s="50" t="n">
        <x:f>ROUND(SUM('Monthly NII'!H9:'Monthly NII'!J9)-'Net Interest Income'!D9,2)</x:f>
        <x:v>0</x:v>
      </x:c>
      <x:c r="E23" s="50" t="n">
        <x:f>ROUND(SUM('Monthly NII'!K9:'Monthly NII'!M9)-'Net Interest Income'!E9,2)</x:f>
        <x:v>0</x:v>
      </x:c>
      <x:c r="F23" s="50" t="n">
        <x:f>ROUND(SUM('Monthly NII'!N9:'Monthly NII'!P9)-'Net Interest Income'!F9,2)</x:f>
        <x:v>0</x:v>
      </x:c>
      <x:c r="G23" s="50" t="n">
        <x:f>ROUND(SUM('Monthly NII'!Q9:'Monthly NII'!S9)-'Net Interest Income'!G9,2)</x:f>
        <x:v>0</x:v>
      </x:c>
      <x:c r="H23" s="50" t="n">
        <x:f>ROUND(SUM('Monthly NII'!T9:'Monthly NII'!V9)-'Net Interest Income'!H9,2)</x:f>
        <x:v>0</x:v>
      </x:c>
      <x:c r="I23" s="50" t="n">
        <x:f>ROUND(SUM('Monthly NII'!W9:'Monthly NII'!Y9)-'Net Interest Income'!I9,2)</x:f>
        <x:v>0</x:v>
      </x:c>
      <x:c r="J23" s="50" t="n">
        <x:f>ROUND(SUM('Monthly NII'!Z9:'Monthly NII'!AB9)-'Net Interest Income'!J9,2)</x:f>
        <x:v>0</x:v>
      </x:c>
      <x:c r="K23" s="50" t="n">
        <x:f>ROUND(SUM('Monthly NII'!AC9:'Monthly NII'!AE9)-'Net Interest Income'!K9,2)</x:f>
        <x:v>0</x:v>
      </x:c>
      <x:c r="L23" s="50" t="n">
        <x:f>ROUND(SUM('Monthly NII'!AF9:'Monthly NII'!AH9)-'Net Interest Income'!L9,2)</x:f>
        <x:v>0</x:v>
      </x:c>
      <x:c r="M23" s="50" t="n">
        <x:f>ROUND(SUM('Monthly NII'!AI9:'Monthly NII'!AK9)-'Net Interest Income'!M9,2)</x:f>
        <x:v>0</x:v>
      </x:c>
      <x:c r="N23" s="50" t="n">
        <x:f>ROUND(SUM('Monthly NII'!AL9:'Monthly NII'!AN9)-'Net Interest Income'!N9,2)</x:f>
        <x:v>0</x:v>
      </x:c>
      <x:c r="O23" s="50" t="n">
        <x:f>ROUND(SUM('Monthly NII'!AO9:'Monthly NII'!AQ9)-'Net Interest Income'!O9,2)</x:f>
        <x:v>0</x:v>
      </x:c>
    </x:row>
    <x:row r="24">
      <x:c r="A24" s="20" t="str">
        <x:v>  Investment securities</x:v>
      </x:c>
      <x:c r="B24" s="50" t="n">
        <x:f>ROUND(SUM('Monthly NII'!B10:'Monthly NII'!D10)-'Net Interest Income'!B10,2)</x:f>
        <x:v>0</x:v>
      </x:c>
      <x:c r="C24" s="50" t="n">
        <x:f>ROUND(SUM('Monthly NII'!E10:'Monthly NII'!G10)-'Net Interest Income'!C10,2)</x:f>
        <x:v>0</x:v>
      </x:c>
      <x:c r="D24" s="50" t="n">
        <x:f>ROUND(SUM('Monthly NII'!H10:'Monthly NII'!J10)-'Net Interest Income'!D10,2)</x:f>
        <x:v>0</x:v>
      </x:c>
      <x:c r="E24" s="50" t="n">
        <x:f>ROUND(SUM('Monthly NII'!K10:'Monthly NII'!M10)-'Net Interest Income'!E10,2)</x:f>
        <x:v>0</x:v>
      </x:c>
      <x:c r="F24" s="50" t="n">
        <x:f>ROUND(SUM('Monthly NII'!N10:'Monthly NII'!P10)-'Net Interest Income'!F10,2)</x:f>
        <x:v>0</x:v>
      </x:c>
      <x:c r="G24" s="50" t="n">
        <x:f>ROUND(SUM('Monthly NII'!Q10:'Monthly NII'!S10)-'Net Interest Income'!G10,2)</x:f>
        <x:v>0</x:v>
      </x:c>
      <x:c r="H24" s="50" t="n">
        <x:f>ROUND(SUM('Monthly NII'!T10:'Monthly NII'!V10)-'Net Interest Income'!H10,2)</x:f>
        <x:v>0</x:v>
      </x:c>
      <x:c r="I24" s="50" t="n">
        <x:f>ROUND(SUM('Monthly NII'!W10:'Monthly NII'!Y10)-'Net Interest Income'!I10,2)</x:f>
        <x:v>0</x:v>
      </x:c>
      <x:c r="J24" s="50" t="n">
        <x:f>ROUND(SUM('Monthly NII'!Z10:'Monthly NII'!AB10)-'Net Interest Income'!J10,2)</x:f>
        <x:v>0</x:v>
      </x:c>
      <x:c r="K24" s="50" t="n">
        <x:f>ROUND(SUM('Monthly NII'!AC10:'Monthly NII'!AE10)-'Net Interest Income'!K10,2)</x:f>
        <x:v>0</x:v>
      </x:c>
      <x:c r="L24" s="50" t="n">
        <x:f>ROUND(SUM('Monthly NII'!AF10:'Monthly NII'!AH10)-'Net Interest Income'!L10,2)</x:f>
        <x:v>0</x:v>
      </x:c>
      <x:c r="M24" s="50" t="n">
        <x:f>ROUND(SUM('Monthly NII'!AI10:'Monthly NII'!AK10)-'Net Interest Income'!M10,2)</x:f>
        <x:v>0</x:v>
      </x:c>
      <x:c r="N24" s="50" t="n">
        <x:f>ROUND(SUM('Monthly NII'!AL10:'Monthly NII'!AN10)-'Net Interest Income'!N10,2)</x:f>
        <x:v>0</x:v>
      </x:c>
      <x:c r="O24" s="50" t="n">
        <x:f>ROUND(SUM('Monthly NII'!AO10:'Monthly NII'!AQ10)-'Net Interest Income'!O10,2)</x:f>
        <x:v>0</x:v>
      </x:c>
    </x:row>
    <x:row r="25">
      <x:c r="A25" s="20" t="str">
        <x:v>  Cash equivalents and other</x:v>
      </x:c>
      <x:c r="B25" s="50" t="n">
        <x:f>ROUND(SUM('Monthly NII'!B11:'Monthly NII'!D11)-'Net Interest Income'!B11,2)</x:f>
        <x:v>0</x:v>
      </x:c>
      <x:c r="C25" s="50" t="n">
        <x:f>ROUND(SUM('Monthly NII'!E11:'Monthly NII'!G11)-'Net Interest Income'!C11,2)</x:f>
        <x:v>0</x:v>
      </x:c>
      <x:c r="D25" s="50" t="n">
        <x:f>ROUND(SUM('Monthly NII'!H11:'Monthly NII'!J11)-'Net Interest Income'!D11,2)</x:f>
        <x:v>0</x:v>
      </x:c>
      <x:c r="E25" s="50" t="n">
        <x:f>ROUND(SUM('Monthly NII'!K11:'Monthly NII'!M11)-'Net Interest Income'!E11,2)</x:f>
        <x:v>0</x:v>
      </x:c>
      <x:c r="F25" s="50" t="n">
        <x:f>ROUND(SUM('Monthly NII'!N11:'Monthly NII'!P11)-'Net Interest Income'!F11,2)</x:f>
        <x:v>0</x:v>
      </x:c>
      <x:c r="G25" s="50" t="n">
        <x:f>ROUND(SUM('Monthly NII'!Q11:'Monthly NII'!S11)-'Net Interest Income'!G11,2)</x:f>
        <x:v>0</x:v>
      </x:c>
      <x:c r="H25" s="50" t="n">
        <x:f>ROUND(SUM('Monthly NII'!T11:'Monthly NII'!V11)-'Net Interest Income'!H11,2)</x:f>
        <x:v>0</x:v>
      </x:c>
      <x:c r="I25" s="50" t="n">
        <x:f>ROUND(SUM('Monthly NII'!W11:'Monthly NII'!Y11)-'Net Interest Income'!I11,2)</x:f>
        <x:v>0</x:v>
      </x:c>
      <x:c r="J25" s="50" t="n">
        <x:f>ROUND(SUM('Monthly NII'!Z11:'Monthly NII'!AB11)-'Net Interest Income'!J11,2)</x:f>
        <x:v>0</x:v>
      </x:c>
      <x:c r="K25" s="50" t="n">
        <x:f>ROUND(SUM('Monthly NII'!AC11:'Monthly NII'!AE11)-'Net Interest Income'!K11,2)</x:f>
        <x:v>0</x:v>
      </x:c>
      <x:c r="L25" s="50" t="n">
        <x:f>ROUND(SUM('Monthly NII'!AF11:'Monthly NII'!AH11)-'Net Interest Income'!L11,2)</x:f>
        <x:v>0</x:v>
      </x:c>
      <x:c r="M25" s="50" t="n">
        <x:f>ROUND(SUM('Monthly NII'!AI11:'Monthly NII'!AK11)-'Net Interest Income'!M11,2)</x:f>
        <x:v>0</x:v>
      </x:c>
      <x:c r="N25" s="50" t="n">
        <x:f>ROUND(SUM('Monthly NII'!AL11:'Monthly NII'!AN11)-'Net Interest Income'!N11,2)</x:f>
        <x:v>0</x:v>
      </x:c>
      <x:c r="O25" s="50" t="n">
        <x:f>ROUND(SUM('Monthly NII'!AO11:'Monthly NII'!AQ11)-'Net Interest Income'!O11,2)</x:f>
        <x:v>0</x:v>
      </x:c>
    </x:row>
    <x:row r="26">
      <x:c r="A26" s="20" t="str">
        <x:v>  Total interest-earning assets</x:v>
      </x:c>
      <x:c r="B26" s="50" t="n">
        <x:f>ROUND(SUM('Monthly NII'!B12:'Monthly NII'!D12)-'Net Interest Income'!B12,2)</x:f>
        <x:v>0</x:v>
      </x:c>
      <x:c r="C26" s="50" t="n">
        <x:f>ROUND(SUM('Monthly NII'!E12:'Monthly NII'!G12)-'Net Interest Income'!C12,2)</x:f>
        <x:v>0</x:v>
      </x:c>
      <x:c r="D26" s="50" t="n">
        <x:f>ROUND(SUM('Monthly NII'!H12:'Monthly NII'!J12)-'Net Interest Income'!D12,2)</x:f>
        <x:v>0</x:v>
      </x:c>
      <x:c r="E26" s="50" t="n">
        <x:f>ROUND(SUM('Monthly NII'!K12:'Monthly NII'!M12)-'Net Interest Income'!E12,2)</x:f>
        <x:v>0</x:v>
      </x:c>
      <x:c r="F26" s="50" t="n">
        <x:f>ROUND(SUM('Monthly NII'!N12:'Monthly NII'!P12)-'Net Interest Income'!F12,2)</x:f>
        <x:v>0</x:v>
      </x:c>
      <x:c r="G26" s="50" t="n">
        <x:f>ROUND(SUM('Monthly NII'!Q12:'Monthly NII'!S12)-'Net Interest Income'!G12,2)</x:f>
        <x:v>0</x:v>
      </x:c>
      <x:c r="H26" s="50" t="n">
        <x:f>ROUND(SUM('Monthly NII'!T12:'Monthly NII'!V12)-'Net Interest Income'!H12,2)</x:f>
        <x:v>0</x:v>
      </x:c>
      <x:c r="I26" s="50" t="n">
        <x:f>ROUND(SUM('Monthly NII'!W12:'Monthly NII'!Y12)-'Net Interest Income'!I12,2)</x:f>
        <x:v>0</x:v>
      </x:c>
      <x:c r="J26" s="50" t="n">
        <x:f>ROUND(SUM('Monthly NII'!Z12:'Monthly NII'!AB12)-'Net Interest Income'!J12,2)</x:f>
        <x:v>0</x:v>
      </x:c>
      <x:c r="K26" s="50" t="n">
        <x:f>ROUND(SUM('Monthly NII'!AC12:'Monthly NII'!AE12)-'Net Interest Income'!K12,2)</x:f>
        <x:v>0</x:v>
      </x:c>
      <x:c r="L26" s="50" t="n">
        <x:f>ROUND(SUM('Monthly NII'!AF12:'Monthly NII'!AH12)-'Net Interest Income'!L12,2)</x:f>
        <x:v>0</x:v>
      </x:c>
      <x:c r="M26" s="50" t="n">
        <x:f>ROUND(SUM('Monthly NII'!AI12:'Monthly NII'!AK12)-'Net Interest Income'!M12,2)</x:f>
        <x:v>0</x:v>
      </x:c>
      <x:c r="N26" s="50" t="n">
        <x:f>ROUND(SUM('Monthly NII'!AL12:'Monthly NII'!AN12)-'Net Interest Income'!N12,2)</x:f>
        <x:v>0</x:v>
      </x:c>
      <x:c r="O26" s="50" t="n">
        <x:f>ROUND(SUM('Monthly NII'!AO12:'Monthly NII'!AQ12)-'Net Interest Income'!O12,2)</x:f>
        <x:v>0</x:v>
      </x:c>
    </x:row>
    <x:row r="27">
      <x:c r="A27" s="20" t="str">
        <x:v>  Interest-bearing deposits</x:v>
      </x:c>
      <x:c r="B27" s="50" t="n">
        <x:f>ROUND(SUM('Monthly NII'!B15:'Monthly NII'!D15)-'Net Interest Income'!B15,2)</x:f>
        <x:v>0</x:v>
      </x:c>
      <x:c r="C27" s="50" t="n">
        <x:f>ROUND(SUM('Monthly NII'!E15:'Monthly NII'!G15)-'Net Interest Income'!C15,2)</x:f>
        <x:v>0</x:v>
      </x:c>
      <x:c r="D27" s="50" t="n">
        <x:f>ROUND(SUM('Monthly NII'!H15:'Monthly NII'!J15)-'Net Interest Income'!D15,2)</x:f>
        <x:v>0</x:v>
      </x:c>
      <x:c r="E27" s="50" t="n">
        <x:f>ROUND(SUM('Monthly NII'!K15:'Monthly NII'!M15)-'Net Interest Income'!E15,2)</x:f>
        <x:v>0</x:v>
      </x:c>
      <x:c r="F27" s="50" t="n">
        <x:f>ROUND(SUM('Monthly NII'!N15:'Monthly NII'!P15)-'Net Interest Income'!F15,2)</x:f>
        <x:v>0</x:v>
      </x:c>
      <x:c r="G27" s="50" t="n">
        <x:f>ROUND(SUM('Monthly NII'!Q15:'Monthly NII'!S15)-'Net Interest Income'!G15,2)</x:f>
        <x:v>0</x:v>
      </x:c>
      <x:c r="H27" s="50" t="n">
        <x:f>ROUND(SUM('Monthly NII'!T15:'Monthly NII'!V15)-'Net Interest Income'!H15,2)</x:f>
        <x:v>0</x:v>
      </x:c>
      <x:c r="I27" s="50" t="n">
        <x:f>ROUND(SUM('Monthly NII'!W15:'Monthly NII'!Y15)-'Net Interest Income'!I15,2)</x:f>
        <x:v>0</x:v>
      </x:c>
      <x:c r="J27" s="50" t="n">
        <x:f>ROUND(SUM('Monthly NII'!Z15:'Monthly NII'!AB15)-'Net Interest Income'!J15,2)</x:f>
        <x:v>0</x:v>
      </x:c>
      <x:c r="K27" s="50" t="n">
        <x:f>ROUND(SUM('Monthly NII'!AC15:'Monthly NII'!AE15)-'Net Interest Income'!K15,2)</x:f>
        <x:v>0</x:v>
      </x:c>
      <x:c r="L27" s="50" t="n">
        <x:f>ROUND(SUM('Monthly NII'!AF15:'Monthly NII'!AH15)-'Net Interest Income'!L15,2)</x:f>
        <x:v>0</x:v>
      </x:c>
      <x:c r="M27" s="50" t="n">
        <x:f>ROUND(SUM('Monthly NII'!AI15:'Monthly NII'!AK15)-'Net Interest Income'!M15,2)</x:f>
        <x:v>0</x:v>
      </x:c>
      <x:c r="N27" s="50" t="n">
        <x:f>ROUND(SUM('Monthly NII'!AL15:'Monthly NII'!AN15)-'Net Interest Income'!N15,2)</x:f>
        <x:v>0</x:v>
      </x:c>
      <x:c r="O27" s="50" t="n">
        <x:f>ROUND(SUM('Monthly NII'!AO15:'Monthly NII'!AQ15)-'Net Interest Income'!O15,2)</x:f>
        <x:v>0</x:v>
      </x:c>
    </x:row>
    <x:row r="28">
      <x:c r="A28" s="20" t="str">
        <x:v>  Securitized debt obligations</x:v>
      </x:c>
      <x:c r="B28" s="50" t="n">
        <x:f>ROUND(SUM('Monthly NII'!B16:'Monthly NII'!D16)-'Net Interest Income'!B16,2)</x:f>
        <x:v>0</x:v>
      </x:c>
      <x:c r="C28" s="50" t="n">
        <x:f>ROUND(SUM('Monthly NII'!E16:'Monthly NII'!G16)-'Net Interest Income'!C16,2)</x:f>
        <x:v>0</x:v>
      </x:c>
      <x:c r="D28" s="50" t="n">
        <x:f>ROUND(SUM('Monthly NII'!H16:'Monthly NII'!J16)-'Net Interest Income'!D16,2)</x:f>
        <x:v>0</x:v>
      </x:c>
      <x:c r="E28" s="50" t="n">
        <x:f>ROUND(SUM('Monthly NII'!K16:'Monthly NII'!M16)-'Net Interest Income'!E16,2)</x:f>
        <x:v>0</x:v>
      </x:c>
      <x:c r="F28" s="50" t="n">
        <x:f>ROUND(SUM('Monthly NII'!N16:'Monthly NII'!P16)-'Net Interest Income'!F16,2)</x:f>
        <x:v>0</x:v>
      </x:c>
      <x:c r="G28" s="50" t="n">
        <x:f>ROUND(SUM('Monthly NII'!Q16:'Monthly NII'!S16)-'Net Interest Income'!G16,2)</x:f>
        <x:v>0</x:v>
      </x:c>
      <x:c r="H28" s="50" t="n">
        <x:f>ROUND(SUM('Monthly NII'!T16:'Monthly NII'!V16)-'Net Interest Income'!H16,2)</x:f>
        <x:v>0</x:v>
      </x:c>
      <x:c r="I28" s="50" t="n">
        <x:f>ROUND(SUM('Monthly NII'!W16:'Monthly NII'!Y16)-'Net Interest Income'!I16,2)</x:f>
        <x:v>0</x:v>
      </x:c>
      <x:c r="J28" s="50" t="n">
        <x:f>ROUND(SUM('Monthly NII'!Z16:'Monthly NII'!AB16)-'Net Interest Income'!J16,2)</x:f>
        <x:v>0</x:v>
      </x:c>
      <x:c r="K28" s="50" t="n">
        <x:f>ROUND(SUM('Monthly NII'!AC16:'Monthly NII'!AE16)-'Net Interest Income'!K16,2)</x:f>
        <x:v>0</x:v>
      </x:c>
      <x:c r="L28" s="50" t="n">
        <x:f>ROUND(SUM('Monthly NII'!AF16:'Monthly NII'!AH16)-'Net Interest Income'!L16,2)</x:f>
        <x:v>0</x:v>
      </x:c>
      <x:c r="M28" s="50" t="n">
        <x:f>ROUND(SUM('Monthly NII'!AI16:'Monthly NII'!AK16)-'Net Interest Income'!M16,2)</x:f>
        <x:v>0</x:v>
      </x:c>
      <x:c r="N28" s="50" t="n">
        <x:f>ROUND(SUM('Monthly NII'!AL16:'Monthly NII'!AN16)-'Net Interest Income'!N16,2)</x:f>
        <x:v>0</x:v>
      </x:c>
      <x:c r="O28" s="50" t="n">
        <x:f>ROUND(SUM('Monthly NII'!AO16:'Monthly NII'!AQ16)-'Net Interest Income'!O16,2)</x:f>
        <x:v>0</x:v>
      </x:c>
    </x:row>
    <x:row r="29">
      <x:c r="A29" s="20" t="str">
        <x:v>  Senior and subordinated notes</x:v>
      </x:c>
      <x:c r="B29" s="50" t="n">
        <x:f>ROUND(SUM('Monthly NII'!B17:'Monthly NII'!D17)-'Net Interest Income'!B17,2)</x:f>
        <x:v>0</x:v>
      </x:c>
      <x:c r="C29" s="50" t="n">
        <x:f>ROUND(SUM('Monthly NII'!E17:'Monthly NII'!G17)-'Net Interest Income'!C17,2)</x:f>
        <x:v>0</x:v>
      </x:c>
      <x:c r="D29" s="50" t="n">
        <x:f>ROUND(SUM('Monthly NII'!H17:'Monthly NII'!J17)-'Net Interest Income'!D17,2)</x:f>
        <x:v>0</x:v>
      </x:c>
      <x:c r="E29" s="50" t="n">
        <x:f>ROUND(SUM('Monthly NII'!K17:'Monthly NII'!M17)-'Net Interest Income'!E17,2)</x:f>
        <x:v>0</x:v>
      </x:c>
      <x:c r="F29" s="50" t="n">
        <x:f>ROUND(SUM('Monthly NII'!N17:'Monthly NII'!P17)-'Net Interest Income'!F17,2)</x:f>
        <x:v>0</x:v>
      </x:c>
      <x:c r="G29" s="50" t="n">
        <x:f>ROUND(SUM('Monthly NII'!Q17:'Monthly NII'!S17)-'Net Interest Income'!G17,2)</x:f>
        <x:v>0</x:v>
      </x:c>
      <x:c r="H29" s="50" t="n">
        <x:f>ROUND(SUM('Monthly NII'!T17:'Monthly NII'!V17)-'Net Interest Income'!H17,2)</x:f>
        <x:v>0</x:v>
      </x:c>
      <x:c r="I29" s="50" t="n">
        <x:f>ROUND(SUM('Monthly NII'!W17:'Monthly NII'!Y17)-'Net Interest Income'!I17,2)</x:f>
        <x:v>0</x:v>
      </x:c>
      <x:c r="J29" s="50" t="n">
        <x:f>ROUND(SUM('Monthly NII'!Z17:'Monthly NII'!AB17)-'Net Interest Income'!J17,2)</x:f>
        <x:v>0</x:v>
      </x:c>
      <x:c r="K29" s="50" t="n">
        <x:f>ROUND(SUM('Monthly NII'!AC17:'Monthly NII'!AE17)-'Net Interest Income'!K17,2)</x:f>
        <x:v>0</x:v>
      </x:c>
      <x:c r="L29" s="50" t="n">
        <x:f>ROUND(SUM('Monthly NII'!AF17:'Monthly NII'!AH17)-'Net Interest Income'!L17,2)</x:f>
        <x:v>0</x:v>
      </x:c>
      <x:c r="M29" s="50" t="n">
        <x:f>ROUND(SUM('Monthly NII'!AI17:'Monthly NII'!AK17)-'Net Interest Income'!M17,2)</x:f>
        <x:v>0</x:v>
      </x:c>
      <x:c r="N29" s="50" t="n">
        <x:f>ROUND(SUM('Monthly NII'!AL17:'Monthly NII'!AN17)-'Net Interest Income'!N17,2)</x:f>
        <x:v>0</x:v>
      </x:c>
      <x:c r="O29" s="50" t="n">
        <x:f>ROUND(SUM('Monthly NII'!AO17:'Monthly NII'!AQ17)-'Net Interest Income'!O17,2)</x:f>
        <x:v>0</x:v>
      </x:c>
    </x:row>
    <x:row r="30">
      <x:c r="A30" s="20" t="str">
        <x:v>  Other borrowings</x:v>
      </x:c>
      <x:c r="B30" s="50" t="n">
        <x:f>ROUND(SUM('Monthly NII'!B18:'Monthly NII'!D18)-'Net Interest Income'!B18,2)</x:f>
        <x:v>0</x:v>
      </x:c>
      <x:c r="C30" s="50" t="n">
        <x:f>ROUND(SUM('Monthly NII'!E18:'Monthly NII'!G18)-'Net Interest Income'!C18,2)</x:f>
        <x:v>0</x:v>
      </x:c>
      <x:c r="D30" s="50" t="n">
        <x:f>ROUND(SUM('Monthly NII'!H18:'Monthly NII'!J18)-'Net Interest Income'!D18,2)</x:f>
        <x:v>0</x:v>
      </x:c>
      <x:c r="E30" s="50" t="n">
        <x:f>ROUND(SUM('Monthly NII'!K18:'Monthly NII'!M18)-'Net Interest Income'!E18,2)</x:f>
        <x:v>0</x:v>
      </x:c>
      <x:c r="F30" s="50" t="n">
        <x:f>ROUND(SUM('Monthly NII'!N18:'Monthly NII'!P18)-'Net Interest Income'!F18,2)</x:f>
        <x:v>0</x:v>
      </x:c>
      <x:c r="G30" s="50" t="n">
        <x:f>ROUND(SUM('Monthly NII'!Q18:'Monthly NII'!S18)-'Net Interest Income'!G18,2)</x:f>
        <x:v>0</x:v>
      </x:c>
      <x:c r="H30" s="50" t="n">
        <x:f>ROUND(SUM('Monthly NII'!T18:'Monthly NII'!V18)-'Net Interest Income'!H18,2)</x:f>
        <x:v>0</x:v>
      </x:c>
      <x:c r="I30" s="50" t="n">
        <x:f>ROUND(SUM('Monthly NII'!W18:'Monthly NII'!Y18)-'Net Interest Income'!I18,2)</x:f>
        <x:v>0</x:v>
      </x:c>
      <x:c r="J30" s="50" t="n">
        <x:f>ROUND(SUM('Monthly NII'!Z18:'Monthly NII'!AB18)-'Net Interest Income'!J18,2)</x:f>
        <x:v>0</x:v>
      </x:c>
      <x:c r="K30" s="50" t="n">
        <x:f>ROUND(SUM('Monthly NII'!AC18:'Monthly NII'!AE18)-'Net Interest Income'!K18,2)</x:f>
        <x:v>0</x:v>
      </x:c>
      <x:c r="L30" s="50" t="n">
        <x:f>ROUND(SUM('Monthly NII'!AF18:'Monthly NII'!AH18)-'Net Interest Income'!L18,2)</x:f>
        <x:v>0</x:v>
      </x:c>
      <x:c r="M30" s="50" t="n">
        <x:f>ROUND(SUM('Monthly NII'!AI18:'Monthly NII'!AK18)-'Net Interest Income'!M18,2)</x:f>
        <x:v>0</x:v>
      </x:c>
      <x:c r="N30" s="50" t="n">
        <x:f>ROUND(SUM('Monthly NII'!AL18:'Monthly NII'!AN18)-'Net Interest Income'!N18,2)</x:f>
        <x:v>0</x:v>
      </x:c>
      <x:c r="O30" s="50" t="n">
        <x:f>ROUND(SUM('Monthly NII'!AO18:'Monthly NII'!AQ18)-'Net Interest Income'!O18,2)</x:f>
        <x:v>0</x:v>
      </x:c>
    </x:row>
    <x:row r="31">
      <x:c r="A31" s="20" t="str">
        <x:v>  Total interest-bearing liabilities</x:v>
      </x:c>
      <x:c r="B31" s="50" t="n">
        <x:f>ROUND(SUM('Monthly NII'!B19:'Monthly NII'!D19)-'Net Interest Income'!B19,2)</x:f>
        <x:v>0</x:v>
      </x:c>
      <x:c r="C31" s="50" t="n">
        <x:f>ROUND(SUM('Monthly NII'!E19:'Monthly NII'!G19)-'Net Interest Income'!C19,2)</x:f>
        <x:v>0</x:v>
      </x:c>
      <x:c r="D31" s="50" t="n">
        <x:f>ROUND(SUM('Monthly NII'!H19:'Monthly NII'!J19)-'Net Interest Income'!D19,2)</x:f>
        <x:v>0</x:v>
      </x:c>
      <x:c r="E31" s="50" t="n">
        <x:f>ROUND(SUM('Monthly NII'!K19:'Monthly NII'!M19)-'Net Interest Income'!E19,2)</x:f>
        <x:v>0</x:v>
      </x:c>
      <x:c r="F31" s="50" t="n">
        <x:f>ROUND(SUM('Monthly NII'!N19:'Monthly NII'!P19)-'Net Interest Income'!F19,2)</x:f>
        <x:v>0</x:v>
      </x:c>
      <x:c r="G31" s="50" t="n">
        <x:f>ROUND(SUM('Monthly NII'!Q19:'Monthly NII'!S19)-'Net Interest Income'!G19,2)</x:f>
        <x:v>0</x:v>
      </x:c>
      <x:c r="H31" s="50" t="n">
        <x:f>ROUND(SUM('Monthly NII'!T19:'Monthly NII'!V19)-'Net Interest Income'!H19,2)</x:f>
        <x:v>0</x:v>
      </x:c>
      <x:c r="I31" s="50" t="n">
        <x:f>ROUND(SUM('Monthly NII'!W19:'Monthly NII'!Y19)-'Net Interest Income'!I19,2)</x:f>
        <x:v>0</x:v>
      </x:c>
      <x:c r="J31" s="50" t="n">
        <x:f>ROUND(SUM('Monthly NII'!Z19:'Monthly NII'!AB19)-'Net Interest Income'!J19,2)</x:f>
        <x:v>0</x:v>
      </x:c>
      <x:c r="K31" s="50" t="n">
        <x:f>ROUND(SUM('Monthly NII'!AC19:'Monthly NII'!AE19)-'Net Interest Income'!K19,2)</x:f>
        <x:v>0</x:v>
      </x:c>
      <x:c r="L31" s="50" t="n">
        <x:f>ROUND(SUM('Monthly NII'!AF19:'Monthly NII'!AH19)-'Net Interest Income'!L19,2)</x:f>
        <x:v>0</x:v>
      </x:c>
      <x:c r="M31" s="50" t="n">
        <x:f>ROUND(SUM('Monthly NII'!AI19:'Monthly NII'!AK19)-'Net Interest Income'!M19,2)</x:f>
        <x:v>0</x:v>
      </x:c>
      <x:c r="N31" s="50" t="n">
        <x:f>ROUND(SUM('Monthly NII'!AL19:'Monthly NII'!AN19)-'Net Interest Income'!N19,2)</x:f>
        <x:v>0</x:v>
      </x:c>
      <x:c r="O31" s="50" t="n">
        <x:f>ROUND(SUM('Monthly NII'!AO19:'Monthly NII'!AQ19)-'Net Interest Income'!O19,2)</x:f>
        <x:v>0</x:v>
      </x:c>
    </x:row>
    <x:row r="32">
      <x:c r="A32" s="20" t="str">
        <x:v>NET INTEREST INCOME</x:v>
      </x:c>
      <x:c r="B32" s="50" t="n">
        <x:f>ROUND(SUM('Monthly NII'!B21:'Monthly NII'!D21)-'Net Interest Income'!B21,2)</x:f>
        <x:v>0</x:v>
      </x:c>
      <x:c r="C32" s="50" t="n">
        <x:f>ROUND(SUM('Monthly NII'!E21:'Monthly NII'!G21)-'Net Interest Income'!C21,2)</x:f>
        <x:v>0</x:v>
      </x:c>
      <x:c r="D32" s="50" t="n">
        <x:f>ROUND(SUM('Monthly NII'!H21:'Monthly NII'!J21)-'Net Interest Income'!D21,2)</x:f>
        <x:v>0</x:v>
      </x:c>
      <x:c r="E32" s="50" t="n">
        <x:f>ROUND(SUM('Monthly NII'!K21:'Monthly NII'!M21)-'Net Interest Income'!E21,2)</x:f>
        <x:v>0</x:v>
      </x:c>
      <x:c r="F32" s="50" t="n">
        <x:f>ROUND(SUM('Monthly NII'!N21:'Monthly NII'!P21)-'Net Interest Income'!F21,2)</x:f>
        <x:v>0</x:v>
      </x:c>
      <x:c r="G32" s="50" t="n">
        <x:f>ROUND(SUM('Monthly NII'!Q21:'Monthly NII'!S21)-'Net Interest Income'!G21,2)</x:f>
        <x:v>0</x:v>
      </x:c>
      <x:c r="H32" s="50" t="n">
        <x:f>ROUND(SUM('Monthly NII'!T21:'Monthly NII'!V21)-'Net Interest Income'!H21,2)</x:f>
        <x:v>0</x:v>
      </x:c>
      <x:c r="I32" s="50" t="n">
        <x:f>ROUND(SUM('Monthly NII'!W21:'Monthly NII'!Y21)-'Net Interest Income'!I21,2)</x:f>
        <x:v>0</x:v>
      </x:c>
      <x:c r="J32" s="50" t="n">
        <x:f>ROUND(SUM('Monthly NII'!Z21:'Monthly NII'!AB21)-'Net Interest Income'!J21,2)</x:f>
        <x:v>0</x:v>
      </x:c>
      <x:c r="K32" s="50" t="n">
        <x:f>ROUND(SUM('Monthly NII'!AC21:'Monthly NII'!AE21)-'Net Interest Income'!K21,2)</x:f>
        <x:v>0</x:v>
      </x:c>
      <x:c r="L32" s="50" t="n">
        <x:f>ROUND(SUM('Monthly NII'!AF21:'Monthly NII'!AH21)-'Net Interest Income'!L21,2)</x:f>
        <x:v>0</x:v>
      </x:c>
      <x:c r="M32" s="50" t="n">
        <x:f>ROUND(SUM('Monthly NII'!AI21:'Monthly NII'!AK21)-'Net Interest Income'!M21,2)</x:f>
        <x:v>0</x:v>
      </x:c>
      <x:c r="N32" s="50" t="n">
        <x:f>ROUND(SUM('Monthly NII'!AL21:'Monthly NII'!AN21)-'Net Interest Income'!N21,2)</x:f>
        <x:v>0</x:v>
      </x:c>
      <x:c r="O32" s="50" t="n">
        <x:f>ROUND(SUM('Monthly NII'!AO21:'Monthly NII'!AQ21)-'Net Interest Income'!O21,2)</x:f>
        <x:v>0</x:v>
      </x:c>
    </x:row>
    <x:row r="33">
      <x:c r="A33" s="20"/>
      <x:c r="B33" s="20"/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</x:row>
    <x:row r="34">
      <x:c r="A34" s="20"/>
      <x:c r="B34" s="20"/>
      <x:c r="C34" s="20"/>
      <x:c r="D34" s="20"/>
      <x:c r="E34" s="20"/>
      <x:c r="F34" s="20"/>
      <x:c r="G34" s="20"/>
      <x:c r="H34" s="20"/>
      <x:c r="I34" s="20"/>
      <x:c r="J34" s="20"/>
      <x:c r="K34" s="20"/>
      <x:c r="L34" s="20"/>
      <x:c r="M34" s="20"/>
      <x:c r="N34" s="20"/>
      <x:c r="O34" s="20"/>
    </x:row>
    <x:row r="35">
      <x:c r="A35" s="20"/>
      <x:c r="B35" s="20"/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</x:row>
    <x:row r="36">
      <x:c r="A36" s="20"/>
      <x:c r="B36" s="20"/>
      <x:c r="C36" s="20"/>
      <x:c r="D36" s="20"/>
      <x:c r="E36" s="20"/>
      <x:c r="F36" s="20"/>
      <x:c r="G36" s="20"/>
      <x:c r="H36" s="20"/>
      <x:c r="I36" s="20"/>
      <x:c r="J36" s="20"/>
      <x:c r="K36" s="20"/>
      <x:c r="L36" s="20"/>
      <x:c r="M36" s="20"/>
      <x:c r="N36" s="20"/>
      <x:c r="O36" s="20"/>
    </x:row>
    <x:row r="37">
      <x:c r="A37" s="20"/>
      <x:c r="B37" s="20"/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</x:row>
    <x:row r="38">
      <x:c r="A38" s="20"/>
      <x:c r="B38" s="20"/>
      <x:c r="C38" s="20"/>
      <x:c r="D38" s="20"/>
      <x:c r="E38" s="20"/>
      <x:c r="F38" s="20"/>
      <x:c r="G38" s="20"/>
      <x:c r="H38" s="20"/>
      <x:c r="I38" s="20"/>
      <x:c r="J38" s="20"/>
      <x:c r="K38" s="20"/>
      <x:c r="L38" s="20"/>
      <x:c r="M38" s="20"/>
      <x:c r="N38" s="20"/>
      <x:c r="O38" s="20"/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</x:row>
    <x:row r="40">
      <x:c r="A40" s="20"/>
      <x:c r="B40" s="20"/>
      <x:c r="C40" s="20"/>
      <x:c r="D40" s="20"/>
      <x:c r="E40" s="20"/>
      <x:c r="F40" s="20"/>
      <x:c r="G40" s="20"/>
      <x:c r="H40" s="20"/>
      <x:c r="I40" s="20"/>
      <x:c r="J40" s="20"/>
      <x:c r="K40" s="20"/>
      <x:c r="L40" s="20"/>
      <x:c r="M40" s="20"/>
      <x:c r="N40" s="20"/>
      <x:c r="O40" s="20"/>
    </x:row>
  </x:sheetData>
  <x:pageMargins left="0.7" right="0.7" top="0.75" bottom="0.75" header="0.3" footer="0.3"/>
</x:worksheet>
</file>