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47032e7efd47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cro forecast" sheetId="2" r:id="Rffbbf912c24e45c2"/>
  </x:sheets>
</x:workbook>
</file>

<file path=xl/sharedStrings.xml><?xml version="1.0" encoding="utf-8"?>
<x:sst xmlns:x="http://schemas.openxmlformats.org/spreadsheetml/2006/main">
  <x:si>
    <x:t xml:space="preserve">month</x:t>
  </x:si>
  <x:si>
    <x:t xml:space="preserve">2022-01</x:t>
  </x:si>
  <x:si>
    <x:t xml:space="preserve">2022-02</x:t>
  </x:si>
  <x:si>
    <x:t xml:space="preserve">2022-03</x:t>
  </x:si>
  <x:si>
    <x:t xml:space="preserve">2022-04</x:t>
  </x:si>
  <x:si>
    <x:t xml:space="preserve">2022-05</x:t>
  </x:si>
  <x:si>
    <x:t xml:space="preserve">2022-06</x:t>
  </x:si>
  <x:si>
    <x:t xml:space="preserve">2022-07</x:t>
  </x:si>
  <x:si>
    <x:t xml:space="preserve">2022-08</x:t>
  </x:si>
  <x:si>
    <x:t xml:space="preserve">2022-09</x:t>
  </x:si>
  <x:si>
    <x:t xml:space="preserve">2022-10</x:t>
  </x:si>
  <x:si>
    <x:t xml:space="preserve">2022-11</x:t>
  </x:si>
  <x:si>
    <x:t xml:space="preserve">2022-12</x:t>
  </x:si>
  <x:si>
    <x:t xml:space="preserve">2023-01</x:t>
  </x:si>
  <x:si>
    <x:t xml:space="preserve">2023-02</x:t>
  </x:si>
  <x:si>
    <x:t xml:space="preserve">2023-03</x:t>
  </x:si>
  <x:si>
    <x:t xml:space="preserve">2023-04</x:t>
  </x:si>
  <x:si>
    <x:t xml:space="preserve">2023-05</x:t>
  </x:si>
  <x:si>
    <x:t xml:space="preserve">2023-06</x:t>
  </x:si>
  <x:si>
    <x:t xml:space="preserve">2023-07</x:t>
  </x:si>
  <x:si>
    <x:t xml:space="preserve">2023-08</x:t>
  </x:si>
  <x:si>
    <x:t xml:space="preserve">2023-09</x:t>
  </x:si>
  <x:si>
    <x:t xml:space="preserve">2023-10</x:t>
  </x:si>
  <x:si>
    <x:t xml:space="preserve">2023-11</x:t>
  </x:si>
  <x:si>
    <x:t xml:space="preserve">2023-12</x:t>
  </x:si>
  <x:si>
    <x:t xml:space="preserve">2024-01</x:t>
  </x:si>
  <x:si>
    <x:t xml:space="preserve">2024-02</x:t>
  </x:si>
  <x:si>
    <x:t xml:space="preserve">2024-03</x:t>
  </x:si>
  <x:si>
    <x:t xml:space="preserve">2024-04</x:t>
  </x:si>
  <x:si>
    <x:t xml:space="preserve">2024-05</x:t>
  </x:si>
  <x:si>
    <x:t xml:space="preserve">2024-06</x:t>
  </x:si>
  <x:si>
    <x:t xml:space="preserve">2024-07</x:t>
  </x:si>
  <x:si>
    <x:t xml:space="preserve">2024-08</x:t>
  </x:si>
  <x:si>
    <x:t xml:space="preserve">2024-09</x:t>
  </x:si>
  <x:si>
    <x:t xml:space="preserve">2024-10</x:t>
  </x:si>
  <x:si>
    <x:t xml:space="preserve">2024-11</x:t>
  </x:si>
  <x:si>
    <x:t xml:space="preserve">2024-12</x:t>
  </x:si>
  <x:si>
    <x:t xml:space="preserve">2025-01</x:t>
  </x:si>
  <x:si>
    <x:t xml:space="preserve">2025-02</x:t>
  </x:si>
  <x:si>
    <x:t xml:space="preserve">2025-03</x:t>
  </x:si>
  <x:si>
    <x:t xml:space="preserve">2025-04</x:t>
  </x:si>
  <x:si>
    <x:t xml:space="preserve">2025-05</x:t>
  </x:si>
  <x:si>
    <x:t xml:space="preserve">2025-06</x:t>
  </x:si>
  <x:si>
    <x:t xml:space="preserve">fed_funds_eff</x:t>
  </x:si>
  <x:si>
    <x:t xml:space="preserve">ust_2y</x:t>
  </x:si>
  <x:si>
    <x:t xml:space="preserve">ust_5y</x:t>
  </x:si>
  <x:si>
    <x:t xml:space="preserve">ust_10y</x:t>
  </x:si>
  <x:si>
    <x:t xml:space="preserve">ust_30y</x:t>
  </x:si>
  <x:si>
    <x:t xml:space="preserve">ust_3m</x:t>
  </x:si>
  <x:si>
    <x:t xml:space="preserve">prime_rate</x:t>
  </x:si>
  <x:si>
    <x:t xml:space="preserve">case_shiller_nsa_adj</x:t>
  </x:si>
  <x:si>
    <x:t xml:space="preserve">case_shiller_nsa</x:t>
  </x:si>
  <x:si>
    <x:t xml:space="preserve">mortgage_30y_fixed</x:t>
  </x:si>
  <x:si>
    <x:t xml:space="preserve">unemployment_rate</x:t>
  </x:si>
  <x:si>
    <x:t xml:space="preserve">underemployment_u6</x:t>
  </x:si>
  <x:si>
    <x:t xml:space="preserve">nonfarm_payrolls_k</x:t>
  </x:si>
  <x:si>
    <x:t xml:space="preserve">ig_corp_oas</x:t>
  </x:si>
  <x:si>
    <x:t xml:space="preserve">bbb_corp_oas</x:t>
  </x:si>
  <x:si>
    <x:t xml:space="preserve">hy_corp_oas</x:t>
  </x:si>
  <x:si>
    <x:t xml:space="preserve">term_spread_10y_2y</x:t>
  </x:si>
  <x:si>
    <x:t xml:space="preserve">term_spread_10y_3m</x:t>
  </x:si>
  <x:si>
    <x:t xml:space="preserve">cc_rate_all_accounts</x:t>
  </x:si>
  <x:si>
    <x:t xml:space="preserve">cc_rate_accts_assessed_interest</x:t>
  </x:si>
  <x:si>
    <x:t xml:space="preserve">cc_delinq_rate_banks</x:t>
  </x:si>
  <x:si>
    <x:t xml:space="preserve">cc_chargeoff_rate_banks</x:t>
  </x:si>
  <x:si>
    <x:t xml:space="preserve">all_loan_delinq_rate</x:t>
  </x:si>
</x:sst>
</file>

<file path=xl/styles.xml><?xml version="1.0" encoding="utf-8"?>
<x:styleSheet xmlns:x="http://schemas.openxmlformats.org/spreadsheetml/2006/main">
  <x:numFmts count="2">
    <x:numFmt numFmtId="200" formatCode="0.00"/>
    <x:numFmt numFmtId="201" formatCode="#,##0"/>
  </x:numFmts>
  <x:fonts count="21">
    <x:font>
      <x:sz val="12"/>
      <x:color theme="1"/>
      <x:name val="Aptos Narrow"/>
      <x:family val="2"/>
      <x:scheme val="minor"/>
    </x:font>
    <x:font>
      <x:sz val="12"/>
      <x:color theme="1"/>
      <x:name val="Aptos Narrow"/>
      <x:family val="2"/>
      <x:scheme val="minor"/>
    </x:font>
    <x:font>
      <x:sz val="18"/>
      <x:color theme="3"/>
      <x:name val="Aptos Display"/>
      <x:family val="2"/>
      <x:scheme val="major"/>
    </x:font>
    <x:font>
      <x:b/>
      <x:sz val="15"/>
      <x:color theme="3"/>
      <x:name val="Aptos Narrow"/>
      <x:family val="2"/>
      <x:scheme val="minor"/>
    </x:font>
    <x:font>
      <x:b/>
      <x:sz val="13"/>
      <x:color theme="3"/>
      <x:name val="Aptos Narrow"/>
      <x:family val="2"/>
      <x:scheme val="minor"/>
    </x:font>
    <x:font>
      <x:b/>
      <x:sz val="11"/>
      <x:color theme="3"/>
      <x:name val="Aptos Narrow"/>
      <x:family val="2"/>
      <x:scheme val="minor"/>
    </x:font>
    <x:font>
      <x:sz val="12"/>
      <x:color rgb="FF006100"/>
      <x:name val="Aptos Narrow"/>
      <x:family val="2"/>
      <x:scheme val="minor"/>
    </x:font>
    <x:font>
      <x:sz val="12"/>
      <x:color rgb="FF9C0006"/>
      <x:name val="Aptos Narrow"/>
      <x:family val="2"/>
      <x:scheme val="minor"/>
    </x:font>
    <x:font>
      <x:sz val="12"/>
      <x:color rgb="FF9C5700"/>
      <x:name val="Aptos Narrow"/>
      <x:family val="2"/>
      <x:scheme val="minor"/>
    </x:font>
    <x:font>
      <x:sz val="12"/>
      <x:color rgb="FF3F3F76"/>
      <x:name val="Aptos Narrow"/>
      <x:family val="2"/>
      <x:scheme val="minor"/>
    </x:font>
    <x:font>
      <x:b/>
      <x:sz val="12"/>
      <x:color rgb="FF3F3F3F"/>
      <x:name val="Aptos Narrow"/>
      <x:family val="2"/>
      <x:scheme val="minor"/>
    </x:font>
    <x:font>
      <x:b/>
      <x:sz val="12"/>
      <x:color rgb="FFFA7D00"/>
      <x:name val="Aptos Narrow"/>
      <x:family val="2"/>
      <x:scheme val="minor"/>
    </x:font>
    <x:font>
      <x:sz val="12"/>
      <x:color rgb="FFFA7D00"/>
      <x:name val="Aptos Narrow"/>
      <x:family val="2"/>
      <x:scheme val="minor"/>
    </x:font>
    <x:font>
      <x:b/>
      <x:sz val="12"/>
      <x:color theme="0"/>
      <x:name val="Aptos Narrow"/>
      <x:family val="2"/>
      <x:scheme val="minor"/>
    </x:font>
    <x:font>
      <x:sz val="12"/>
      <x:color rgb="FFFF0000"/>
      <x:name val="Aptos Narrow"/>
      <x:family val="2"/>
      <x:scheme val="minor"/>
    </x:font>
    <x:font>
      <x:i/>
      <x:sz val="12"/>
      <x:color rgb="FF7F7F7F"/>
      <x:name val="Aptos Narrow"/>
      <x:family val="2"/>
      <x:scheme val="minor"/>
    </x:font>
    <x:font>
      <x:b/>
      <x:sz val="12"/>
      <x:color theme="1"/>
      <x:name val="Aptos Narrow"/>
      <x:family val="2"/>
      <x:scheme val="minor"/>
    </x:font>
    <x:font>
      <x:sz val="12"/>
      <x:color theme="0"/>
      <x:name val="Aptos Narrow"/>
      <x:family val="2"/>
      <x:scheme val="minor"/>
    </x:font>
    <x:font>
      <x:b/>
      <x:sz val="11"/>
      <x:color rgb="FFFFFFFF"/>
      <x:name val="Aptos Narrow"/>
      <x:family val="2"/>
      <x:scheme val="minor"/>
    </x:font>
    <x:font>
      <x:sz val="11"/>
      <x:color rgb="FF000000"/>
      <x:name val="Aptos Narrow"/>
      <x:family val="2"/>
      <x:scheme val="minor"/>
    </x:font>
    <x:font>
      <x:i/>
      <x:sz val="9"/>
      <x:color rgb="FF666666"/>
      <x:name val="Aptos Narrow"/>
      <x:family val="2"/>
      <x:scheme val="minor"/>
    </x:font>
  </x:fonts>
  <x:fills count="3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4472C4"/>
      </x:patternFill>
    </x:fill>
    <x:fill>
      <x:patternFill patternType="solid">
        <x:fgColor rgb="FFEAF2F8"/>
      </x:patternFill>
    </x:fill>
  </x:fills>
  <x:borders count="13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"/>
      </x:bottom>
      <x:diagonal/>
    </x:border>
    <x:border>
      <x:left/>
      <x:right/>
      <x:top/>
      <x:bottom style="medium">
        <x:color theme="4" tint="0.3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n">
        <x:color rgb="FF2F5597"/>
      </x:bottom>
      <x:diagonal/>
    </x:border>
    <x:border>
      <x:left style="medium">
        <x:color rgb="FF2F5597"/>
      </x:left>
      <x:right/>
      <x:top/>
      <x:bottom style="thin">
        <x:color rgb="FF2F5597"/>
      </x:bottom>
      <x:diagonal/>
    </x:border>
    <x:border>
      <x:left style="medium">
        <x:color rgb="FF2F5597"/>
      </x:left>
      <x:right/>
      <x:top/>
      <x:bottom/>
      <x:diagonal/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15">
    <x:xf numFmtId="0" fontId="0" fillId="0" borderId="0" xfId="0"/>
    <x:xf numFmtId="0" fontId="0" fillId="33" borderId="0" xfId="0" applyNumberFormat="1" applyFont="1" applyFill="1" applyBorder="1"/>
    <x:xf numFmtId="0" fontId="18" fillId="33" borderId="0" xfId="0" applyNumberFormat="1" applyFont="1" applyFill="1" applyBorder="1"/>
    <x:xf numFmtId="0" fontId="18" fillId="33" borderId="10" xfId="0" applyNumberFormat="1" applyFont="1" applyFill="1" applyBorder="1"/>
    <x:xf numFmtId="0" fontId="18" fillId="33" borderId="10" xfId="0" applyNumberFormat="1" applyFont="1" applyFill="1" applyBorder="1" applyAlignment="1">
      <x:alignment horizontal="center"/>
    </x:xf>
    <x:xf numFmtId="0" fontId="18" fillId="33" borderId="10" xfId="0" applyNumberFormat="1" applyFont="1" applyFill="1" applyBorder="1" applyAlignment="1">
      <x:alignment horizontal="center" vertical="center"/>
    </x:xf>
    <x:xf numFmtId="0" fontId="0" fillId="34" borderId="0" xfId="0" applyNumberFormat="1" applyFont="1" applyFill="1" applyBorder="1"/>
    <x:xf numFmtId="0" fontId="19" fillId="34" borderId="0" xfId="0" applyNumberFormat="1" applyFont="1" applyFill="1" applyBorder="1"/>
    <x:xf numFmtId="0" fontId="18" fillId="33" borderId="11" xfId="0" applyNumberFormat="1" applyFont="1" applyFill="1" applyBorder="1" applyAlignment="1">
      <x:alignment horizontal="center" vertical="center"/>
    </x:xf>
    <x:xf numFmtId="0" fontId="19" fillId="34" borderId="12" xfId="0" applyNumberFormat="1" applyFont="1" applyFill="1" applyBorder="1"/>
    <x:xf numFmtId="0" fontId="20" fillId="0" borderId="0" xfId="0" applyNumberFormat="1" applyFont="1" applyFill="1" applyBorder="1"/>
    <x:xf numFmtId="200" fontId="19" fillId="34" borderId="12" xfId="0" applyNumberFormat="1" applyFont="1" applyFill="1" applyBorder="1"/>
    <x:xf numFmtId="200" fontId="19" fillId="34" borderId="0" xfId="0" applyNumberFormat="1" applyFont="1" applyFill="1" applyBorder="1"/>
    <x:xf numFmtId="201" fontId="19" fillId="34" borderId="12" xfId="0" applyNumberFormat="1" applyFont="1" applyFill="1" applyBorder="1"/>
    <x:xf numFmtId="201" fontId="19" fillId="34" borderId="0" xfId="0" applyNumberFormat="1" applyFont="1" applyFill="1" applyBorder="1"/>
  </x:cellXfs>
  <x:cellStyles count="42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cc9d110d2940c0" /><Relationship Type="http://schemas.openxmlformats.org/officeDocument/2006/relationships/theme" Target="/xl/theme/theme1.xml" Id="R958ba3a979fa4b4c" /><Relationship Type="http://schemas.openxmlformats.org/officeDocument/2006/relationships/sharedStrings" Target="/xl/sharedStrings.xml" Id="R4e1986e68ce24684" /><Relationship Type="http://schemas.openxmlformats.org/officeDocument/2006/relationships/worksheet" Target="/xl/worksheets/sheet1.xml" Id="Rffbbf912c24e45c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10" defaultRowHeight="16"/>
  <x:cols>
    <x:col min="1" max="1" width="36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 t="s">
        <x:v>33</x:v>
      </x:c>
      <x:c r="AI1" t="s">
        <x:v>34</x:v>
      </x:c>
      <x:c r="AJ1" t="s">
        <x:v>35</x:v>
      </x:c>
      <x:c r="AK1" t="s">
        <x:v>36</x:v>
      </x:c>
      <x:c r="AL1" t="s">
        <x:v>37</x:v>
      </x:c>
      <x:c r="AM1" t="s">
        <x:v>38</x:v>
      </x:c>
      <x:c r="AN1" t="s">
        <x:v>39</x:v>
      </x:c>
      <x:c r="AO1" t="s">
        <x:v>40</x:v>
      </x:c>
      <x:c r="AP1" t="s">
        <x:v>41</x:v>
      </x:c>
      <x:c r="AQ1" t="s">
        <x:v>42</x:v>
      </x:c>
      <x:c r="AR1" s="8" t="str">
        <x:v>2025-07</x:v>
      </x:c>
      <x:c r="AS1" s="5" t="str">
        <x:v>2025-08</x:v>
      </x:c>
      <x:c r="AT1" s="5" t="str">
        <x:v>2025-09</x:v>
      </x:c>
      <x:c r="AU1" s="5" t="str">
        <x:v>2025-10</x:v>
      </x:c>
      <x:c r="AV1" s="5" t="str">
        <x:v>2025-11</x:v>
      </x:c>
      <x:c r="AW1" s="5" t="str">
        <x:v>2025-12</x:v>
      </x:c>
      <x:c r="AX1" s="5" t="str">
        <x:v>2026-01</x:v>
      </x:c>
      <x:c r="AY1" s="5" t="str">
        <x:v>2026-02</x:v>
      </x:c>
      <x:c r="AZ1" s="5" t="str">
        <x:v>2026-03</x:v>
      </x:c>
      <x:c r="BA1" s="5" t="str">
        <x:v>2026-04</x:v>
      </x:c>
      <x:c r="BB1" s="5" t="str">
        <x:v>2026-05</x:v>
      </x:c>
      <x:c r="BC1" s="5" t="str">
        <x:v>2026-06</x:v>
      </x:c>
    </x:row>
    <x:row r="2">
      <x:c r="A2" t="s">
        <x:v>43</x:v>
      </x:c>
      <x:c r="B2">
        <x:v>0.08</x:v>
      </x:c>
      <x:c r="C2">
        <x:v>0.08</x:v>
      </x:c>
      <x:c r="D2">
        <x:v>0.2</x:v>
      </x:c>
      <x:c r="E2">
        <x:v>0.33</x:v>
      </x:c>
      <x:c r="F2">
        <x:v>0.77</x:v>
      </x:c>
      <x:c r="G2">
        <x:v>1.21</x:v>
      </x:c>
      <x:c r="H2">
        <x:v>1.68</x:v>
      </x:c>
      <x:c r="I2">
        <x:v>2.33</x:v>
      </x:c>
      <x:c r="J2">
        <x:v>2.56</x:v>
      </x:c>
      <x:c r="K2">
        <x:v>3.08</x:v>
      </x:c>
      <x:c r="L2">
        <x:v>3.78</x:v>
      </x:c>
      <x:c r="M2">
        <x:v>4.0999999999999996</x:v>
      </x:c>
      <x:c r="N2">
        <x:v>4.33</x:v>
      </x:c>
      <x:c r="O2">
        <x:v>4.57</x:v>
      </x:c>
      <x:c r="P2">
        <x:v>4.6500000000000004</x:v>
      </x:c>
      <x:c r="Q2">
        <x:v>4.83</x:v>
      </x:c>
      <x:c r="R2">
        <x:v>5.0599999999999996</x:v>
      </x:c>
      <x:c r="S2">
        <x:v>5.08</x:v>
      </x:c>
      <x:c r="T2">
        <x:v>5.12</x:v>
      </x:c>
      <x:c r="U2">
        <x:v>5.33</x:v>
      </x:c>
      <x:c r="V2">
        <x:v>5.33</x:v>
      </x:c>
      <x:c r="W2">
        <x:v>5.33</x:v>
      </x:c>
      <x:c r="X2">
        <x:v>5.33</x:v>
      </x:c>
      <x:c r="Y2">
        <x:v>5.33</x:v>
      </x:c>
      <x:c r="Z2">
        <x:v>5.33</x:v>
      </x:c>
      <x:c r="AA2">
        <x:v>5.33</x:v>
      </x:c>
      <x:c r="AB2">
        <x:v>5.33</x:v>
      </x:c>
      <x:c r="AC2">
        <x:v>5.33</x:v>
      </x:c>
      <x:c r="AD2">
        <x:v>5.33</x:v>
      </x:c>
      <x:c r="AE2">
        <x:v>5.33</x:v>
      </x:c>
      <x:c r="AF2">
        <x:v>5.33</x:v>
      </x:c>
      <x:c r="AG2">
        <x:v>5.33</x:v>
      </x:c>
      <x:c r="AH2">
        <x:v>5.13</x:v>
      </x:c>
      <x:c r="AI2">
        <x:v>4.83</x:v>
      </x:c>
      <x:c r="AJ2">
        <x:v>4.6399999999999997</x:v>
      </x:c>
      <x:c r="AK2">
        <x:v>4.4800000000000004</x:v>
      </x:c>
      <x:c r="AL2">
        <x:v>4.33</x:v>
      </x:c>
      <x:c r="AM2">
        <x:v>4.33</x:v>
      </x:c>
      <x:c r="AN2">
        <x:v>4.33</x:v>
      </x:c>
      <x:c r="AO2">
        <x:v>4.33</x:v>
      </x:c>
      <x:c r="AP2">
        <x:v>4.33</x:v>
      </x:c>
      <x:c r="AQ2">
        <x:v>4.33</x:v>
      </x:c>
      <x:c r="AR2" s="11" t="n">
        <x:f>MAX(0,$AQ2+AVERAGE($AQ2-$AP2,$AP2-$AO2,$AO2-$AN2,$AN2-$AM2,$AM2-$AL2,$AL2-$AK2))</x:f>
        <x:v>4.305</x:v>
      </x:c>
      <x:c r="AS2" s="12" t="n">
        <x:f>MAX(0,AR2+AVERAGE($AQ2-$AP2,$AP2-$AO2,$AO2-$AN2,$AN2-$AM2,$AM2-$AL2,$AL2-$AK2))</x:f>
        <x:v>4.279999999999999</x:v>
      </x:c>
      <x:c r="AT2" s="12" t="n">
        <x:f>MAX(0,AS2+AVERAGE($AQ2-$AP2,$AP2-$AO2,$AO2-$AN2,$AN2-$AM2,$AM2-$AL2,$AL2-$AK2))</x:f>
        <x:v>4.254999999999999</x:v>
      </x:c>
      <x:c r="AU2" s="12" t="n">
        <x:f>MAX(0,AT2+AVERAGE($AQ2-$AP2,$AP2-$AO2,$AO2-$AN2,$AN2-$AM2,$AM2-$AL2,$AL2-$AK2))</x:f>
        <x:v>4.229999999999999</x:v>
      </x:c>
      <x:c r="AV2" s="12" t="n">
        <x:f>MAX(0,AU2+AVERAGE($AQ2-$AP2,$AP2-$AO2,$AO2-$AN2,$AN2-$AM2,$AM2-$AL2,$AL2-$AK2))</x:f>
        <x:v>4.204999999999998</x:v>
      </x:c>
      <x:c r="AW2" s="12" t="n">
        <x:f>MAX(0,AV2+AVERAGE($AQ2-$AP2,$AP2-$AO2,$AO2-$AN2,$AN2-$AM2,$AM2-$AL2,$AL2-$AK2))</x:f>
        <x:v>4.179999999999998</x:v>
      </x:c>
      <x:c r="AX2" s="12" t="n">
        <x:f>MAX(0,AW2+AVERAGE($AQ2-$AP2,$AP2-$AO2,$AO2-$AN2,$AN2-$AM2,$AM2-$AL2,$AL2-$AK2))</x:f>
        <x:v>4.154999999999998</x:v>
      </x:c>
      <x:c r="AY2" s="12" t="n">
        <x:f>MAX(0,AX2+AVERAGE($AQ2-$AP2,$AP2-$AO2,$AO2-$AN2,$AN2-$AM2,$AM2-$AL2,$AL2-$AK2))</x:f>
        <x:v>4.129999999999997</x:v>
      </x:c>
      <x:c r="AZ2" s="12" t="n">
        <x:f>MAX(0,AY2+AVERAGE($AQ2-$AP2,$AP2-$AO2,$AO2-$AN2,$AN2-$AM2,$AM2-$AL2,$AL2-$AK2))</x:f>
        <x:v>4.104999999999997</x:v>
      </x:c>
      <x:c r="BA2" s="12" t="n">
        <x:f>MAX(0,AZ2+AVERAGE($AQ2-$AP2,$AP2-$AO2,$AO2-$AN2,$AN2-$AM2,$AM2-$AL2,$AL2-$AK2))</x:f>
        <x:v>4.0799999999999965</x:v>
      </x:c>
      <x:c r="BB2" s="12" t="n">
        <x:f>MAX(0,BA2+AVERAGE($AQ2-$AP2,$AP2-$AO2,$AO2-$AN2,$AN2-$AM2,$AM2-$AL2,$AL2-$AK2))</x:f>
        <x:v>4.054999999999996</x:v>
      </x:c>
      <x:c r="BC2" s="12" t="n">
        <x:f>MAX(0,BB2+AVERAGE($AQ2-$AP2,$AP2-$AO2,$AO2-$AN2,$AN2-$AM2,$AM2-$AL2,$AL2-$AK2))</x:f>
        <x:v>4.029999999999996</x:v>
      </x:c>
    </x:row>
    <x:row r="3">
      <x:c r="A3" t="s">
        <x:v>44</x:v>
      </x:c>
      <x:c r="B3">
        <x:v>0.98</x:v>
      </x:c>
      <x:c r="C3">
        <x:v>1.44</x:v>
      </x:c>
      <x:c r="D3">
        <x:v>1.91</x:v>
      </x:c>
      <x:c r="E3">
        <x:v>2.54</x:v>
      </x:c>
      <x:c r="F3">
        <x:v>2.62</x:v>
      </x:c>
      <x:c r="G3">
        <x:v>3</x:v>
      </x:c>
      <x:c r="H3">
        <x:v>3.04</x:v>
      </x:c>
      <x:c r="I3">
        <x:v>3.25</x:v>
      </x:c>
      <x:c r="J3">
        <x:v>3.86</x:v>
      </x:c>
      <x:c r="K3">
        <x:v>4.38</x:v>
      </x:c>
      <x:c r="L3">
        <x:v>4.5</x:v>
      </x:c>
      <x:c r="M3">
        <x:v>4.29</x:v>
      </x:c>
      <x:c r="N3">
        <x:v>4.21</x:v>
      </x:c>
      <x:c r="O3">
        <x:v>4.53</x:v>
      </x:c>
      <x:c r="P3">
        <x:v>4.3</x:v>
      </x:c>
      <x:c r="Q3">
        <x:v>4.0199999999999996</x:v>
      </x:c>
      <x:c r="R3">
        <x:v>4.13</x:v>
      </x:c>
      <x:c r="S3">
        <x:v>4.6399999999999997</x:v>
      </x:c>
      <x:c r="T3">
        <x:v>4.83</x:v>
      </x:c>
      <x:c r="U3">
        <x:v>4.9000000000000004</x:v>
      </x:c>
      <x:c r="V3">
        <x:v>5.0199999999999996</x:v>
      </x:c>
      <x:c r="W3">
        <x:v>5.07</x:v>
      </x:c>
      <x:c r="X3">
        <x:v>4.88</x:v>
      </x:c>
      <x:c r="Y3">
        <x:v>4.46</x:v>
      </x:c>
      <x:c r="Z3">
        <x:v>4.32</x:v>
      </x:c>
      <x:c r="AA3">
        <x:v>4.54</x:v>
      </x:c>
      <x:c r="AB3">
        <x:v>4.59</x:v>
      </x:c>
      <x:c r="AC3">
        <x:v>4.87</x:v>
      </x:c>
      <x:c r="AD3">
        <x:v>4.8600000000000003</x:v>
      </x:c>
      <x:c r="AE3">
        <x:v>4.74</x:v>
      </x:c>
      <x:c r="AF3">
        <x:v>4.5</x:v>
      </x:c>
      <x:c r="AG3">
        <x:v>3.97</x:v>
      </x:c>
      <x:c r="AH3">
        <x:v>3.62</x:v>
      </x:c>
      <x:c r="AI3">
        <x:v>3.97</x:v>
      </x:c>
      <x:c r="AJ3">
        <x:v>4.26</x:v>
      </x:c>
      <x:c r="AK3">
        <x:v>4.2300000000000004</x:v>
      </x:c>
      <x:c r="AL3">
        <x:v>4.2699999999999996</x:v>
      </x:c>
      <x:c r="AM3">
        <x:v>4.21</x:v>
      </x:c>
      <x:c r="AN3">
        <x:v>3.97</x:v>
      </x:c>
      <x:c r="AO3">
        <x:v>3.78</x:v>
      </x:c>
      <x:c r="AP3">
        <x:v>3.92</x:v>
      </x:c>
      <x:c r="AQ3">
        <x:v>3.89</x:v>
      </x:c>
      <x:c r="AR3" s="11" t="n">
        <x:f>MAX(0,$AQ3+AVERAGE($AQ3-$AP3,$AP3-$AO3,$AO3-$AN3,$AN3-$AM3,$AM3-$AL3,$AL3-$AK3))</x:f>
        <x:v>3.8333333333333335</x:v>
      </x:c>
      <x:c r="AS3" s="12" t="n">
        <x:f>MAX(0,AR3+AVERAGE($AQ3-$AP3,$AP3-$AO3,$AO3-$AN3,$AN3-$AM3,$AM3-$AL3,$AL3-$AK3))</x:f>
        <x:v>3.776666666666667</x:v>
      </x:c>
      <x:c r="AT3" s="12" t="n">
        <x:f>MAX(0,AS3+AVERAGE($AQ3-$AP3,$AP3-$AO3,$AO3-$AN3,$AN3-$AM3,$AM3-$AL3,$AL3-$AK3))</x:f>
        <x:v>3.72</x:v>
      </x:c>
      <x:c r="AU3" s="12" t="n">
        <x:f>MAX(0,AT3+AVERAGE($AQ3-$AP3,$AP3-$AO3,$AO3-$AN3,$AN3-$AM3,$AM3-$AL3,$AL3-$AK3))</x:f>
        <x:v>3.6633333333333336</x:v>
      </x:c>
      <x:c r="AV3" s="12" t="n">
        <x:f>MAX(0,AU3+AVERAGE($AQ3-$AP3,$AP3-$AO3,$AO3-$AN3,$AN3-$AM3,$AM3-$AL3,$AL3-$AK3))</x:f>
        <x:v>3.606666666666667</x:v>
      </x:c>
      <x:c r="AW3" s="12" t="n">
        <x:f>MAX(0,AV3+AVERAGE($AQ3-$AP3,$AP3-$AO3,$AO3-$AN3,$AN3-$AM3,$AM3-$AL3,$AL3-$AK3))</x:f>
        <x:v>3.5500000000000003</x:v>
      </x:c>
      <x:c r="AX3" s="12" t="n">
        <x:f>MAX(0,AW3+AVERAGE($AQ3-$AP3,$AP3-$AO3,$AO3-$AN3,$AN3-$AM3,$AM3-$AL3,$AL3-$AK3))</x:f>
        <x:v>3.4933333333333336</x:v>
      </x:c>
      <x:c r="AY3" s="12" t="n">
        <x:f>MAX(0,AX3+AVERAGE($AQ3-$AP3,$AP3-$AO3,$AO3-$AN3,$AN3-$AM3,$AM3-$AL3,$AL3-$AK3))</x:f>
        <x:v>3.436666666666667</x:v>
      </x:c>
      <x:c r="AZ3" s="12" t="n">
        <x:f>MAX(0,AY3+AVERAGE($AQ3-$AP3,$AP3-$AO3,$AO3-$AN3,$AN3-$AM3,$AM3-$AL3,$AL3-$AK3))</x:f>
        <x:v>3.3800000000000003</x:v>
      </x:c>
      <x:c r="BA3" s="12" t="n">
        <x:f>MAX(0,AZ3+AVERAGE($AQ3-$AP3,$AP3-$AO3,$AO3-$AN3,$AN3-$AM3,$AM3-$AL3,$AL3-$AK3))</x:f>
        <x:v>3.3233333333333337</x:v>
      </x:c>
      <x:c r="BB3" s="12" t="n">
        <x:f>MAX(0,BA3+AVERAGE($AQ3-$AP3,$AP3-$AO3,$AO3-$AN3,$AN3-$AM3,$AM3-$AL3,$AL3-$AK3))</x:f>
        <x:v>3.266666666666667</x:v>
      </x:c>
      <x:c r="BC3" s="12" t="n">
        <x:f>MAX(0,BB3+AVERAGE($AQ3-$AP3,$AP3-$AO3,$AO3-$AN3,$AN3-$AM3,$AM3-$AL3,$AL3-$AK3))</x:f>
        <x:v>3.2100000000000004</x:v>
      </x:c>
    </x:row>
    <x:row r="4">
      <x:c r="A4" t="s">
        <x:v>45</x:v>
      </x:c>
      <x:c r="B4">
        <x:v>1.54</x:v>
      </x:c>
      <x:c r="C4">
        <x:v>1.81</x:v>
      </x:c>
      <x:c r="D4">
        <x:v>2.11</x:v>
      </x:c>
      <x:c r="E4">
        <x:v>2.78</x:v>
      </x:c>
      <x:c r="F4">
        <x:v>2.87</x:v>
      </x:c>
      <x:c r="G4">
        <x:v>3.19</x:v>
      </x:c>
      <x:c r="H4">
        <x:v>2.96</x:v>
      </x:c>
      <x:c r="I4">
        <x:v>3.03</x:v>
      </x:c>
      <x:c r="J4">
        <x:v>3.7</x:v>
      </x:c>
      <x:c r="K4">
        <x:v>4.18</x:v>
      </x:c>
      <x:c r="L4">
        <x:v>4.0599999999999996</x:v>
      </x:c>
      <x:c r="M4">
        <x:v>3.76</x:v>
      </x:c>
      <x:c r="N4">
        <x:v>3.64</x:v>
      </x:c>
      <x:c r="O4">
        <x:v>3.94</x:v>
      </x:c>
      <x:c r="P4">
        <x:v>3.82</x:v>
      </x:c>
      <x:c r="Q4">
        <x:v>3.54</x:v>
      </x:c>
      <x:c r="R4">
        <x:v>3.59</x:v>
      </x:c>
      <x:c r="S4">
        <x:v>3.95</x:v>
      </x:c>
      <x:c r="T4">
        <x:v>4.1399999999999997</x:v>
      </x:c>
      <x:c r="U4">
        <x:v>4.3099999999999996</x:v>
      </x:c>
      <x:c r="V4">
        <x:v>4.49</x:v>
      </x:c>
      <x:c r="W4">
        <x:v>4.7699999999999996</x:v>
      </x:c>
      <x:c r="X4">
        <x:v>4.49</x:v>
      </x:c>
      <x:c r="Y4">
        <x:v>4</x:v>
      </x:c>
      <x:c r="Z4">
        <x:v>3.98</x:v>
      </x:c>
      <x:c r="AA4">
        <x:v>4.1900000000000004</x:v>
      </x:c>
      <x:c r="AB4">
        <x:v>4.2</x:v>
      </x:c>
      <x:c r="AC4">
        <x:v>4.5599999999999996</x:v>
      </x:c>
      <x:c r="AD4">
        <x:v>4.5</x:v>
      </x:c>
      <x:c r="AE4">
        <x:v>4.32</x:v>
      </x:c>
      <x:c r="AF4">
        <x:v>4.16</x:v>
      </x:c>
      <x:c r="AG4">
        <x:v>3.71</x:v>
      </x:c>
      <x:c r="AH4">
        <x:v>3.5</x:v>
      </x:c>
      <x:c r="AI4">
        <x:v>3.91</x:v>
      </x:c>
      <x:c r="AJ4">
        <x:v>4.2300000000000004</x:v>
      </x:c>
      <x:c r="AK4">
        <x:v>4.25</x:v>
      </x:c>
      <x:c r="AL4">
        <x:v>4.43</x:v>
      </x:c>
      <x:c r="AM4">
        <x:v>4.28</x:v>
      </x:c>
      <x:c r="AN4">
        <x:v>4.04</x:v>
      </x:c>
      <x:c r="AO4">
        <x:v>3.91</x:v>
      </x:c>
      <x:c r="AP4">
        <x:v>4.0199999999999996</x:v>
      </x:c>
      <x:c r="AQ4">
        <x:v>3.96</x:v>
      </x:c>
      <x:c r="AR4" s="11" t="n">
        <x:f>MAX(0,$AQ4+AVERAGE($AQ4-$AP4,$AP4-$AO4,$AO4-$AN4,$AN4-$AM4,$AM4-$AL4,$AL4-$AK4))</x:f>
        <x:v>3.9116666666666666</x:v>
      </x:c>
      <x:c r="AS4" s="12" t="n">
        <x:f>MAX(0,AR4+AVERAGE($AQ4-$AP4,$AP4-$AO4,$AO4-$AN4,$AN4-$AM4,$AM4-$AL4,$AL4-$AK4))</x:f>
        <x:v>3.8633333333333333</x:v>
      </x:c>
      <x:c r="AT4" s="12" t="n">
        <x:f>MAX(0,AS4+AVERAGE($AQ4-$AP4,$AP4-$AO4,$AO4-$AN4,$AN4-$AM4,$AM4-$AL4,$AL4-$AK4))</x:f>
        <x:v>3.815</x:v>
      </x:c>
      <x:c r="AU4" s="12" t="n">
        <x:f>MAX(0,AT4+AVERAGE($AQ4-$AP4,$AP4-$AO4,$AO4-$AN4,$AN4-$AM4,$AM4-$AL4,$AL4-$AK4))</x:f>
        <x:v>3.7666666666666666</x:v>
      </x:c>
      <x:c r="AV4" s="12" t="n">
        <x:f>MAX(0,AU4+AVERAGE($AQ4-$AP4,$AP4-$AO4,$AO4-$AN4,$AN4-$AM4,$AM4-$AL4,$AL4-$AK4))</x:f>
        <x:v>3.7183333333333333</x:v>
      </x:c>
      <x:c r="AW4" s="12" t="n">
        <x:f>MAX(0,AV4+AVERAGE($AQ4-$AP4,$AP4-$AO4,$AO4-$AN4,$AN4-$AM4,$AM4-$AL4,$AL4-$AK4))</x:f>
        <x:v>3.67</x:v>
      </x:c>
      <x:c r="AX4" s="12" t="n">
        <x:f>MAX(0,AW4+AVERAGE($AQ4-$AP4,$AP4-$AO4,$AO4-$AN4,$AN4-$AM4,$AM4-$AL4,$AL4-$AK4))</x:f>
        <x:v>3.6216666666666666</x:v>
      </x:c>
      <x:c r="AY4" s="12" t="n">
        <x:f>MAX(0,AX4+AVERAGE($AQ4-$AP4,$AP4-$AO4,$AO4-$AN4,$AN4-$AM4,$AM4-$AL4,$AL4-$AK4))</x:f>
        <x:v>3.5733333333333333</x:v>
      </x:c>
      <x:c r="AZ4" s="12" t="n">
        <x:f>MAX(0,AY4+AVERAGE($AQ4-$AP4,$AP4-$AO4,$AO4-$AN4,$AN4-$AM4,$AM4-$AL4,$AL4-$AK4))</x:f>
        <x:v>3.525</x:v>
      </x:c>
      <x:c r="BA4" s="12" t="n">
        <x:f>MAX(0,AZ4+AVERAGE($AQ4-$AP4,$AP4-$AO4,$AO4-$AN4,$AN4-$AM4,$AM4-$AL4,$AL4-$AK4))</x:f>
        <x:v>3.4766666666666666</x:v>
      </x:c>
      <x:c r="BB4" s="12" t="n">
        <x:f>MAX(0,BA4+AVERAGE($AQ4-$AP4,$AP4-$AO4,$AO4-$AN4,$AN4-$AM4,$AM4-$AL4,$AL4-$AK4))</x:f>
        <x:v>3.4283333333333332</x:v>
      </x:c>
      <x:c r="BC4" s="12" t="n">
        <x:f>MAX(0,BB4+AVERAGE($AQ4-$AP4,$AP4-$AO4,$AO4-$AN4,$AN4-$AM4,$AM4-$AL4,$AL4-$AK4))</x:f>
        <x:v>3.38</x:v>
      </x:c>
    </x:row>
    <x:row r="5">
      <x:c r="A5" t="s">
        <x:v>46</x:v>
      </x:c>
      <x:c r="B5">
        <x:v>1.76</x:v>
      </x:c>
      <x:c r="C5">
        <x:v>1.93</x:v>
      </x:c>
      <x:c r="D5">
        <x:v>2.13</x:v>
      </x:c>
      <x:c r="E5">
        <x:v>2.75</x:v>
      </x:c>
      <x:c r="F5">
        <x:v>2.9</x:v>
      </x:c>
      <x:c r="G5">
        <x:v>3.14</x:v>
      </x:c>
      <x:c r="H5">
        <x:v>2.9</x:v>
      </x:c>
      <x:c r="I5">
        <x:v>2.9</x:v>
      </x:c>
      <x:c r="J5">
        <x:v>3.52</x:v>
      </x:c>
      <x:c r="K5">
        <x:v>3.98</x:v>
      </x:c>
      <x:c r="L5">
        <x:v>3.89</x:v>
      </x:c>
      <x:c r="M5">
        <x:v>3.62</x:v>
      </x:c>
      <x:c r="N5">
        <x:v>3.53</x:v>
      </x:c>
      <x:c r="O5">
        <x:v>3.75</x:v>
      </x:c>
      <x:c r="P5">
        <x:v>3.66</x:v>
      </x:c>
      <x:c r="Q5">
        <x:v>3.46</x:v>
      </x:c>
      <x:c r="R5">
        <x:v>3.57</x:v>
      </x:c>
      <x:c r="S5">
        <x:v>3.75</x:v>
      </x:c>
      <x:c r="T5">
        <x:v>3.9</x:v>
      </x:c>
      <x:c r="U5">
        <x:v>4.17</x:v>
      </x:c>
      <x:c r="V5">
        <x:v>4.38</x:v>
      </x:c>
      <x:c r="W5">
        <x:v>4.8</x:v>
      </x:c>
      <x:c r="X5">
        <x:v>4.5</x:v>
      </x:c>
      <x:c r="Y5">
        <x:v>4.0199999999999996</x:v>
      </x:c>
      <x:c r="Z5">
        <x:v>4.0599999999999996</x:v>
      </x:c>
      <x:c r="AA5">
        <x:v>4.21</x:v>
      </x:c>
      <x:c r="AB5">
        <x:v>4.21</x:v>
      </x:c>
      <x:c r="AC5">
        <x:v>4.54</x:v>
      </x:c>
      <x:c r="AD5">
        <x:v>4.4800000000000004</x:v>
      </x:c>
      <x:c r="AE5">
        <x:v>4.3099999999999996</x:v>
      </x:c>
      <x:c r="AF5">
        <x:v>4.25</x:v>
      </x:c>
      <x:c r="AG5">
        <x:v>3.87</x:v>
      </x:c>
      <x:c r="AH5">
        <x:v>3.72</x:v>
      </x:c>
      <x:c r="AI5">
        <x:v>4.0999999999999996</x:v>
      </x:c>
      <x:c r="AJ5">
        <x:v>4.3600000000000003</x:v>
      </x:c>
      <x:c r="AK5">
        <x:v>4.3899999999999997</x:v>
      </x:c>
      <x:c r="AL5">
        <x:v>4.63</x:v>
      </x:c>
      <x:c r="AM5">
        <x:v>4.45</x:v>
      </x:c>
      <x:c r="AN5">
        <x:v>4.28</x:v>
      </x:c>
      <x:c r="AO5">
        <x:v>4.28</x:v>
      </x:c>
      <x:c r="AP5">
        <x:v>4.42</x:v>
      </x:c>
      <x:c r="AQ5">
        <x:v>4.38</x:v>
      </x:c>
      <x:c r="AR5" s="11" t="n">
        <x:f>MAX(0,$AQ5+AVERAGE($AQ5-$AP5,$AP5-$AO5,$AO5-$AN5,$AN5-$AM5,$AM5-$AL5,$AL5-$AK5))</x:f>
        <x:v>4.378333333333333</x:v>
      </x:c>
      <x:c r="AS5" s="12" t="n">
        <x:f>MAX(0,AR5+AVERAGE($AQ5-$AP5,$AP5-$AO5,$AO5-$AN5,$AN5-$AM5,$AM5-$AL5,$AL5-$AK5))</x:f>
        <x:v>4.376666666666666</x:v>
      </x:c>
      <x:c r="AT5" s="12" t="n">
        <x:f>MAX(0,AS5+AVERAGE($AQ5-$AP5,$AP5-$AO5,$AO5-$AN5,$AN5-$AM5,$AM5-$AL5,$AL5-$AK5))</x:f>
        <x:v>4.374999999999999</x:v>
      </x:c>
      <x:c r="AU5" s="12" t="n">
        <x:f>MAX(0,AT5+AVERAGE($AQ5-$AP5,$AP5-$AO5,$AO5-$AN5,$AN5-$AM5,$AM5-$AL5,$AL5-$AK5))</x:f>
        <x:v>4.373333333333332</x:v>
      </x:c>
      <x:c r="AV5" s="12" t="n">
        <x:f>MAX(0,AU5+AVERAGE($AQ5-$AP5,$AP5-$AO5,$AO5-$AN5,$AN5-$AM5,$AM5-$AL5,$AL5-$AK5))</x:f>
        <x:v>4.371666666666665</x:v>
      </x:c>
      <x:c r="AW5" s="12" t="n">
        <x:f>MAX(0,AV5+AVERAGE($AQ5-$AP5,$AP5-$AO5,$AO5-$AN5,$AN5-$AM5,$AM5-$AL5,$AL5-$AK5))</x:f>
        <x:v>4.369999999999998</x:v>
      </x:c>
      <x:c r="AX5" s="12" t="n">
        <x:f>MAX(0,AW5+AVERAGE($AQ5-$AP5,$AP5-$AO5,$AO5-$AN5,$AN5-$AM5,$AM5-$AL5,$AL5-$AK5))</x:f>
        <x:v>4.368333333333331</x:v>
      </x:c>
      <x:c r="AY5" s="12" t="n">
        <x:f>MAX(0,AX5+AVERAGE($AQ5-$AP5,$AP5-$AO5,$AO5-$AN5,$AN5-$AM5,$AM5-$AL5,$AL5-$AK5))</x:f>
        <x:v>4.3666666666666645</x:v>
      </x:c>
      <x:c r="AZ5" s="12" t="n">
        <x:f>MAX(0,AY5+AVERAGE($AQ5-$AP5,$AP5-$AO5,$AO5-$AN5,$AN5-$AM5,$AM5-$AL5,$AL5-$AK5))</x:f>
        <x:v>4.3649999999999975</x:v>
      </x:c>
      <x:c r="BA5" s="12" t="n">
        <x:f>MAX(0,AZ5+AVERAGE($AQ5-$AP5,$AP5-$AO5,$AO5-$AN5,$AN5-$AM5,$AM5-$AL5,$AL5-$AK5))</x:f>
        <x:v>4.363333333333331</x:v>
      </x:c>
      <x:c r="BB5" s="12" t="n">
        <x:f>MAX(0,BA5+AVERAGE($AQ5-$AP5,$AP5-$AO5,$AO5-$AN5,$AN5-$AM5,$AM5-$AL5,$AL5-$AK5))</x:f>
        <x:v>4.361666666666664</x:v>
      </x:c>
      <x:c r="BC5" s="12" t="n">
        <x:f>MAX(0,BB5+AVERAGE($AQ5-$AP5,$AP5-$AO5,$AO5-$AN5,$AN5-$AM5,$AM5-$AL5,$AL5-$AK5))</x:f>
        <x:v>4.359999999999997</x:v>
      </x:c>
    </x:row>
    <x:row r="6">
      <x:c r="A6" t="s">
        <x:v>47</x:v>
      </x:c>
      <x:c r="B6">
        <x:v>2.1</x:v>
      </x:c>
      <x:c r="C6">
        <x:v>2.25</x:v>
      </x:c>
      <x:c r="D6">
        <x:v>2.41</x:v>
      </x:c>
      <x:c r="E6">
        <x:v>2.81</x:v>
      </x:c>
      <x:c r="F6">
        <x:v>3.07</x:v>
      </x:c>
      <x:c r="G6">
        <x:v>3.25</x:v>
      </x:c>
      <x:c r="H6">
        <x:v>3.1</x:v>
      </x:c>
      <x:c r="I6">
        <x:v>3.13</x:v>
      </x:c>
      <x:c r="J6">
        <x:v>3.56</x:v>
      </x:c>
      <x:c r="K6">
        <x:v>4.04</x:v>
      </x:c>
      <x:c r="L6">
        <x:v>4</x:v>
      </x:c>
      <x:c r="M6">
        <x:v>3.66</x:v>
      </x:c>
      <x:c r="N6">
        <x:v>3.66</x:v>
      </x:c>
      <x:c r="O6">
        <x:v>3.8</x:v>
      </x:c>
      <x:c r="P6">
        <x:v>3.77</x:v>
      </x:c>
      <x:c r="Q6">
        <x:v>3.68</x:v>
      </x:c>
      <x:c r="R6">
        <x:v>3.86</x:v>
      </x:c>
      <x:c r="S6">
        <x:v>3.87</x:v>
      </x:c>
      <x:c r="T6">
        <x:v>3.96</x:v>
      </x:c>
      <x:c r="U6">
        <x:v>4.28</x:v>
      </x:c>
      <x:c r="V6">
        <x:v>4.47</x:v>
      </x:c>
      <x:c r="W6">
        <x:v>4.95</x:v>
      </x:c>
      <x:c r="X6">
        <x:v>4.66</x:v>
      </x:c>
      <x:c r="Y6">
        <x:v>4.1399999999999997</x:v>
      </x:c>
      <x:c r="Z6">
        <x:v>4.26</x:v>
      </x:c>
      <x:c r="AA6">
        <x:v>4.38</x:v>
      </x:c>
      <x:c r="AB6">
        <x:v>4.3600000000000003</x:v>
      </x:c>
      <x:c r="AC6">
        <x:v>4.66</x:v>
      </x:c>
      <x:c r="AD6">
        <x:v>4.62</x:v>
      </x:c>
      <x:c r="AE6">
        <x:v>4.4400000000000004</x:v>
      </x:c>
      <x:c r="AF6">
        <x:v>4.46</x:v>
      </x:c>
      <x:c r="AG6">
        <x:v>4.1500000000000004</x:v>
      </x:c>
      <x:c r="AH6">
        <x:v>4.04</x:v>
      </x:c>
      <x:c r="AI6">
        <x:v>4.38</x:v>
      </x:c>
      <x:c r="AJ6">
        <x:v>4.54</x:v>
      </x:c>
      <x:c r="AK6">
        <x:v>4.58</x:v>
      </x:c>
      <x:c r="AL6">
        <x:v>4.8499999999999996</x:v>
      </x:c>
      <x:c r="AM6">
        <x:v>4.68</x:v>
      </x:c>
      <x:c r="AN6">
        <x:v>4.5999999999999996</x:v>
      </x:c>
      <x:c r="AO6">
        <x:v>4.71</x:v>
      </x:c>
      <x:c r="AP6">
        <x:v>4.9000000000000004</x:v>
      </x:c>
      <x:c r="AQ6">
        <x:v>4.8899999999999997</x:v>
      </x:c>
      <x:c r="AR6" s="11" t="n">
        <x:f>MAX(0,$AQ6+AVERAGE($AQ6-$AP6,$AP6-$AO6,$AO6-$AN6,$AN6-$AM6,$AM6-$AL6,$AL6-$AK6))</x:f>
        <x:v>4.941666666666666</x:v>
      </x:c>
      <x:c r="AS6" s="12" t="n">
        <x:f>MAX(0,AR6+AVERAGE($AQ6-$AP6,$AP6-$AO6,$AO6-$AN6,$AN6-$AM6,$AM6-$AL6,$AL6-$AK6))</x:f>
        <x:v>4.993333333333333</x:v>
      </x:c>
      <x:c r="AT6" s="12" t="n">
        <x:f>MAX(0,AS6+AVERAGE($AQ6-$AP6,$AP6-$AO6,$AO6-$AN6,$AN6-$AM6,$AM6-$AL6,$AL6-$AK6))</x:f>
        <x:v>5.045</x:v>
      </x:c>
      <x:c r="AU6" s="12" t="n">
        <x:f>MAX(0,AT6+AVERAGE($AQ6-$AP6,$AP6-$AO6,$AO6-$AN6,$AN6-$AM6,$AM6-$AL6,$AL6-$AK6))</x:f>
        <x:v>5.096666666666667</x:v>
      </x:c>
      <x:c r="AV6" s="12" t="n">
        <x:f>MAX(0,AU6+AVERAGE($AQ6-$AP6,$AP6-$AO6,$AO6-$AN6,$AN6-$AM6,$AM6-$AL6,$AL6-$AK6))</x:f>
        <x:v>5.148333333333333</x:v>
      </x:c>
      <x:c r="AW6" s="12" t="n">
        <x:f>MAX(0,AV6+AVERAGE($AQ6-$AP6,$AP6-$AO6,$AO6-$AN6,$AN6-$AM6,$AM6-$AL6,$AL6-$AK6))</x:f>
        <x:v>5.2</x:v>
      </x:c>
      <x:c r="AX6" s="12" t="n">
        <x:f>MAX(0,AW6+AVERAGE($AQ6-$AP6,$AP6-$AO6,$AO6-$AN6,$AN6-$AM6,$AM6-$AL6,$AL6-$AK6))</x:f>
        <x:v>5.251666666666667</x:v>
      </x:c>
      <x:c r="AY6" s="12" t="n">
        <x:f>MAX(0,AX6+AVERAGE($AQ6-$AP6,$AP6-$AO6,$AO6-$AN6,$AN6-$AM6,$AM6-$AL6,$AL6-$AK6))</x:f>
        <x:v>5.303333333333334</x:v>
      </x:c>
      <x:c r="AZ6" s="12" t="n">
        <x:f>MAX(0,AY6+AVERAGE($AQ6-$AP6,$AP6-$AO6,$AO6-$AN6,$AN6-$AM6,$AM6-$AL6,$AL6-$AK6))</x:f>
        <x:v>5.355</x:v>
      </x:c>
      <x:c r="BA6" s="12" t="n">
        <x:f>MAX(0,AZ6+AVERAGE($AQ6-$AP6,$AP6-$AO6,$AO6-$AN6,$AN6-$AM6,$AM6-$AL6,$AL6-$AK6))</x:f>
        <x:v>5.406666666666667</x:v>
      </x:c>
      <x:c r="BB6" s="12" t="n">
        <x:f>MAX(0,BA6+AVERAGE($AQ6-$AP6,$AP6-$AO6,$AO6-$AN6,$AN6-$AM6,$AM6-$AL6,$AL6-$AK6))</x:f>
        <x:v>5.458333333333334</x:v>
      </x:c>
      <x:c r="BC6" s="12" t="n">
        <x:f>MAX(0,BB6+AVERAGE($AQ6-$AP6,$AP6-$AO6,$AO6-$AN6,$AN6-$AM6,$AM6-$AL6,$AL6-$AK6))</x:f>
        <x:v>5.510000000000001</x:v>
      </x:c>
    </x:row>
    <x:row r="7">
      <x:c r="A7" t="s">
        <x:v>48</x:v>
      </x:c>
      <x:c r="B7">
        <x:v>0.15</x:v>
      </x:c>
      <x:c r="C7">
        <x:v>0.33</x:v>
      </x:c>
      <x:c r="D7">
        <x:v>0.44</x:v>
      </x:c>
      <x:c r="E7">
        <x:v>0.76</x:v>
      </x:c>
      <x:c r="F7">
        <x:v>0.98</x:v>
      </x:c>
      <x:c r="G7">
        <x:v>1.49</x:v>
      </x:c>
      <x:c r="H7">
        <x:v>2.23</x:v>
      </x:c>
      <x:c r="I7">
        <x:v>2.63</x:v>
      </x:c>
      <x:c r="J7">
        <x:v>3.13</x:v>
      </x:c>
      <x:c r="K7">
        <x:v>3.72</x:v>
      </x:c>
      <x:c r="L7">
        <x:v>4.1500000000000004</x:v>
      </x:c>
      <x:c r="M7">
        <x:v>4.25</x:v>
      </x:c>
      <x:c r="N7">
        <x:v>4.54</x:v>
      </x:c>
      <x:c r="O7">
        <x:v>4.6500000000000004</x:v>
      </x:c>
      <x:c r="P7">
        <x:v>4.6900000000000004</x:v>
      </x:c>
      <x:c r="Q7">
        <x:v>4.92</x:v>
      </x:c>
      <x:c r="R7">
        <x:v>5.14</x:v>
      </x:c>
      <x:c r="S7">
        <x:v>5.16</x:v>
      </x:c>
      <x:c r="T7">
        <x:v>5.25</x:v>
      </x:c>
      <x:c r="U7">
        <x:v>5.3</x:v>
      </x:c>
      <x:c r="V7">
        <x:v>5.32</x:v>
      </x:c>
      <x:c r="W7">
        <x:v>5.34</x:v>
      </x:c>
      <x:c r="X7">
        <x:v>5.27</x:v>
      </x:c>
      <x:c r="Y7">
        <x:v>5.24</x:v>
      </x:c>
      <x:c r="Z7">
        <x:v>5.22</x:v>
      </x:c>
      <x:c r="AA7">
        <x:v>5.24</x:v>
      </x:c>
      <x:c r="AB7">
        <x:v>5.24</x:v>
      </x:c>
      <x:c r="AC7">
        <x:v>5.24</x:v>
      </x:c>
      <x:c r="AD7">
        <x:v>5.25</x:v>
      </x:c>
      <x:c r="AE7">
        <x:v>5.24</x:v>
      </x:c>
      <x:c r="AF7">
        <x:v>5.2</x:v>
      </x:c>
      <x:c r="AG7">
        <x:v>5.05</x:v>
      </x:c>
      <x:c r="AH7">
        <x:v>4.72</x:v>
      </x:c>
      <x:c r="AI7">
        <x:v>4.51</x:v>
      </x:c>
      <x:c r="AJ7">
        <x:v>4.42</x:v>
      </x:c>
      <x:c r="AK7">
        <x:v>4.2699999999999996</x:v>
      </x:c>
      <x:c r="AL7">
        <x:v>4.21</x:v>
      </x:c>
      <x:c r="AM7">
        <x:v>4.22</x:v>
      </x:c>
      <x:c r="AN7">
        <x:v>4.2</x:v>
      </x:c>
      <x:c r="AO7">
        <x:v>4.21</x:v>
      </x:c>
      <x:c r="AP7">
        <x:v>4.25</x:v>
      </x:c>
      <x:c r="AQ7">
        <x:v>4.2300000000000004</x:v>
      </x:c>
      <x:c r="AR7" s="11" t="n">
        <x:f>MAX(0,$AQ7+AVERAGE($AQ7-$AP7,$AP7-$AO7,$AO7-$AN7,$AN7-$AM7,$AM7-$AL7,$AL7-$AK7))</x:f>
        <x:v>4.223333333333334</x:v>
      </x:c>
      <x:c r="AS7" s="12" t="n">
        <x:f>MAX(0,AR7+AVERAGE($AQ7-$AP7,$AP7-$AO7,$AO7-$AN7,$AN7-$AM7,$AM7-$AL7,$AL7-$AK7))</x:f>
        <x:v>4.216666666666667</x:v>
      </x:c>
      <x:c r="AT7" s="12" t="n">
        <x:f>MAX(0,AS7+AVERAGE($AQ7-$AP7,$AP7-$AO7,$AO7-$AN7,$AN7-$AM7,$AM7-$AL7,$AL7-$AK7))</x:f>
        <x:v>4.21</x:v>
      </x:c>
      <x:c r="AU7" s="12" t="n">
        <x:f>MAX(0,AT7+AVERAGE($AQ7-$AP7,$AP7-$AO7,$AO7-$AN7,$AN7-$AM7,$AM7-$AL7,$AL7-$AK7))</x:f>
        <x:v>4.203333333333333</x:v>
      </x:c>
      <x:c r="AV7" s="12" t="n">
        <x:f>MAX(0,AU7+AVERAGE($AQ7-$AP7,$AP7-$AO7,$AO7-$AN7,$AN7-$AM7,$AM7-$AL7,$AL7-$AK7))</x:f>
        <x:v>4.196666666666666</x:v>
      </x:c>
      <x:c r="AW7" s="12" t="n">
        <x:f>MAX(0,AV7+AVERAGE($AQ7-$AP7,$AP7-$AO7,$AO7-$AN7,$AN7-$AM7,$AM7-$AL7,$AL7-$AK7))</x:f>
        <x:v>4.1899999999999995</x:v>
      </x:c>
      <x:c r="AX7" s="12" t="n">
        <x:f>MAX(0,AW7+AVERAGE($AQ7-$AP7,$AP7-$AO7,$AO7-$AN7,$AN7-$AM7,$AM7-$AL7,$AL7-$AK7))</x:f>
        <x:v>4.183333333333333</x:v>
      </x:c>
      <x:c r="AY7" s="12" t="n">
        <x:f>MAX(0,AX7+AVERAGE($AQ7-$AP7,$AP7-$AO7,$AO7-$AN7,$AN7-$AM7,$AM7-$AL7,$AL7-$AK7))</x:f>
        <x:v>4.176666666666666</x:v>
      </x:c>
      <x:c r="AZ7" s="12" t="n">
        <x:f>MAX(0,AY7+AVERAGE($AQ7-$AP7,$AP7-$AO7,$AO7-$AN7,$AN7-$AM7,$AM7-$AL7,$AL7-$AK7))</x:f>
        <x:v>4.169999999999999</x:v>
      </x:c>
      <x:c r="BA7" s="12" t="n">
        <x:f>MAX(0,AZ7+AVERAGE($AQ7-$AP7,$AP7-$AO7,$AO7-$AN7,$AN7-$AM7,$AM7-$AL7,$AL7-$AK7))</x:f>
        <x:v>4.163333333333332</x:v>
      </x:c>
      <x:c r="BB7" s="12" t="n">
        <x:f>MAX(0,BA7+AVERAGE($AQ7-$AP7,$AP7-$AO7,$AO7-$AN7,$AN7-$AM7,$AM7-$AL7,$AL7-$AK7))</x:f>
        <x:v>4.156666666666665</x:v>
      </x:c>
      <x:c r="BC7" s="12" t="n">
        <x:f>MAX(0,BB7+AVERAGE($AQ7-$AP7,$AP7-$AO7,$AO7-$AN7,$AN7-$AM7,$AM7-$AL7,$AL7-$AK7))</x:f>
        <x:v>4.149999999999999</x:v>
      </x:c>
    </x:row>
    <x:row r="8">
      <x:c r="A8" t="s">
        <x:v>49</x:v>
      </x:c>
      <x:c r="B8">
        <x:v>3.25</x:v>
      </x:c>
      <x:c r="C8">
        <x:v>3.25</x:v>
      </x:c>
      <x:c r="D8">
        <x:v>3.37</x:v>
      </x:c>
      <x:c r="E8">
        <x:v>3.5</x:v>
      </x:c>
      <x:c r="F8">
        <x:v>3.94</x:v>
      </x:c>
      <x:c r="G8">
        <x:v>4.38</x:v>
      </x:c>
      <x:c r="H8">
        <x:v>4.8499999999999996</x:v>
      </x:c>
      <x:c r="I8">
        <x:v>5.5</x:v>
      </x:c>
      <x:c r="J8">
        <x:v>5.73</x:v>
      </x:c>
      <x:c r="K8">
        <x:v>6.25</x:v>
      </x:c>
      <x:c r="L8">
        <x:v>6.95</x:v>
      </x:c>
      <x:c r="M8">
        <x:v>7.27</x:v>
      </x:c>
      <x:c r="N8">
        <x:v>7.5</x:v>
      </x:c>
      <x:c r="O8">
        <x:v>7.74</x:v>
      </x:c>
      <x:c r="P8">
        <x:v>7.82</x:v>
      </x:c>
      <x:c r="Q8">
        <x:v>8</x:v>
      </x:c>
      <x:c r="R8">
        <x:v>8.23</x:v>
      </x:c>
      <x:c r="S8">
        <x:v>8.25</x:v>
      </x:c>
      <x:c r="T8">
        <x:v>8.2899999999999991</x:v>
      </x:c>
      <x:c r="U8">
        <x:v>8.5</x:v>
      </x:c>
      <x:c r="V8">
        <x:v>8.5</x:v>
      </x:c>
      <x:c r="W8">
        <x:v>8.5</x:v>
      </x:c>
      <x:c r="X8">
        <x:v>8.5</x:v>
      </x:c>
      <x:c r="Y8">
        <x:v>8.5</x:v>
      </x:c>
      <x:c r="Z8">
        <x:v>8.5</x:v>
      </x:c>
      <x:c r="AA8">
        <x:v>8.5</x:v>
      </x:c>
      <x:c r="AB8">
        <x:v>8.5</x:v>
      </x:c>
      <x:c r="AC8">
        <x:v>8.5</x:v>
      </x:c>
      <x:c r="AD8">
        <x:v>8.5</x:v>
      </x:c>
      <x:c r="AE8">
        <x:v>8.5</x:v>
      </x:c>
      <x:c r="AF8">
        <x:v>8.5</x:v>
      </x:c>
      <x:c r="AG8">
        <x:v>8.5</x:v>
      </x:c>
      <x:c r="AH8">
        <x:v>8.3000000000000007</x:v>
      </x:c>
      <x:c r="AI8">
        <x:v>8</x:v>
      </x:c>
      <x:c r="AJ8">
        <x:v>7.81</x:v>
      </x:c>
      <x:c r="AK8">
        <x:v>7.65</x:v>
      </x:c>
      <x:c r="AL8">
        <x:v>7.5</x:v>
      </x:c>
      <x:c r="AM8">
        <x:v>7.5</x:v>
      </x:c>
      <x:c r="AN8">
        <x:v>7.5</x:v>
      </x:c>
      <x:c r="AO8">
        <x:v>7.5</x:v>
      </x:c>
      <x:c r="AP8">
        <x:v>7.5</x:v>
      </x:c>
      <x:c r="AQ8">
        <x:v>7.5</x:v>
      </x:c>
      <x:c r="AR8" s="11" t="n">
        <x:f>AR2+($AQ8-$AQ2)</x:f>
        <x:v>7.475</x:v>
      </x:c>
      <x:c r="AS8" s="12" t="n">
        <x:f>AS2+($AQ8-$AQ2)</x:f>
        <x:v>7.449999999999999</x:v>
      </x:c>
      <x:c r="AT8" s="12" t="n">
        <x:f>AT2+($AQ8-$AQ2)</x:f>
        <x:v>7.424999999999999</x:v>
      </x:c>
      <x:c r="AU8" s="12" t="n">
        <x:f>AU2+($AQ8-$AQ2)</x:f>
        <x:v>7.399999999999999</x:v>
      </x:c>
      <x:c r="AV8" s="12" t="n">
        <x:f>AV2+($AQ8-$AQ2)</x:f>
        <x:v>7.374999999999998</x:v>
      </x:c>
      <x:c r="AW8" s="12" t="n">
        <x:f>AW2+($AQ8-$AQ2)</x:f>
        <x:v>7.349999999999998</x:v>
      </x:c>
      <x:c r="AX8" s="12" t="n">
        <x:f>AX2+($AQ8-$AQ2)</x:f>
        <x:v>7.3249999999999975</x:v>
      </x:c>
      <x:c r="AY8" s="12" t="n">
        <x:f>AY2+($AQ8-$AQ2)</x:f>
        <x:v>7.299999999999997</x:v>
      </x:c>
      <x:c r="AZ8" s="12" t="n">
        <x:f>AZ2+($AQ8-$AQ2)</x:f>
        <x:v>7.274999999999997</x:v>
      </x:c>
      <x:c r="BA8" s="12" t="n">
        <x:f>BA2+($AQ8-$AQ2)</x:f>
        <x:v>7.2499999999999964</x:v>
      </x:c>
      <x:c r="BB8" s="12" t="n">
        <x:f>BB2+($AQ8-$AQ2)</x:f>
        <x:v>7.224999999999996</x:v>
      </x:c>
      <x:c r="BC8" s="12" t="n">
        <x:f>BC2+($AQ8-$AQ2)</x:f>
        <x:v>7.199999999999996</x:v>
      </x:c>
    </x:row>
    <x:row r="9">
      <x:c r="A9" t="s">
        <x:v>50</x:v>
      </x:c>
      <x:c r="B9">
        <x:v>286.04700000000003</x:v>
      </x:c>
      <x:c r="C9">
        <x:v>291.03100000000001</x:v>
      </x:c>
      <x:c r="D9">
        <x:v>296.245</x:v>
      </x:c>
      <x:c r="E9">
        <x:v>300.27499999999998</x:v>
      </x:c>
      <x:c r="F9">
        <x:v>303.27600000000001</x:v>
      </x:c>
      <x:c r="G9">
        <x:v>304.14800000000002</x:v>
      </x:c>
      <x:c r="H9">
        <x:v>303.38299999999998</x:v>
      </x:c>
      <x:c r="I9">
        <x:v>301.12299999999999</x:v>
      </x:c>
      <x:c r="J9">
        <x:v>299.13600000000002</x:v>
      </x:c>
      <x:c r="K9">
        <x:v>298.76600000000002</x:v>
      </x:c>
      <x:c r="L9">
        <x:v>298.39800000000002</x:v>
      </x:c>
      <x:c r="M9">
        <x:v>297.637</x:v>
      </x:c>
      <x:c r="N9">
        <x:v>297.22800000000001</x:v>
      </x:c>
      <x:c r="O9">
        <x:v>297.53300000000002</x:v>
      </x:c>
      <x:c r="P9">
        <x:v>298.62900000000002</x:v>
      </x:c>
      <x:c r="Q9">
        <x:v>300.06799999999998</x:v>
      </x:c>
      <x:c r="R9">
        <x:v>302.07499999999999</x:v>
      </x:c>
      <x:c r="S9">
        <x:v>304.18099999999998</x:v>
      </x:c>
      <x:c r="T9">
        <x:v>306.548</x:v>
      </x:c>
      <x:c r="U9">
        <x:v>309.21600000000001</x:v>
      </x:c>
      <x:c r="V9">
        <x:v>311.35000000000002</x:v>
      </x:c>
      <x:c r="W9">
        <x:v>313.24</x:v>
      </x:c>
      <x:c r="X9">
        <x:v>313.995</x:v>
      </x:c>
      <x:c r="Y9">
        <x:v>314.69099999999997</x:v>
      </x:c>
      <x:c r="Z9">
        <x:v>315.65100000000001</x:v>
      </x:c>
      <x:c r="AA9">
        <x:v>316.91899999999998</x:v>
      </x:c>
      <x:c r="AB9">
        <x:v>318.05700000000002</x:v>
      </x:c>
      <x:c r="AC9">
        <x:v>319.137</x:v>
      </x:c>
      <x:c r="AD9">
        <x:v>320.02</x:v>
      </x:c>
      <x:c r="AE9">
        <x:v>320.8</x:v>
      </x:c>
      <x:c r="AF9">
        <x:v>321.64499999999998</x:v>
      </x:c>
      <x:c r="AG9">
        <x:v>322.55900000000003</x:v>
      </x:c>
      <x:c r="AH9">
        <x:v>323.57900000000001</x:v>
      </x:c>
      <x:c r="AI9">
        <x:v>324.505</x:v>
      </x:c>
      <x:c r="AJ9">
        <x:v>325.791</x:v>
      </x:c>
      <x:c r="AK9">
        <x:v>327.35899999999998</x:v>
      </x:c>
      <x:c r="AL9">
        <x:v>328.78800000000001</x:v>
      </x:c>
      <x:c r="AM9">
        <x:v>329.47199999999998</x:v>
      </x:c>
      <x:c r="AN9">
        <x:v>328.94400000000002</x:v>
      </x:c>
      <x:c r="AO9">
        <x:v>328.15699999999998</x:v>
      </x:c>
      <x:c r="AP9">
        <x:v>327.52999999999997</x:v>
      </x:c>
      <x:c r="AQ9">
        <x:v>327.01100000000002</x:v>
      </x:c>
      <x:c r="AR9" s="11" t="n">
        <x:f>MAX(0,$AQ9+AVERAGE($AQ9-$AP9,$AP9-$AO9,$AO9-$AN9,$AN9-$AM9,$AM9-$AL9,$AL9-$AK9))</x:f>
        <x:v>326.95300000000003</x:v>
      </x:c>
      <x:c r="AS9" s="12" t="n">
        <x:f>MAX(0,AR9+AVERAGE($AQ9-$AP9,$AP9-$AO9,$AO9-$AN9,$AN9-$AM9,$AM9-$AL9,$AL9-$AK9))</x:f>
        <x:v>326.89500000000004</x:v>
      </x:c>
      <x:c r="AT9" s="12" t="n">
        <x:f>MAX(0,AS9+AVERAGE($AQ9-$AP9,$AP9-$AO9,$AO9-$AN9,$AN9-$AM9,$AM9-$AL9,$AL9-$AK9))</x:f>
        <x:v>326.83700000000005</x:v>
      </x:c>
      <x:c r="AU9" s="12" t="n">
        <x:f>MAX(0,AT9+AVERAGE($AQ9-$AP9,$AP9-$AO9,$AO9-$AN9,$AN9-$AM9,$AM9-$AL9,$AL9-$AK9))</x:f>
        <x:v>326.77900000000005</x:v>
      </x:c>
      <x:c r="AV9" s="12" t="n">
        <x:f>MAX(0,AU9+AVERAGE($AQ9-$AP9,$AP9-$AO9,$AO9-$AN9,$AN9-$AM9,$AM9-$AL9,$AL9-$AK9))</x:f>
        <x:v>326.72100000000006</x:v>
      </x:c>
      <x:c r="AW9" s="12" t="n">
        <x:f>MAX(0,AV9+AVERAGE($AQ9-$AP9,$AP9-$AO9,$AO9-$AN9,$AN9-$AM9,$AM9-$AL9,$AL9-$AK9))</x:f>
        <x:v>326.66300000000007</x:v>
      </x:c>
      <x:c r="AX9" s="12" t="n">
        <x:f>MAX(0,AW9+AVERAGE($AQ9-$AP9,$AP9-$AO9,$AO9-$AN9,$AN9-$AM9,$AM9-$AL9,$AL9-$AK9))</x:f>
        <x:v>326.6050000000001</x:v>
      </x:c>
      <x:c r="AY9" s="12" t="n">
        <x:f>MAX(0,AX9+AVERAGE($AQ9-$AP9,$AP9-$AO9,$AO9-$AN9,$AN9-$AM9,$AM9-$AL9,$AL9-$AK9))</x:f>
        <x:v>326.5470000000001</x:v>
      </x:c>
      <x:c r="AZ9" s="12" t="n">
        <x:f>MAX(0,AY9+AVERAGE($AQ9-$AP9,$AP9-$AO9,$AO9-$AN9,$AN9-$AM9,$AM9-$AL9,$AL9-$AK9))</x:f>
        <x:v>326.4890000000001</x:v>
      </x:c>
      <x:c r="BA9" s="12" t="n">
        <x:f>MAX(0,AZ9+AVERAGE($AQ9-$AP9,$AP9-$AO9,$AO9-$AN9,$AN9-$AM9,$AM9-$AL9,$AL9-$AK9))</x:f>
        <x:v>326.4310000000001</x:v>
      </x:c>
      <x:c r="BB9" s="12" t="n">
        <x:f>MAX(0,BA9+AVERAGE($AQ9-$AP9,$AP9-$AO9,$AO9-$AN9,$AN9-$AM9,$AM9-$AL9,$AL9-$AK9))</x:f>
        <x:v>326.3730000000001</x:v>
      </x:c>
      <x:c r="BC9" s="12" t="n">
        <x:f>MAX(0,BB9+AVERAGE($AQ9-$AP9,$AP9-$AO9,$AO9-$AN9,$AN9-$AM9,$AM9-$AL9,$AL9-$AK9))</x:f>
        <x:v>326.3150000000001</x:v>
      </x:c>
    </x:row>
    <x:row r="10">
      <x:c r="A10" t="s">
        <x:v>51</x:v>
      </x:c>
      <x:c r="B10">
        <x:v>281.88</x:v>
      </x:c>
      <x:c r="C10">
        <x:v>287.09500000000003</x:v>
      </x:c>
      <x:c r="D10">
        <x:v>294.88600000000002</x:v>
      </x:c>
      <x:c r="E10">
        <x:v>301.50099999999998</x:v>
      </x:c>
      <x:c r="F10">
        <x:v>306.262</x:v>
      </x:c>
      <x:c r="G10">
        <x:v>308.05500000000001</x:v>
      </x:c>
      <x:c r="H10">
        <x:v>306.88799999999998</x:v>
      </x:c>
      <x:c r="I10">
        <x:v>303.46199999999999</x:v>
      </x:c>
      <x:c r="J10">
        <x:v>300.29199999999997</x:v>
      </x:c>
      <x:c r="K10">
        <x:v>298.50599999999997</x:v>
      </x:c>
      <x:c r="L10">
        <x:v>296.69</x:v>
      </x:c>
      <x:c r="M10">
        <x:v>294.18099999999998</x:v>
      </x:c>
      <x:c r="N10">
        <x:v>292.67099999999999</x:v>
      </x:c>
      <x:c r="O10">
        <x:v>293.46199999999999</x:v>
      </x:c>
      <x:c r="P10">
        <x:v>297.38299999999998</x:v>
      </x:c>
      <x:c r="Q10">
        <x:v>301.49599999999998</x:v>
      </x:c>
      <x:c r="R10">
        <x:v>305.35899999999998</x:v>
      </x:c>
      <x:c r="S10">
        <x:v>308.30900000000003</x:v>
      </x:c>
      <x:c r="T10">
        <x:v>310.22300000000001</x:v>
      </x:c>
      <x:c r="U10">
        <x:v>311.58300000000003</x:v>
      </x:c>
      <x:c r="V10">
        <x:v>312.44</x:v>
      </x:c>
      <x:c r="W10">
        <x:v>312.79199999999997</x:v>
      </x:c>
      <x:c r="X10">
        <x:v>312.03300000000002</x:v>
      </x:c>
      <x:c r="Y10">
        <x:v>310.85000000000002</x:v>
      </x:c>
      <x:c r="Z10">
        <x:v>310.71300000000002</x:v>
      </x:c>
      <x:c r="AA10">
        <x:v>312.625</x:v>
      </x:c>
      <x:c r="AB10">
        <x:v>316.80799999999999</x:v>
      </x:c>
      <x:c r="AC10">
        <x:v>320.74799999999999</x:v>
      </x:c>
      <x:c r="AD10">
        <x:v>323.69600000000003</x:v>
      </x:c>
      <x:c r="AE10">
        <x:v>325.25599999999997</x:v>
      </x:c>
      <x:c r="AF10">
        <x:v>325.56599999999997</x:v>
      </x:c>
      <x:c r="AG10">
        <x:v>325.00299999999999</x:v>
      </x:c>
      <x:c r="AH10">
        <x:v>324.62099999999998</x:v>
      </x:c>
      <x:c r="AI10">
        <x:v>323.93700000000001</x:v>
      </x:c>
      <x:c r="AJ10">
        <x:v>323.654</x:v>
      </x:c>
      <x:c r="AK10">
        <x:v>323.27499999999998</x:v>
      </x:c>
      <x:c r="AL10">
        <x:v>323.63099999999997</x:v>
      </x:c>
      <x:c r="AM10">
        <x:v>325.09699999999998</x:v>
      </x:c>
      <x:c r="AN10">
        <x:v>327.69600000000003</x:v>
      </x:c>
      <x:c r="AO10">
        <x:v>329.84800000000001</x:v>
      </x:c>
      <x:c r="AP10">
        <x:v>331.36700000000002</x:v>
      </x:c>
      <x:c r="AQ10">
        <x:v>331.56400000000002</x:v>
      </x:c>
      <x:c r="AR10" s="11" t="n">
        <x:f>MAX(0,$AQ10+AVERAGE($AQ10-$AP10,$AP10-$AO10,$AO10-$AN10,$AN10-$AM10,$AM10-$AL10,$AL10-$AK10))</x:f>
        <x:v>332.94550000000004</x:v>
      </x:c>
      <x:c r="AS10" s="12" t="n">
        <x:f>MAX(0,AR10+AVERAGE($AQ10-$AP10,$AP10-$AO10,$AO10-$AN10,$AN10-$AM10,$AM10-$AL10,$AL10-$AK10))</x:f>
        <x:v>334.32700000000006</x:v>
      </x:c>
      <x:c r="AT10" s="12" t="n">
        <x:f>MAX(0,AS10+AVERAGE($AQ10-$AP10,$AP10-$AO10,$AO10-$AN10,$AN10-$AM10,$AM10-$AL10,$AL10-$AK10))</x:f>
        <x:v>335.7085000000001</x:v>
      </x:c>
      <x:c r="AU10" s="12" t="n">
        <x:f>MAX(0,AT10+AVERAGE($AQ10-$AP10,$AP10-$AO10,$AO10-$AN10,$AN10-$AM10,$AM10-$AL10,$AL10-$AK10))</x:f>
        <x:v>337.0900000000001</x:v>
      </x:c>
      <x:c r="AV10" s="12" t="n">
        <x:f>MAX(0,AU10+AVERAGE($AQ10-$AP10,$AP10-$AO10,$AO10-$AN10,$AN10-$AM10,$AM10-$AL10,$AL10-$AK10))</x:f>
        <x:v>338.4715000000001</x:v>
      </x:c>
      <x:c r="AW10" s="12" t="n">
        <x:f>MAX(0,AV10+AVERAGE($AQ10-$AP10,$AP10-$AO10,$AO10-$AN10,$AN10-$AM10,$AM10-$AL10,$AL10-$AK10))</x:f>
        <x:v>339.8530000000001</x:v>
      </x:c>
      <x:c r="AX10" s="12" t="n">
        <x:f>MAX(0,AW10+AVERAGE($AQ10-$AP10,$AP10-$AO10,$AO10-$AN10,$AN10-$AM10,$AM10-$AL10,$AL10-$AK10))</x:f>
        <x:v>341.23450000000014</x:v>
      </x:c>
      <x:c r="AY10" s="12" t="n">
        <x:f>MAX(0,AX10+AVERAGE($AQ10-$AP10,$AP10-$AO10,$AO10-$AN10,$AN10-$AM10,$AM10-$AL10,$AL10-$AK10))</x:f>
        <x:v>342.61600000000016</x:v>
      </x:c>
      <x:c r="AZ10" s="12" t="n">
        <x:f>MAX(0,AY10+AVERAGE($AQ10-$AP10,$AP10-$AO10,$AO10-$AN10,$AN10-$AM10,$AM10-$AL10,$AL10-$AK10))</x:f>
        <x:v>343.9975000000002</x:v>
      </x:c>
      <x:c r="BA10" s="12" t="n">
        <x:f>MAX(0,AZ10+AVERAGE($AQ10-$AP10,$AP10-$AO10,$AO10-$AN10,$AN10-$AM10,$AM10-$AL10,$AL10-$AK10))</x:f>
        <x:v>345.3790000000002</x:v>
      </x:c>
      <x:c r="BB10" s="12" t="n">
        <x:f>MAX(0,BA10+AVERAGE($AQ10-$AP10,$AP10-$AO10,$AO10-$AN10,$AN10-$AM10,$AM10-$AL10,$AL10-$AK10))</x:f>
        <x:v>346.7605000000002</x:v>
      </x:c>
      <x:c r="BC10" s="12" t="n">
        <x:f>MAX(0,BB10+AVERAGE($AQ10-$AP10,$AP10-$AO10,$AO10-$AN10,$AN10-$AM10,$AM10-$AL10,$AL10-$AK10))</x:f>
        <x:v>348.1420000000002</x:v>
      </x:c>
    </x:row>
    <x:row r="11">
      <x:c r="A11" t="s">
        <x:v>52</x:v>
      </x:c>
      <x:c r="B11">
        <x:v>3.4449999999999998</x:v>
      </x:c>
      <x:c r="C11">
        <x:v>3.7625000000000002</x:v>
      </x:c>
      <x:c r="D11">
        <x:v>4.1719999999999997</x:v>
      </x:c>
      <x:c r="E11">
        <x:v>4.9824999999999999</x:v>
      </x:c>
      <x:c r="F11">
        <x:v>5.23</x:v>
      </x:c>
      <x:c r="G11">
        <x:v>5.5220000000000002</x:v>
      </x:c>
      <x:c r="H11">
        <x:v>5.4124999999999996</x:v>
      </x:c>
      <x:c r="I11">
        <x:v>5.2225000000000001</x:v>
      </x:c>
      <x:c r="J11">
        <x:v>6.1120000000000001</x:v>
      </x:c>
      <x:c r="K11">
        <x:v>6.9</x:v>
      </x:c>
      <x:c r="L11">
        <x:v>6.8049999999999997</x:v>
      </x:c>
      <x:c r="M11">
        <x:v>6.3639999999999999</x:v>
      </x:c>
      <x:c r="N11">
        <x:v>6.2725</x:v>
      </x:c>
      <x:c r="O11">
        <x:v>6.2575000000000003</x:v>
      </x:c>
      <x:c r="P11">
        <x:v>6.5439999999999996</x:v>
      </x:c>
      <x:c r="Q11">
        <x:v>6.3425000000000002</x:v>
      </x:c>
      <x:c r="R11">
        <x:v>6.4249999999999998</x:v>
      </x:c>
      <x:c r="S11">
        <x:v>6.7140000000000004</x:v>
      </x:c>
      <x:c r="T11">
        <x:v>6.84</x:v>
      </x:c>
      <x:c r="U11">
        <x:v>7.0720000000000001</x:v>
      </x:c>
      <x:c r="V11">
        <x:v>7.2</x:v>
      </x:c>
      <x:c r="W11">
        <x:v>7.62</x:v>
      </x:c>
      <x:c r="X11">
        <x:v>7.4420000000000002</x:v>
      </x:c>
      <x:c r="Y11">
        <x:v>6.8150000000000004</x:v>
      </x:c>
      <x:c r="Z11">
        <x:v>6.6425000000000001</x:v>
      </x:c>
      <x:c r="AA11">
        <x:v>6.7759999999999998</x:v>
      </x:c>
      <x:c r="AB11">
        <x:v>6.82</x:v>
      </x:c>
      <x:c r="AC11">
        <x:v>6.9924999999999997</x:v>
      </x:c>
      <x:c r="AD11">
        <x:v>7.06</x:v>
      </x:c>
      <x:c r="AE11">
        <x:v>6.9175000000000004</x:v>
      </x:c>
      <x:c r="AF11">
        <x:v>6.8475000000000001</x:v>
      </x:c>
      <x:c r="AG11">
        <x:v>6.5</x:v>
      </x:c>
      <x:c r="AH11">
        <x:v>6.18</x:v>
      </x:c>
      <x:c r="AI11">
        <x:v>6.4279999999999999</x:v>
      </x:c>
      <x:c r="AJ11">
        <x:v>6.8049999999999997</x:v>
      </x:c>
      <x:c r="AK11">
        <x:v>6.7149999999999999</x:v>
      </x:c>
      <x:c r="AL11">
        <x:v>6.9580000000000002</x:v>
      </x:c>
      <x:c r="AM11">
        <x:v>6.8425000000000002</x:v>
      </x:c>
      <x:c r="AN11">
        <x:v>6.65</x:v>
      </x:c>
      <x:c r="AO11">
        <x:v>6.7249999999999996</x:v>
      </x:c>
      <x:c r="AP11">
        <x:v>6.8159999999999998</x:v>
      </x:c>
      <x:c r="AQ11">
        <x:v>6.8174999999999999</x:v>
      </x:c>
      <x:c r="AR11" s="11" t="n">
        <x:f>AR5+($AQ11-$AQ5)</x:f>
        <x:v>6.815833333333333</x:v>
      </x:c>
      <x:c r="AS11" s="12" t="n">
        <x:f>AS5+($AQ11-$AQ5)</x:f>
        <x:v>6.814166666666666</x:v>
      </x:c>
      <x:c r="AT11" s="12" t="n">
        <x:f>AT5+($AQ11-$AQ5)</x:f>
        <x:v>6.812499999999999</x:v>
      </x:c>
      <x:c r="AU11" s="12" t="n">
        <x:f>AU5+($AQ11-$AQ5)</x:f>
        <x:v>6.810833333333332</x:v>
      </x:c>
      <x:c r="AV11" s="12" t="n">
        <x:f>AV5+($AQ11-$AQ5)</x:f>
        <x:v>6.809166666666665</x:v>
      </x:c>
      <x:c r="AW11" s="12" t="n">
        <x:f>AW5+($AQ11-$AQ5)</x:f>
        <x:v>6.807499999999998</x:v>
      </x:c>
      <x:c r="AX11" s="12" t="n">
        <x:f>AX5+($AQ11-$AQ5)</x:f>
        <x:v>6.805833333333331</x:v>
      </x:c>
      <x:c r="AY11" s="12" t="n">
        <x:f>AY5+($AQ11-$AQ5)</x:f>
        <x:v>6.8041666666666645</x:v>
      </x:c>
      <x:c r="AZ11" s="12" t="n">
        <x:f>AZ5+($AQ11-$AQ5)</x:f>
        <x:v>6.8024999999999975</x:v>
      </x:c>
      <x:c r="BA11" s="12" t="n">
        <x:f>BA5+($AQ11-$AQ5)</x:f>
        <x:v>6.800833333333331</x:v>
      </x:c>
      <x:c r="BB11" s="12" t="n">
        <x:f>BB5+($AQ11-$AQ5)</x:f>
        <x:v>6.799166666666664</x:v>
      </x:c>
      <x:c r="BC11" s="12" t="n">
        <x:f>BC5+($AQ11-$AQ5)</x:f>
        <x:v>6.797499999999997</x:v>
      </x:c>
    </x:row>
    <x:row r="12">
      <x:c r="A12" t="s">
        <x:v>53</x:v>
      </x:c>
      <x:c r="B12">
        <x:v>4</x:v>
      </x:c>
      <x:c r="C12">
        <x:v>3.9</x:v>
      </x:c>
      <x:c r="D12">
        <x:v>3.7</x:v>
      </x:c>
      <x:c r="E12">
        <x:v>3.7</x:v>
      </x:c>
      <x:c r="F12">
        <x:v>3.6</x:v>
      </x:c>
      <x:c r="G12">
        <x:v>3.6</x:v>
      </x:c>
      <x:c r="H12">
        <x:v>3.5</x:v>
      </x:c>
      <x:c r="I12">
        <x:v>3.6</x:v>
      </x:c>
      <x:c r="J12">
        <x:v>3.5</x:v>
      </x:c>
      <x:c r="K12">
        <x:v>3.6</x:v>
      </x:c>
      <x:c r="L12">
        <x:v>3.6</x:v>
      </x:c>
      <x:c r="M12">
        <x:v>3.5</x:v>
      </x:c>
      <x:c r="N12">
        <x:v>3.5</x:v>
      </x:c>
      <x:c r="O12">
        <x:v>3.6</x:v>
      </x:c>
      <x:c r="P12">
        <x:v>3.5</x:v>
      </x:c>
      <x:c r="Q12">
        <x:v>3.4</x:v>
      </x:c>
      <x:c r="R12">
        <x:v>3.6</x:v>
      </x:c>
      <x:c r="S12">
        <x:v>3.6</x:v>
      </x:c>
      <x:c r="T12">
        <x:v>3.5</x:v>
      </x:c>
      <x:c r="U12">
        <x:v>3.7</x:v>
      </x:c>
      <x:c r="V12">
        <x:v>3.7</x:v>
      </x:c>
      <x:c r="W12">
        <x:v>3.9</x:v>
      </x:c>
      <x:c r="X12">
        <x:v>3.7</x:v>
      </x:c>
      <x:c r="Y12">
        <x:v>3.8</x:v>
      </x:c>
      <x:c r="Z12">
        <x:v>3.7</x:v>
      </x:c>
      <x:c r="AA12">
        <x:v>3.9</x:v>
      </x:c>
      <x:c r="AB12">
        <x:v>3.9</x:v>
      </x:c>
      <x:c r="AC12">
        <x:v>3.9</x:v>
      </x:c>
      <x:c r="AD12">
        <x:v>3.9</x:v>
      </x:c>
      <x:c r="AE12">
        <x:v>4.0999999999999996</x:v>
      </x:c>
      <x:c r="AF12">
        <x:v>4.2</x:v>
      </x:c>
      <x:c r="AG12">
        <x:v>4.2</x:v>
      </x:c>
      <x:c r="AH12">
        <x:v>4.0999999999999996</x:v>
      </x:c>
      <x:c r="AI12">
        <x:v>4.0999999999999996</x:v>
      </x:c>
      <x:c r="AJ12">
        <x:v>4.2</x:v>
      </x:c>
      <x:c r="AK12">
        <x:v>4.0999999999999996</x:v>
      </x:c>
      <x:c r="AL12">
        <x:v>4</x:v>
      </x:c>
      <x:c r="AM12">
        <x:v>4.2</x:v>
      </x:c>
      <x:c r="AN12">
        <x:v>4.2</x:v>
      </x:c>
      <x:c r="AO12">
        <x:v>4.2</x:v>
      </x:c>
      <x:c r="AP12">
        <x:v>4.3</x:v>
      </x:c>
      <x:c r="AQ12">
        <x:v>4.0999999999999996</x:v>
      </x:c>
      <x:c r="AR12" s="11" t="n">
        <x:f>MAX(0,$AQ12+AVERAGE($AQ12-$AP12,$AP12-$AO12,$AO12-$AN12,$AN12-$AM12,$AM12-$AL12,$AL12-$AK12))</x:f>
        <x:v>4.1</x:v>
      </x:c>
      <x:c r="AS12" s="12" t="n">
        <x:f>MAX(0,AR12+AVERAGE($AQ12-$AP12,$AP12-$AO12,$AO12-$AN12,$AN12-$AM12,$AM12-$AL12,$AL12-$AK12))</x:f>
        <x:v>4.1</x:v>
      </x:c>
      <x:c r="AT12" s="12" t="n">
        <x:f>MAX(0,AS12+AVERAGE($AQ12-$AP12,$AP12-$AO12,$AO12-$AN12,$AN12-$AM12,$AM12-$AL12,$AL12-$AK12))</x:f>
        <x:v>4.1</x:v>
      </x:c>
      <x:c r="AU12" s="12" t="n">
        <x:f>MAX(0,AT12+AVERAGE($AQ12-$AP12,$AP12-$AO12,$AO12-$AN12,$AN12-$AM12,$AM12-$AL12,$AL12-$AK12))</x:f>
        <x:v>4.1</x:v>
      </x:c>
      <x:c r="AV12" s="12" t="n">
        <x:f>MAX(0,AU12+AVERAGE($AQ12-$AP12,$AP12-$AO12,$AO12-$AN12,$AN12-$AM12,$AM12-$AL12,$AL12-$AK12))</x:f>
        <x:v>4.1</x:v>
      </x:c>
      <x:c r="AW12" s="12" t="n">
        <x:f>MAX(0,AV12+AVERAGE($AQ12-$AP12,$AP12-$AO12,$AO12-$AN12,$AN12-$AM12,$AM12-$AL12,$AL12-$AK12))</x:f>
        <x:v>4.1</x:v>
      </x:c>
      <x:c r="AX12" s="12" t="n">
        <x:f>MAX(0,AW12+AVERAGE($AQ12-$AP12,$AP12-$AO12,$AO12-$AN12,$AN12-$AM12,$AM12-$AL12,$AL12-$AK12))</x:f>
        <x:v>4.1</x:v>
      </x:c>
      <x:c r="AY12" s="12" t="n">
        <x:f>MAX(0,AX12+AVERAGE($AQ12-$AP12,$AP12-$AO12,$AO12-$AN12,$AN12-$AM12,$AM12-$AL12,$AL12-$AK12))</x:f>
        <x:v>4.1</x:v>
      </x:c>
      <x:c r="AZ12" s="12" t="n">
        <x:f>MAX(0,AY12+AVERAGE($AQ12-$AP12,$AP12-$AO12,$AO12-$AN12,$AN12-$AM12,$AM12-$AL12,$AL12-$AK12))</x:f>
        <x:v>4.1</x:v>
      </x:c>
      <x:c r="BA12" s="12" t="n">
        <x:f>MAX(0,AZ12+AVERAGE($AQ12-$AP12,$AP12-$AO12,$AO12-$AN12,$AN12-$AM12,$AM12-$AL12,$AL12-$AK12))</x:f>
        <x:v>4.1</x:v>
      </x:c>
      <x:c r="BB12" s="12" t="n">
        <x:f>MAX(0,BA12+AVERAGE($AQ12-$AP12,$AP12-$AO12,$AO12-$AN12,$AN12-$AM12,$AM12-$AL12,$AL12-$AK12))</x:f>
        <x:v>4.1</x:v>
      </x:c>
      <x:c r="BC12" s="12" t="n">
        <x:f>MAX(0,BB12+AVERAGE($AQ12-$AP12,$AP12-$AO12,$AO12-$AN12,$AN12-$AM12,$AM12-$AL12,$AL12-$AK12))</x:f>
        <x:v>4.1</x:v>
      </x:c>
    </x:row>
    <x:row r="13">
      <x:c r="A13" t="s">
        <x:v>54</x:v>
      </x:c>
      <x:c r="B13">
        <x:v>7.1</x:v>
      </x:c>
      <x:c r="C13">
        <x:v>7.2</x:v>
      </x:c>
      <x:c r="D13">
        <x:v>7</x:v>
      </x:c>
      <x:c r="E13">
        <x:v>7</x:v>
      </x:c>
      <x:c r="F13">
        <x:v>7.1</x:v>
      </x:c>
      <x:c r="G13">
        <x:v>6.7</x:v>
      </x:c>
      <x:c r="H13">
        <x:v>6.8</x:v>
      </x:c>
      <x:c r="I13">
        <x:v>6.9</x:v>
      </x:c>
      <x:c r="J13">
        <x:v>6.7</x:v>
      </x:c>
      <x:c r="K13">
        <x:v>6.7</x:v>
      </x:c>
      <x:c r="L13">
        <x:v>6.7</x:v>
      </x:c>
      <x:c r="M13">
        <x:v>6.6</x:v>
      </x:c>
      <x:c r="N13">
        <x:v>6.7</x:v>
      </x:c>
      <x:c r="O13">
        <x:v>6.8</x:v>
      </x:c>
      <x:c r="P13">
        <x:v>6.7</x:v>
      </x:c>
      <x:c r="Q13">
        <x:v>6.6</x:v>
      </x:c>
      <x:c r="R13">
        <x:v>6.7</x:v>
      </x:c>
      <x:c r="S13">
        <x:v>6.9</x:v>
      </x:c>
      <x:c r="T13">
        <x:v>6.7</x:v>
      </x:c>
      <x:c r="U13">
        <x:v>7.1</x:v>
      </x:c>
      <x:c r="V13">
        <x:v>7</x:v>
      </x:c>
      <x:c r="W13">
        <x:v>7.2</x:v>
      </x:c>
      <x:c r="X13">
        <x:v>7</x:v>
      </x:c>
      <x:c r="Y13">
        <x:v>7.2</x:v>
      </x:c>
      <x:c r="Z13">
        <x:v>7.2</x:v>
      </x:c>
      <x:c r="AA13">
        <x:v>7.3</x:v>
      </x:c>
      <x:c r="AB13">
        <x:v>7.3</x:v>
      </x:c>
      <x:c r="AC13">
        <x:v>7.4</x:v>
      </x:c>
      <x:c r="AD13">
        <x:v>7.4</x:v>
      </x:c>
      <x:c r="AE13">
        <x:v>7.4</x:v>
      </x:c>
      <x:c r="AF13">
        <x:v>7.8</x:v>
      </x:c>
      <x:c r="AG13">
        <x:v>7.8</x:v>
      </x:c>
      <x:c r="AH13">
        <x:v>7.7</x:v>
      </x:c>
      <x:c r="AI13">
        <x:v>7.7</x:v>
      </x:c>
      <x:c r="AJ13">
        <x:v>7.7</x:v>
      </x:c>
      <x:c r="AK13">
        <x:v>7.6</x:v>
      </x:c>
      <x:c r="AL13">
        <x:v>7.5</x:v>
      </x:c>
      <x:c r="AM13">
        <x:v>8</x:v>
      </x:c>
      <x:c r="AN13">
        <x:v>7.9</x:v>
      </x:c>
      <x:c r="AO13">
        <x:v>7.8</x:v>
      </x:c>
      <x:c r="AP13">
        <x:v>7.8</x:v>
      </x:c>
      <x:c r="AQ13">
        <x:v>7.7</x:v>
      </x:c>
      <x:c r="AR13" s="11" t="n">
        <x:f>MAX(0,$AQ13+AVERAGE($AQ13-$AP13,$AP13-$AO13,$AO13-$AN13,$AN13-$AM13,$AM13-$AL13,$AL13-$AK13))</x:f>
        <x:v>7.716666666666667</x:v>
      </x:c>
      <x:c r="AS13" s="12" t="n">
        <x:f>MAX(0,AR13+AVERAGE($AQ13-$AP13,$AP13-$AO13,$AO13-$AN13,$AN13-$AM13,$AM13-$AL13,$AL13-$AK13))</x:f>
        <x:v>7.733333333333333</x:v>
      </x:c>
      <x:c r="AT13" s="12" t="n">
        <x:f>MAX(0,AS13+AVERAGE($AQ13-$AP13,$AP13-$AO13,$AO13-$AN13,$AN13-$AM13,$AM13-$AL13,$AL13-$AK13))</x:f>
        <x:v>7.75</x:v>
      </x:c>
      <x:c r="AU13" s="12" t="n">
        <x:f>MAX(0,AT13+AVERAGE($AQ13-$AP13,$AP13-$AO13,$AO13-$AN13,$AN13-$AM13,$AM13-$AL13,$AL13-$AK13))</x:f>
        <x:v>7.766666666666667</x:v>
      </x:c>
      <x:c r="AV13" s="12" t="n">
        <x:f>MAX(0,AU13+AVERAGE($AQ13-$AP13,$AP13-$AO13,$AO13-$AN13,$AN13-$AM13,$AM13-$AL13,$AL13-$AK13))</x:f>
        <x:v>7.783333333333333</x:v>
      </x:c>
      <x:c r="AW13" s="12" t="n">
        <x:f>MAX(0,AV13+AVERAGE($AQ13-$AP13,$AP13-$AO13,$AO13-$AN13,$AN13-$AM13,$AM13-$AL13,$AL13-$AK13))</x:f>
        <x:v>7.8</x:v>
      </x:c>
      <x:c r="AX13" s="12" t="n">
        <x:f>MAX(0,AW13+AVERAGE($AQ13-$AP13,$AP13-$AO13,$AO13-$AN13,$AN13-$AM13,$AM13-$AL13,$AL13-$AK13))</x:f>
        <x:v>7.816666666666666</x:v>
      </x:c>
      <x:c r="AY13" s="12" t="n">
        <x:f>MAX(0,AX13+AVERAGE($AQ13-$AP13,$AP13-$AO13,$AO13-$AN13,$AN13-$AM13,$AM13-$AL13,$AL13-$AK13))</x:f>
        <x:v>7.833333333333333</x:v>
      </x:c>
      <x:c r="AZ13" s="12" t="n">
        <x:f>MAX(0,AY13+AVERAGE($AQ13-$AP13,$AP13-$AO13,$AO13-$AN13,$AN13-$AM13,$AM13-$AL13,$AL13-$AK13))</x:f>
        <x:v>7.85</x:v>
      </x:c>
      <x:c r="BA13" s="12" t="n">
        <x:f>MAX(0,AZ13+AVERAGE($AQ13-$AP13,$AP13-$AO13,$AO13-$AN13,$AN13-$AM13,$AM13-$AL13,$AL13-$AK13))</x:f>
        <x:v>7.866666666666666</x:v>
      </x:c>
      <x:c r="BB13" s="12" t="n">
        <x:f>MAX(0,BA13+AVERAGE($AQ13-$AP13,$AP13-$AO13,$AO13-$AN13,$AN13-$AM13,$AM13-$AL13,$AL13-$AK13))</x:f>
        <x:v>7.883333333333333</x:v>
      </x:c>
      <x:c r="BC13" s="12" t="n">
        <x:f>MAX(0,BB13+AVERAGE($AQ13-$AP13,$AP13-$AO13,$AO13-$AN13,$AN13-$AM13,$AM13-$AL13,$AL13-$AK13))</x:f>
        <x:v>7.8999999999999995</x:v>
      </x:c>
    </x:row>
    <x:row r="14">
      <x:c r="A14" t="s">
        <x:v>55</x:v>
      </x:c>
      <x:c r="B14">
        <x:v>150006</x:v>
      </x:c>
      <x:c r="C14">
        <x:v>150825</x:v>
      </x:c>
      <x:c r="D14">
        <x:v>151315</x:v>
      </x:c>
      <x:c r="E14">
        <x:v>151623</x:v>
      </x:c>
      <x:c r="F14">
        <x:v>151924</x:v>
      </x:c>
      <x:c r="G14">
        <x:v>152358</x:v>
      </x:c>
      <x:c r="H14">
        <x:v>153072</x:v>
      </x:c>
      <x:c r="I14">
        <x:v>153362</x:v>
      </x:c>
      <x:c r="J14">
        <x:v>153582</x:v>
      </x:c>
      <x:c r="K14">
        <x:v>153939</x:v>
      </x:c>
      <x:c r="L14">
        <x:v>154242</x:v>
      </x:c>
      <x:c r="M14">
        <x:v>154342</x:v>
      </x:c>
      <x:c r="N14">
        <x:v>154776</x:v>
      </x:c>
      <x:c r="O14">
        <x:v>155066</x:v>
      </x:c>
      <x:c r="P14">
        <x:v>155134</x:v>
      </x:c>
      <x:c r="Q14">
        <x:v>155375</x:v>
      </x:c>
      <x:c r="R14">
        <x:v>155655</x:v>
      </x:c>
      <x:c r="S14">
        <x:v>155880</x:v>
      </x:c>
      <x:c r="T14">
        <x:v>156043</x:v>
      </x:c>
      <x:c r="U14">
        <x:v>156261</x:v>
      </x:c>
      <x:c r="V14">
        <x:v>156417</x:v>
      </x:c>
      <x:c r="W14">
        <x:v>156576</x:v>
      </x:c>
      <x:c r="X14">
        <x:v>156703</x:v>
      </x:c>
      <x:c r="Y14">
        <x:v>156857</x:v>
      </x:c>
      <x:c r="Z14">
        <x:v>157032</x:v>
      </x:c>
      <x:c r="AA14">
        <x:v>157238</x:v>
      </x:c>
      <x:c r="AB14">
        <x:v>157466</x:v>
      </x:c>
      <x:c r="AC14">
        <x:v>157530</x:v>
      </x:c>
      <x:c r="AD14">
        <x:v>157608</x:v>
      </x:c>
      <x:c r="AE14">
        <x:v>157695</x:v>
      </x:c>
      <x:c r="AF14">
        <x:v>157748</x:v>
      </x:c>
      <x:c r="AG14">
        <x:v>157757</x:v>
      </x:c>
      <x:c r="AH14">
        <x:v>157912</x:v>
      </x:c>
      <x:c r="AI14">
        <x:v>157945</x:v>
      </x:c>
      <x:c r="AJ14">
        <x:v>158079</x:v>
      </x:c>
      <x:c r="AK14">
        <x:v>158316</x:v>
      </x:c>
      <x:c r="AL14">
        <x:v>158268</x:v>
      </x:c>
      <x:c r="AM14">
        <x:v>158310</x:v>
      </x:c>
      <x:c r="AN14">
        <x:v>158377</x:v>
      </x:c>
      <x:c r="AO14">
        <x:v>158485</x:v>
      </x:c>
      <x:c r="AP14">
        <x:v>158498</x:v>
      </x:c>
      <x:c r="AQ14">
        <x:v>158478</x:v>
      </x:c>
      <x:c r="AR14" s="13" t="n">
        <x:f>MAX(0,$AQ14+AVERAGE($AQ14-$AP14,$AP14-$AO14,$AO14-$AN14,$AN14-$AM14,$AM14-$AL14,$AL14-$AK14))</x:f>
        <x:v>158505</x:v>
      </x:c>
      <x:c r="AS14" s="14" t="n">
        <x:f>MAX(0,AR14+AVERAGE($AQ14-$AP14,$AP14-$AO14,$AO14-$AN14,$AN14-$AM14,$AM14-$AL14,$AL14-$AK14))</x:f>
        <x:v>158532</x:v>
      </x:c>
      <x:c r="AT14" s="14" t="n">
        <x:f>MAX(0,AS14+AVERAGE($AQ14-$AP14,$AP14-$AO14,$AO14-$AN14,$AN14-$AM14,$AM14-$AL14,$AL14-$AK14))</x:f>
        <x:v>158559</x:v>
      </x:c>
      <x:c r="AU14" s="14" t="n">
        <x:f>MAX(0,AT14+AVERAGE($AQ14-$AP14,$AP14-$AO14,$AO14-$AN14,$AN14-$AM14,$AM14-$AL14,$AL14-$AK14))</x:f>
        <x:v>158586</x:v>
      </x:c>
      <x:c r="AV14" s="14" t="n">
        <x:f>MAX(0,AU14+AVERAGE($AQ14-$AP14,$AP14-$AO14,$AO14-$AN14,$AN14-$AM14,$AM14-$AL14,$AL14-$AK14))</x:f>
        <x:v>158613</x:v>
      </x:c>
      <x:c r="AW14" s="14" t="n">
        <x:f>MAX(0,AV14+AVERAGE($AQ14-$AP14,$AP14-$AO14,$AO14-$AN14,$AN14-$AM14,$AM14-$AL14,$AL14-$AK14))</x:f>
        <x:v>158640</x:v>
      </x:c>
      <x:c r="AX14" s="14" t="n">
        <x:f>MAX(0,AW14+AVERAGE($AQ14-$AP14,$AP14-$AO14,$AO14-$AN14,$AN14-$AM14,$AM14-$AL14,$AL14-$AK14))</x:f>
        <x:v>158667</x:v>
      </x:c>
      <x:c r="AY14" s="14" t="n">
        <x:f>MAX(0,AX14+AVERAGE($AQ14-$AP14,$AP14-$AO14,$AO14-$AN14,$AN14-$AM14,$AM14-$AL14,$AL14-$AK14))</x:f>
        <x:v>158694</x:v>
      </x:c>
      <x:c r="AZ14" s="14" t="n">
        <x:f>MAX(0,AY14+AVERAGE($AQ14-$AP14,$AP14-$AO14,$AO14-$AN14,$AN14-$AM14,$AM14-$AL14,$AL14-$AK14))</x:f>
        <x:v>158721</x:v>
      </x:c>
      <x:c r="BA14" s="14" t="n">
        <x:f>MAX(0,AZ14+AVERAGE($AQ14-$AP14,$AP14-$AO14,$AO14-$AN14,$AN14-$AM14,$AM14-$AL14,$AL14-$AK14))</x:f>
        <x:v>158748</x:v>
      </x:c>
      <x:c r="BB14" s="14" t="n">
        <x:f>MAX(0,BA14+AVERAGE($AQ14-$AP14,$AP14-$AO14,$AO14-$AN14,$AN14-$AM14,$AM14-$AL14,$AL14-$AK14))</x:f>
        <x:v>158775</x:v>
      </x:c>
      <x:c r="BC14" s="14" t="n">
        <x:f>MAX(0,BB14+AVERAGE($AQ14-$AP14,$AP14-$AO14,$AO14-$AN14,$AN14-$AM14,$AM14-$AL14,$AL14-$AK14))</x:f>
        <x:v>158802</x:v>
      </x:c>
    </x:row>
    <x:row r="15">
      <x:c r="A15" t="s">
        <x:v>56</x:v>
      </x:c>
      <x:c r="W15">
        <x:v>1.2948</x:v>
      </x:c>
      <x:c r="X15">
        <x:v>1.2132000000000001</x:v>
      </x:c>
      <x:c r="Y15">
        <x:v>1.0729</x:v>
      </x:c>
      <x:c r="Z15">
        <x:v>1.0273000000000001</x:v>
      </x:c>
      <x:c r="AA15">
        <x:v>0.98050000000000004</x:v>
      </x:c>
      <x:c r="AB15">
        <x:v>0.95430000000000004</x:v>
      </x:c>
      <x:c r="AC15">
        <x:v>0.92</x:v>
      </x:c>
      <x:c r="AD15">
        <x:v>0.88959999999999995</x:v>
      </x:c>
      <x:c r="AE15">
        <x:v>0.93569999999999998</x:v>
      </x:c>
      <x:c r="AF15">
        <x:v>0.93430000000000002</x:v>
      </x:c>
      <x:c r="AG15">
        <x:v>1.0047999999999999</x:v>
      </x:c>
      <x:c r="AH15">
        <x:v>0.96099999999999997</x:v>
      </x:c>
      <x:c r="AI15">
        <x:v>0.85519999999999996</x:v>
      </x:c>
      <x:c r="AJ15">
        <x:v>0.80679999999999996</x:v>
      </x:c>
      <x:c r="AK15">
        <x:v>0.80349999999999999</x:v>
      </x:c>
      <x:c r="AL15">
        <x:v>0.82269999999999999</x:v>
      </x:c>
      <x:c r="AM15">
        <x:v>0.82299999999999995</x:v>
      </x:c>
      <x:c r="AN15">
        <x:v>0.91759999999999997</x:v>
      </x:c>
      <x:c r="AO15">
        <x:v>1.1056999999999999</x:v>
      </x:c>
      <x:c r="AP15">
        <x:v>0.96089999999999998</x:v>
      </x:c>
      <x:c r="AQ15">
        <x:v>0.88049999999999995</x:v>
      </x:c>
      <x:c r="AR15" s="11" t="n">
        <x:f>MAX(0,$AQ15+AVERAGE($AQ15-$AP15,$AP15-$AO15,$AO15-$AN15,$AN15-$AM15,$AM15-$AL15,$AL15-$AK15))</x:f>
        <x:v>0.8933333333333333</x:v>
      </x:c>
      <x:c r="AS15" s="12" t="n">
        <x:f>MAX(0,AR15+AVERAGE($AQ15-$AP15,$AP15-$AO15,$AO15-$AN15,$AN15-$AM15,$AM15-$AL15,$AL15-$AK15))</x:f>
        <x:v>0.9061666666666667</x:v>
      </x:c>
      <x:c r="AT15" s="12" t="n">
        <x:f>MAX(0,AS15+AVERAGE($AQ15-$AP15,$AP15-$AO15,$AO15-$AN15,$AN15-$AM15,$AM15-$AL15,$AL15-$AK15))</x:f>
        <x:v>0.919</x:v>
      </x:c>
      <x:c r="AU15" s="12" t="n">
        <x:f>MAX(0,AT15+AVERAGE($AQ15-$AP15,$AP15-$AO15,$AO15-$AN15,$AN15-$AM15,$AM15-$AL15,$AL15-$AK15))</x:f>
        <x:v>0.9318333333333334</x:v>
      </x:c>
      <x:c r="AV15" s="12" t="n">
        <x:f>MAX(0,AU15+AVERAGE($AQ15-$AP15,$AP15-$AO15,$AO15-$AN15,$AN15-$AM15,$AM15-$AL15,$AL15-$AK15))</x:f>
        <x:v>0.9446666666666668</x:v>
      </x:c>
      <x:c r="AW15" s="12" t="n">
        <x:f>MAX(0,AV15+AVERAGE($AQ15-$AP15,$AP15-$AO15,$AO15-$AN15,$AN15-$AM15,$AM15-$AL15,$AL15-$AK15))</x:f>
        <x:v>0.9575000000000001</x:v>
      </x:c>
      <x:c r="AX15" s="12" t="n">
        <x:f>MAX(0,AW15+AVERAGE($AQ15-$AP15,$AP15-$AO15,$AO15-$AN15,$AN15-$AM15,$AM15-$AL15,$AL15-$AK15))</x:f>
        <x:v>0.9703333333333335</x:v>
      </x:c>
      <x:c r="AY15" s="12" t="n">
        <x:f>MAX(0,AX15+AVERAGE($AQ15-$AP15,$AP15-$AO15,$AO15-$AN15,$AN15-$AM15,$AM15-$AL15,$AL15-$AK15))</x:f>
        <x:v>0.9831666666666669</x:v>
      </x:c>
      <x:c r="AZ15" s="12" t="n">
        <x:f>MAX(0,AY15+AVERAGE($AQ15-$AP15,$AP15-$AO15,$AO15-$AN15,$AN15-$AM15,$AM15-$AL15,$AL15-$AK15))</x:f>
        <x:v>0.9960000000000002</x:v>
      </x:c>
      <x:c r="BA15" s="12" t="n">
        <x:f>MAX(0,AZ15+AVERAGE($AQ15-$AP15,$AP15-$AO15,$AO15-$AN15,$AN15-$AM15,$AM15-$AL15,$AL15-$AK15))</x:f>
        <x:v>1.0088333333333335</x:v>
      </x:c>
      <x:c r="BB15" s="12" t="n">
        <x:f>MAX(0,BA15+AVERAGE($AQ15-$AP15,$AP15-$AO15,$AO15-$AN15,$AN15-$AM15,$AM15-$AL15,$AL15-$AK15))</x:f>
        <x:v>1.0216666666666667</x:v>
      </x:c>
      <x:c r="BC15" s="12" t="n">
        <x:f>MAX(0,BB15+AVERAGE($AQ15-$AP15,$AP15-$AO15,$AO15-$AN15,$AN15-$AM15,$AM15-$AL15,$AL15-$AK15))</x:f>
        <x:v>1.0345</x:v>
      </x:c>
    </x:row>
    <x:row r="16">
      <x:c r="A16" t="s">
        <x:v>57</x:v>
      </x:c>
      <x:c r="W16">
        <x:v>1.5894999999999999</x:v>
      </x:c>
      <x:c r="X16">
        <x:v>1.5004999999999999</x:v>
      </x:c>
      <x:c r="Y16">
        <x:v>1.341</x:v>
      </x:c>
      <x:c r="Z16">
        <x:v>1.2664</x:v>
      </x:c>
      <x:c r="AA16">
        <x:v>1.2171000000000001</x:v>
      </x:c>
      <x:c r="AB16">
        <x:v>1.1890000000000001</x:v>
      </x:c>
      <x:c r="AC16">
        <x:v>1.1435999999999999</x:v>
      </x:c>
      <x:c r="AD16">
        <x:v>1.1077999999999999</x:v>
      </x:c>
      <x:c r="AE16">
        <x:v>1.1533</x:v>
      </x:c>
      <x:c r="AF16">
        <x:v>1.1552</x:v>
      </x:c>
      <x:c r="AG16">
        <x:v>1.2413000000000001</x:v>
      </x:c>
      <x:c r="AH16">
        <x:v>1.1986000000000001</x:v>
      </x:c>
      <x:c r="AI16">
        <x:v>1.0787</x:v>
      </x:c>
      <x:c r="AJ16">
        <x:v>1.0114000000000001</x:v>
      </x:c>
      <x:c r="AK16">
        <x:v>1.0028999999999999</x:v>
      </x:c>
      <x:c r="AL16">
        <x:v>1.0208999999999999</x:v>
      </x:c>
      <x:c r="AM16">
        <x:v>1.022</x:v>
      </x:c>
      <x:c r="AN16">
        <x:v>1.1371</x:v>
      </x:c>
      <x:c r="AO16">
        <x:v>1.3762000000000001</x:v>
      </x:c>
      <x:c r="AP16">
        <x:v>1.2152000000000001</x:v>
      </x:c>
      <x:c r="AQ16">
        <x:v>1.1037999999999999</x:v>
      </x:c>
      <x:c r="AR16" s="11" t="n">
        <x:f>MAX(0,$AQ16+AVERAGE($AQ16-$AP16,$AP16-$AO16,$AO16-$AN16,$AN16-$AM16,$AM16-$AL16,$AL16-$AK16))</x:f>
        <x:v>1.1206166666666666</x:v>
      </x:c>
      <x:c r="AS16" s="12" t="n">
        <x:f>MAX(0,AR16+AVERAGE($AQ16-$AP16,$AP16-$AO16,$AO16-$AN16,$AN16-$AM16,$AM16-$AL16,$AL16-$AK16))</x:f>
        <x:v>1.1374333333333333</x:v>
      </x:c>
      <x:c r="AT16" s="12" t="n">
        <x:f>MAX(0,AS16+AVERAGE($AQ16-$AP16,$AP16-$AO16,$AO16-$AN16,$AN16-$AM16,$AM16-$AL16,$AL16-$AK16))</x:f>
        <x:v>1.15425</x:v>
      </x:c>
      <x:c r="AU16" s="12" t="n">
        <x:f>MAX(0,AT16+AVERAGE($AQ16-$AP16,$AP16-$AO16,$AO16-$AN16,$AN16-$AM16,$AM16-$AL16,$AL16-$AK16))</x:f>
        <x:v>1.1710666666666667</x:v>
      </x:c>
      <x:c r="AV16" s="12" t="n">
        <x:f>MAX(0,AU16+AVERAGE($AQ16-$AP16,$AP16-$AO16,$AO16-$AN16,$AN16-$AM16,$AM16-$AL16,$AL16-$AK16))</x:f>
        <x:v>1.1878833333333334</x:v>
      </x:c>
      <x:c r="AW16" s="12" t="n">
        <x:f>MAX(0,AV16+AVERAGE($AQ16-$AP16,$AP16-$AO16,$AO16-$AN16,$AN16-$AM16,$AM16-$AL16,$AL16-$AK16))</x:f>
        <x:v>1.2047</x:v>
      </x:c>
      <x:c r="AX16" s="12" t="n">
        <x:f>MAX(0,AW16+AVERAGE($AQ16-$AP16,$AP16-$AO16,$AO16-$AN16,$AN16-$AM16,$AM16-$AL16,$AL16-$AK16))</x:f>
        <x:v>1.2215166666666668</x:v>
      </x:c>
      <x:c r="AY16" s="12" t="n">
        <x:f>MAX(0,AX16+AVERAGE($AQ16-$AP16,$AP16-$AO16,$AO16-$AN16,$AN16-$AM16,$AM16-$AL16,$AL16-$AK16))</x:f>
        <x:v>1.2383333333333335</x:v>
      </x:c>
      <x:c r="AZ16" s="12" t="n">
        <x:f>MAX(0,AY16+AVERAGE($AQ16-$AP16,$AP16-$AO16,$AO16-$AN16,$AN16-$AM16,$AM16-$AL16,$AL16-$AK16))</x:f>
        <x:v>1.2551500000000002</x:v>
      </x:c>
      <x:c r="BA16" s="12" t="n">
        <x:f>MAX(0,AZ16+AVERAGE($AQ16-$AP16,$AP16-$AO16,$AO16-$AN16,$AN16-$AM16,$AM16-$AL16,$AL16-$AK16))</x:f>
        <x:v>1.271966666666667</x:v>
      </x:c>
      <x:c r="BB16" s="12" t="n">
        <x:f>MAX(0,BA16+AVERAGE($AQ16-$AP16,$AP16-$AO16,$AO16-$AN16,$AN16-$AM16,$AM16-$AL16,$AL16-$AK16))</x:f>
        <x:v>1.2887833333333336</x:v>
      </x:c>
      <x:c r="BC16" s="12" t="n">
        <x:f>MAX(0,BB16+AVERAGE($AQ16-$AP16,$AP16-$AO16,$AO16-$AN16,$AN16-$AM16,$AM16-$AL16,$AL16-$AK16))</x:f>
        <x:v>1.3056000000000003</x:v>
      </x:c>
    </x:row>
    <x:row r="17">
      <x:c r="A17" t="s">
        <x:v>58</x:v>
      </x:c>
      <x:c r="W17">
        <x:v>4.3670999999999998</x:v>
      </x:c>
      <x:c r="X17">
        <x:v>3.9859</x:v>
      </x:c>
      <x:c r="Y17">
        <x:v>3.5743</x:v>
      </x:c>
      <x:c r="Z17">
        <x:v>3.5459000000000001</x:v>
      </x:c>
      <x:c r="AA17">
        <x:v>3.36</x:v>
      </x:c>
      <x:c r="AB17">
        <x:v>3.1804999999999999</x:v>
      </x:c>
      <x:c r="AC17">
        <x:v>3.2273000000000001</x:v>
      </x:c>
      <x:c r="AD17">
        <x:v>3.117</x:v>
      </x:c>
      <x:c r="AE17">
        <x:v>3.2</x:v>
      </x:c>
      <x:c r="AF17">
        <x:v>3.1551999999999998</x:v>
      </x:c>
      <x:c r="AG17">
        <x:v>3.3660999999999999</x:v>
      </x:c>
      <x:c r="AH17">
        <x:v>3.2581000000000002</x:v>
      </x:c>
      <x:c r="AI17">
        <x:v>2.9304000000000001</x:v>
      </x:c>
      <x:c r="AJ17">
        <x:v>2.6964000000000001</x:v>
      </x:c>
      <x:c r="AK17">
        <x:v>2.7551999999999999</x:v>
      </x:c>
      <x:c r="AL17">
        <x:v>2.7204999999999999</x:v>
      </x:c>
      <x:c r="AM17">
        <x:v>2.7084999999999999</x:v>
      </x:c>
      <x:c r="AN17">
        <x:v>3.1714000000000002</x:v>
      </x:c>
      <x:c r="AO17">
        <x:v>4.0347999999999997</x:v>
      </x:c>
      <x:c r="AP17">
        <x:v>3.3542999999999998</x:v>
      </x:c>
      <x:c r="AQ17">
        <x:v>3.1252</x:v>
      </x:c>
      <x:c r="AR17" s="11" t="n">
        <x:f>MAX(0,$AQ17+AVERAGE($AQ17-$AP17,$AP17-$AO17,$AO17-$AN17,$AN17-$AM17,$AM17-$AL17,$AL17-$AK17))</x:f>
        <x:v>3.1868666666666665</x:v>
      </x:c>
      <x:c r="AS17" s="12" t="n">
        <x:f>MAX(0,AR17+AVERAGE($AQ17-$AP17,$AP17-$AO17,$AO17-$AN17,$AN17-$AM17,$AM17-$AL17,$AL17-$AK17))</x:f>
        <x:v>3.248533333333333</x:v>
      </x:c>
      <x:c r="AT17" s="12" t="n">
        <x:f>MAX(0,AS17+AVERAGE($AQ17-$AP17,$AP17-$AO17,$AO17-$AN17,$AN17-$AM17,$AM17-$AL17,$AL17-$AK17))</x:f>
        <x:v>3.3101999999999996</x:v>
      </x:c>
      <x:c r="AU17" s="12" t="n">
        <x:f>MAX(0,AT17+AVERAGE($AQ17-$AP17,$AP17-$AO17,$AO17-$AN17,$AN17-$AM17,$AM17-$AL17,$AL17-$AK17))</x:f>
        <x:v>3.371866666666666</x:v>
      </x:c>
      <x:c r="AV17" s="12" t="n">
        <x:f>MAX(0,AU17+AVERAGE($AQ17-$AP17,$AP17-$AO17,$AO17-$AN17,$AN17-$AM17,$AM17-$AL17,$AL17-$AK17))</x:f>
        <x:v>3.4335333333333327</x:v>
      </x:c>
      <x:c r="AW17" s="12" t="n">
        <x:f>MAX(0,AV17+AVERAGE($AQ17-$AP17,$AP17-$AO17,$AO17-$AN17,$AN17-$AM17,$AM17-$AL17,$AL17-$AK17))</x:f>
        <x:v>3.495199999999999</x:v>
      </x:c>
      <x:c r="AX17" s="12" t="n">
        <x:f>MAX(0,AW17+AVERAGE($AQ17-$AP17,$AP17-$AO17,$AO17-$AN17,$AN17-$AM17,$AM17-$AL17,$AL17-$AK17))</x:f>
        <x:v>3.5568666666666657</x:v>
      </x:c>
      <x:c r="AY17" s="12" t="n">
        <x:f>MAX(0,AX17+AVERAGE($AQ17-$AP17,$AP17-$AO17,$AO17-$AN17,$AN17-$AM17,$AM17-$AL17,$AL17-$AK17))</x:f>
        <x:v>3.6185333333333323</x:v>
      </x:c>
      <x:c r="AZ17" s="12" t="n">
        <x:f>MAX(0,AY17+AVERAGE($AQ17-$AP17,$AP17-$AO17,$AO17-$AN17,$AN17-$AM17,$AM17-$AL17,$AL17-$AK17))</x:f>
        <x:v>3.680199999999999</x:v>
      </x:c>
      <x:c r="BA17" s="12" t="n">
        <x:f>MAX(0,AZ17+AVERAGE($AQ17-$AP17,$AP17-$AO17,$AO17-$AN17,$AN17-$AM17,$AM17-$AL17,$AL17-$AK17))</x:f>
        <x:v>3.7418666666666653</x:v>
      </x:c>
      <x:c r="BB17" s="12" t="n">
        <x:f>MAX(0,BA17+AVERAGE($AQ17-$AP17,$AP17-$AO17,$AO17-$AN17,$AN17-$AM17,$AM17-$AL17,$AL17-$AK17))</x:f>
        <x:v>3.803533333333332</x:v>
      </x:c>
      <x:c r="BC17" s="12" t="n">
        <x:f>MAX(0,BB17+AVERAGE($AQ17-$AP17,$AP17-$AO17,$AO17-$AN17,$AN17-$AM17,$AM17-$AL17,$AL17-$AK17))</x:f>
        <x:v>3.8651999999999984</x:v>
      </x:c>
    </x:row>
    <x:row r="18">
      <x:c r="A18" t="s">
        <x:v>59</x:v>
      </x:c>
      <x:c r="B18">
        <x:v>0.78349999999999997</x:v>
      </x:c>
      <x:c r="C18">
        <x:v>0.49890000000000001</x:v>
      </x:c>
      <x:c r="D18">
        <x:v>0.21829999999999999</x:v>
      </x:c>
      <x:c r="E18">
        <x:v>0.20949999999999999</x:v>
      </x:c>
      <x:c r="F18">
        <x:v>0.28139999999999998</x:v>
      </x:c>
      <x:c r="G18">
        <x:v>0.1452</x:v>
      </x:c>
      <x:c r="H18">
        <x:v>-0.14000000000000001</x:v>
      </x:c>
      <x:c r="I18">
        <x:v>-0.35220000000000001</x:v>
      </x:c>
      <x:c r="J18">
        <x:v>-0.33760000000000001</x:v>
      </x:c>
      <x:c r="K18">
        <x:v>-0.39150000000000001</x:v>
      </x:c>
      <x:c r="L18">
        <x:v>-0.61250000000000004</x:v>
      </x:c>
      <x:c r="M18">
        <x:v>-0.6724</x:v>
      </x:c>
      <x:c r="N18">
        <x:v>-0.67600000000000005</x:v>
      </x:c>
      <x:c r="O18">
        <x:v>-0.78680000000000005</x:v>
      </x:c>
      <x:c r="P18">
        <x:v>-0.63959999999999995</x:v>
      </x:c>
      <x:c r="Q18">
        <x:v>-0.55600000000000005</x:v>
      </x:c>
      <x:c r="R18">
        <x:v>-0.55820000000000003</x:v>
      </x:c>
      <x:c r="S18">
        <x:v>-0.89139999999999997</x:v>
      </x:c>
      <x:c r="T18">
        <x:v>-0.92900000000000005</x:v>
      </x:c>
      <x:c r="U18">
        <x:v>-0.7339</x:v>
      </x:c>
      <x:c r="V18">
        <x:v>-0.64300000000000002</x:v>
      </x:c>
      <x:c r="W18">
        <x:v>-0.26950000000000002</x:v>
      </x:c>
      <x:c r="X18">
        <x:v>-0.3795</x:v>
      </x:c>
      <x:c r="Y18">
        <x:v>-0.437</x:v>
      </x:c>
      <x:c r="Z18">
        <x:v>-0.26479999999999998</x:v>
      </x:c>
      <x:c r="AA18">
        <x:v>-0.33650000000000002</x:v>
      </x:c>
      <x:c r="AB18">
        <x:v>-0.3795</x:v>
      </x:c>
      <x:c r="AC18">
        <x:v>-0.33410000000000001</x:v>
      </x:c>
      <x:c r="AD18">
        <x:v>-0.37409999999999999</x:v>
      </x:c>
      <x:c r="AE18">
        <x:v>-0.43159999999999998</x:v>
      </x:c>
      <x:c r="AF18">
        <x:v>-0.24729999999999999</x:v>
      </x:c>
      <x:c r="AG18">
        <x:v>-9.4500000000000001E-2</x:v>
      </x:c>
      <x:c r="AH18">
        <x:v>0.10100000000000001</x:v>
      </x:c>
      <x:c r="AI18">
        <x:v>0.1232</x:v>
      </x:c>
      <x:c r="AJ18">
        <x:v>9.8400000000000001E-2</x:v>
      </x:c>
      <x:c r="AK18">
        <x:v>0.16569999999999999</x:v>
      </x:c>
      <x:c r="AL18">
        <x:v>0.35709999999999997</x:v>
      </x:c>
      <x:c r="AM18">
        <x:v>0.24110000000000001</x:v>
      </x:c>
      <x:c r="AN18">
        <x:v>0.3105</x:v>
      </x:c>
      <x:c r="AO18">
        <x:v>0.50139999999999996</x:v>
      </x:c>
      <x:c r="AP18">
        <x:v>0.50380000000000003</x:v>
      </x:c>
      <x:c r="AQ18">
        <x:v>0.4945</x:v>
      </x:c>
      <x:c r="AR18" s="11" t="n">
        <x:f>AR5-AR3</x:f>
        <x:v>0.5449999999999995</x:v>
      </x:c>
      <x:c r="AS18" s="12" t="n">
        <x:f>AS5-AS3</x:f>
        <x:v>0.5999999999999992</x:v>
      </x:c>
      <x:c r="AT18" s="12" t="n">
        <x:f>AT5-AT3</x:f>
        <x:v>0.6549999999999989</x:v>
      </x:c>
      <x:c r="AU18" s="12" t="n">
        <x:f>AU5-AU3</x:f>
        <x:v>0.7099999999999986</x:v>
      </x:c>
      <x:c r="AV18" s="12" t="n">
        <x:f>AV5-AV3</x:f>
        <x:v>0.7649999999999983</x:v>
      </x:c>
      <x:c r="AW18" s="12" t="n">
        <x:f>AW5-AW3</x:f>
        <x:v>0.8199999999999981</x:v>
      </x:c>
      <x:c r="AX18" s="12" t="n">
        <x:f>AX5-AX3</x:f>
        <x:v>0.8749999999999978</x:v>
      </x:c>
      <x:c r="AY18" s="12" t="n">
        <x:f>AY5-AY3</x:f>
        <x:v>0.9299999999999975</x:v>
      </x:c>
      <x:c r="AZ18" s="12" t="n">
        <x:f>AZ5-AZ3</x:f>
        <x:v>0.9849999999999972</x:v>
      </x:c>
      <x:c r="BA18" s="12" t="n">
        <x:f>BA5-BA3</x:f>
        <x:v>1.039999999999997</x:v>
      </x:c>
      <x:c r="BB18" s="12" t="n">
        <x:f>BB5-BB3</x:f>
        <x:v>1.0949999999999966</x:v>
      </x:c>
      <x:c r="BC18" s="12" t="n">
        <x:f>BC5-BC3</x:f>
        <x:v>1.1499999999999964</x:v>
      </x:c>
    </x:row>
    <x:row r="19">
      <x:c r="A19" t="s">
        <x:v>60</x:v>
      </x:c>
      <x:c r="B19">
        <x:v>1.6185</x:v>
      </x:c>
      <x:c r="C19">
        <x:v>1.6194999999999999</x:v>
      </x:c>
      <x:c r="D19">
        <x:v>1.6803999999999999</x:v>
      </x:c>
      <x:c r="E19">
        <x:v>1.984</x:v>
      </x:c>
      <x:c r="F19">
        <x:v>1.9052</x:v>
      </x:c>
      <x:c r="G19">
        <x:v>1.6048</x:v>
      </x:c>
      <x:c r="H19">
        <x:v>0.59799999999999998</x:v>
      </x:c>
      <x:c r="I19">
        <x:v>0.17610000000000001</x:v>
      </x:c>
      <x:c r="J19">
        <x:v>0.29709999999999998</x:v>
      </x:c>
      <x:c r="K19">
        <x:v>0.111</x:v>
      </x:c>
      <x:c r="L19">
        <x:v>-0.432</x:v>
      </x:c>
      <x:c r="M19">
        <x:v>-0.7419</x:v>
      </x:c>
      <x:c r="N19">
        <x:v>-1.1559999999999999</x:v>
      </x:c>
      <x:c r="O19">
        <x:v>-1.0410999999999999</x:v>
      </x:c>
      <x:c r="P19">
        <x:v>-1.1957</x:v>
      </x:c>
      <x:c r="Q19">
        <x:v>-1.6134999999999999</x:v>
      </x:c>
      <x:c r="R19">
        <x:v>-1.7344999999999999</x:v>
      </x:c>
      <x:c r="S19">
        <x:v>-1.6676</x:v>
      </x:c>
      <x:c r="T19">
        <x:v>-1.589</x:v>
      </x:c>
      <x:c r="U19">
        <x:v>-1.3913</x:v>
      </x:c>
      <x:c r="V19">
        <x:v>-1.1765000000000001</x:v>
      </x:c>
      <x:c r="W19">
        <x:v>-0.80669999999999997</x:v>
      </x:c>
      <x:c r="X19">
        <x:v>-1.02</x:v>
      </x:c>
      <x:c r="Y19">
        <x:v>-1.4219999999999999</x:v>
      </x:c>
      <x:c r="Z19">
        <x:v>-1.3956999999999999</x:v>
      </x:c>
      <x:c r="AA19">
        <x:v>-1.2330000000000001</x:v>
      </x:c>
      <x:c r="AB19">
        <x:v>-1.26</x:v>
      </x:c>
      <x:c r="AC19">
        <x:v>-0.90449999999999997</x:v>
      </x:c>
      <x:c r="AD19">
        <x:v>-0.97270000000000001</x:v>
      </x:c>
      <x:c r="AE19">
        <x:v>-1.2011000000000001</x:v>
      </x:c>
      <x:c r="AF19">
        <x:v>-1.1832</x:v>
      </x:c>
      <x:c r="AG19">
        <x:v>-1.4245000000000001</x:v>
      </x:c>
      <x:c r="AH19">
        <x:v>-1.1984999999999999</x:v>
      </x:c>
      <x:c r="AI19">
        <x:v>-0.62270000000000003</x:v>
      </x:c>
      <x:c r="AJ19">
        <x:v>-0.26419999999999999</x:v>
      </x:c>
      <x:c r="AK19">
        <x:v>5.0000000000000001E-4</x:v>
      </x:c>
      <x:c r="AL19">
        <x:v>0.28620000000000001</x:v>
      </x:c>
      <x:c r="AM19">
        <x:v>0.11890000000000001</x:v>
      </x:c>
      <x:c r="AN19">
        <x:v>-5.5199999999999999E-2</x:v>
      </x:c>
      <x:c r="AO19">
        <x:v>-4.3299999999999998E-2</x:v>
      </x:c>
      <x:c r="AP19">
        <x:v>6.2399999999999997E-2</x:v>
      </x:c>
      <x:c r="AQ19">
        <x:v>-3.7499999999999999E-2</x:v>
      </x:c>
      <x:c r="AR19" s="11" t="n">
        <x:f>AR5-AR7</x:f>
        <x:v>0.15499999999999936</x:v>
      </x:c>
      <x:c r="AS19" s="12" t="n">
        <x:f>AS5-AS7</x:f>
        <x:v>0.15999999999999925</x:v>
      </x:c>
      <x:c r="AT19" s="12" t="n">
        <x:f>AT5-AT7</x:f>
        <x:v>0.16499999999999915</x:v>
      </x:c>
      <x:c r="AU19" s="12" t="n">
        <x:f>AU5-AU7</x:f>
        <x:v>0.16999999999999904</x:v>
      </x:c>
      <x:c r="AV19" s="12" t="n">
        <x:f>AV5-AV7</x:f>
        <x:v>0.17499999999999893</x:v>
      </x:c>
      <x:c r="AW19" s="12" t="n">
        <x:f>AW5-AW7</x:f>
        <x:v>0.17999999999999883</x:v>
      </x:c>
      <x:c r="AX19" s="12" t="n">
        <x:f>AX5-AX7</x:f>
        <x:v>0.18499999999999872</x:v>
      </x:c>
      <x:c r="AY19" s="12" t="n">
        <x:f>AY5-AY7</x:f>
        <x:v>0.18999999999999861</x:v>
      </x:c>
      <x:c r="AZ19" s="12" t="n">
        <x:f>AZ5-AZ7</x:f>
        <x:v>0.1949999999999985</x:v>
      </x:c>
      <x:c r="BA19" s="12" t="n">
        <x:f>BA5-BA7</x:f>
        <x:v>0.1999999999999984</x:v>
      </x:c>
      <x:c r="BB19" s="12" t="n">
        <x:f>BB5-BB7</x:f>
        <x:v>0.2049999999999983</x:v>
      </x:c>
      <x:c r="BC19" s="12" t="n">
        <x:f>BC5-BC7</x:f>
        <x:v>0.2099999999999982</x:v>
      </x:c>
    </x:row>
    <x:row r="20">
      <x:c r="A20" t="s">
        <x:v>61</x:v>
      </x:c>
      <x:c r="C20">
        <x:v>14.56</x:v>
      </x:c>
      <x:c r="F20">
        <x:v>15.13</x:v>
      </x:c>
      <x:c r="I20">
        <x:v>16.27</x:v>
      </x:c>
      <x:c r="L20">
        <x:v>19.07</x:v>
      </x:c>
      <x:c r="O20">
        <x:v>20.09</x:v>
      </x:c>
      <x:c r="R20">
        <x:v>20.84</x:v>
      </x:c>
      <x:c r="U20">
        <x:v>21.19</x:v>
      </x:c>
      <x:c r="X20">
        <x:v>21.47</x:v>
      </x:c>
      <x:c r="AA20">
        <x:v>21.59</x:v>
      </x:c>
      <x:c r="AD20">
        <x:v>21.51</x:v>
      </x:c>
      <x:c r="AG20">
        <x:v>21.76</x:v>
      </x:c>
      <x:c r="AJ20">
        <x:v>21.47</x:v>
      </x:c>
      <x:c r="AM20">
        <x:v>21.37</x:v>
      </x:c>
      <x:c r="AP20">
        <x:v>21.16</x:v>
      </x:c>
      <x:c r="AR20" s="11" t="str"/>
      <x:c r="AS20" s="12" t="n">
        <x:f>MAX(0,$AP20+AVERAGE($AP20-$AM20,$AM20-$AJ20,$AJ20-$AG20,$AG20-$AD20))</x:f>
        <x:v>21.072499999999998</x:v>
      </x:c>
      <x:c r="AT20" s="12" t="str"/>
      <x:c r="AU20" s="12" t="str"/>
      <x:c r="AV20" s="12" t="n">
        <x:f>MAX(0,AS20+AVERAGE($AP20-$AM20,$AM20-$AJ20,$AJ20-$AG20,$AG20-$AD20))</x:f>
        <x:v>20.985</x:v>
      </x:c>
      <x:c r="AW20" s="12" t="str"/>
      <x:c r="AX20" s="12" t="str"/>
      <x:c r="AY20" s="12" t="n">
        <x:f>MAX(0,AV20+AVERAGE($AP20-$AM20,$AM20-$AJ20,$AJ20-$AG20,$AG20-$AD20))</x:f>
        <x:v>20.8975</x:v>
      </x:c>
      <x:c r="AZ20" s="12" t="str"/>
      <x:c r="BA20" s="12" t="str"/>
      <x:c r="BB20" s="12" t="n">
        <x:f>MAX(0,AY20+AVERAGE($AP20-$AM20,$AM20-$AJ20,$AJ20-$AG20,$AG20-$AD20))</x:f>
        <x:v>20.810000000000002</x:v>
      </x:c>
      <x:c r="BC20" s="12" t="str"/>
    </x:row>
    <x:row r="21">
      <x:c r="A21" t="s">
        <x:v>62</x:v>
      </x:c>
      <x:c r="C21">
        <x:v>16.170000000000002</x:v>
      </x:c>
      <x:c r="F21">
        <x:v>16.649999999999999</x:v>
      </x:c>
      <x:c r="I21">
        <x:v>18.43</x:v>
      </x:c>
      <x:c r="L21">
        <x:v>20.399999999999999</x:v>
      </x:c>
      <x:c r="O21">
        <x:v>20.92</x:v>
      </x:c>
      <x:c r="R21">
        <x:v>22.16</x:v>
      </x:c>
      <x:c r="U21">
        <x:v>22.77</x:v>
      </x:c>
      <x:c r="X21">
        <x:v>22.75</x:v>
      </x:c>
      <x:c r="AA21">
        <x:v>22.63</x:v>
      </x:c>
      <x:c r="AD21">
        <x:v>22.78</x:v>
      </x:c>
      <x:c r="AG21">
        <x:v>23.37</x:v>
      </x:c>
      <x:c r="AJ21">
        <x:v>22.8</x:v>
      </x:c>
      <x:c r="AM21">
        <x:v>21.91</x:v>
      </x:c>
      <x:c r="AP21">
        <x:v>22.25</x:v>
      </x:c>
      <x:c r="AR21" s="11" t="str"/>
      <x:c r="AS21" s="12" t="n">
        <x:f>MAX(0,$AP21+AVERAGE($AP21-$AM21,$AM21-$AJ21,$AJ21-$AG21,$AG21-$AD21))</x:f>
        <x:v>22.1175</x:v>
      </x:c>
      <x:c r="AT21" s="12" t="str"/>
      <x:c r="AU21" s="12" t="str"/>
      <x:c r="AV21" s="12" t="n">
        <x:f>MAX(0,AS21+AVERAGE($AP21-$AM21,$AM21-$AJ21,$AJ21-$AG21,$AG21-$AD21))</x:f>
        <x:v>21.985</x:v>
      </x:c>
      <x:c r="AW21" s="12" t="str"/>
      <x:c r="AX21" s="12" t="str"/>
      <x:c r="AY21" s="12" t="n">
        <x:f>MAX(0,AV21+AVERAGE($AP21-$AM21,$AM21-$AJ21,$AJ21-$AG21,$AG21-$AD21))</x:f>
        <x:v>21.8525</x:v>
      </x:c>
      <x:c r="AZ21" s="12" t="str"/>
      <x:c r="BA21" s="12" t="str"/>
      <x:c r="BB21" s="12" t="n">
        <x:f>MAX(0,AY21+AVERAGE($AP21-$AM21,$AM21-$AJ21,$AJ21-$AG21,$AG21-$AD21))</x:f>
        <x:v>21.72</x:v>
      </x:c>
      <x:c r="BC21" s="12" t="str"/>
    </x:row>
    <x:row r="22">
      <x:c r="A22" t="s">
        <x:v>63</x:v>
      </x:c>
      <x:c r="B22">
        <x:v>1.69</x:v>
      </x:c>
      <x:c r="E22">
        <x:v>1.83</x:v>
      </x:c>
      <x:c r="H22">
        <x:v>2.0499999999999998</x:v>
      </x:c>
      <x:c r="K22">
        <x:v>2.2599999999999998</x:v>
      </x:c>
      <x:c r="N22">
        <x:v>2.4700000000000002</x:v>
      </x:c>
      <x:c r="Q22">
        <x:v>2.75</x:v>
      </x:c>
      <x:c r="T22">
        <x:v>2.95</x:v>
      </x:c>
      <x:c r="W22">
        <x:v>3.1</x:v>
      </x:c>
      <x:c r="Z22">
        <x:v>3.17</x:v>
      </x:c>
      <x:c r="AC22">
        <x:v>3.22</x:v>
      </x:c>
      <x:c r="AF22">
        <x:v>3.2</x:v>
      </x:c>
      <x:c r="AI22">
        <x:v>3.08</x:v>
      </x:c>
      <x:c r="AL22">
        <x:v>3.05</x:v>
      </x:c>
      <x:c r="AO22">
        <x:v>3.04</x:v>
      </x:c>
      <x:c r="AR22" s="11" t="n">
        <x:f>MAX(0,$AO22+AVERAGE($AO22-$AL22,$AL22-$AI22,$AI22-$AF22,$AF22-$AC22))</x:f>
        <x:v>2.995</x:v>
      </x:c>
      <x:c r="AS22" s="12" t="str"/>
      <x:c r="AT22" s="12" t="str"/>
      <x:c r="AU22" s="12" t="n">
        <x:f>MAX(0,AR22+AVERAGE($AO22-$AL22,$AL22-$AI22,$AI22-$AF22,$AF22-$AC22))</x:f>
        <x:v>2.95</x:v>
      </x:c>
      <x:c r="AV22" s="12" t="str"/>
      <x:c r="AW22" s="12" t="str"/>
      <x:c r="AX22" s="12" t="n">
        <x:f>MAX(0,AU22+AVERAGE($AO22-$AL22,$AL22-$AI22,$AI22-$AF22,$AF22-$AC22))</x:f>
        <x:v>2.9050000000000002</x:v>
      </x:c>
      <x:c r="AY22" s="12" t="str"/>
      <x:c r="AZ22" s="12" t="str"/>
      <x:c r="BA22" s="12" t="n">
        <x:f>MAX(0,AX22+AVERAGE($AO22-$AL22,$AL22-$AI22,$AI22-$AF22,$AF22-$AC22))</x:f>
        <x:v>2.8600000000000003</x:v>
      </x:c>
      <x:c r="BB22" s="12" t="str"/>
      <x:c r="BC22" s="12" t="str"/>
    </x:row>
    <x:row r="23">
      <x:c r="A23" t="s">
        <x:v>64</x:v>
      </x:c>
      <x:c r="B23">
        <x:v>1.73</x:v>
      </x:c>
      <x:c r="E23">
        <x:v>1.86</x:v>
      </x:c>
      <x:c r="H23">
        <x:v>2.1</x:v>
      </x:c>
      <x:c r="K23">
        <x:v>2.5099999999999998</x:v>
      </x:c>
      <x:c r="N23">
        <x:v>2.86</x:v>
      </x:c>
      <x:c r="Q23">
        <x:v>3.23</x:v>
      </x:c>
      <x:c r="T23">
        <x:v>3.76</x:v>
      </x:c>
      <x:c r="W23">
        <x:v>4.18</x:v>
      </x:c>
      <x:c r="Z23">
        <x:v>4.4000000000000004</x:v>
      </x:c>
      <x:c r="AC23">
        <x:v>4.5599999999999996</x:v>
      </x:c>
      <x:c r="AF23">
        <x:v>4.6900000000000004</x:v>
      </x:c>
      <x:c r="AI23">
        <x:v>4.57</x:v>
      </x:c>
      <x:c r="AL23">
        <x:v>4.4400000000000004</x:v>
      </x:c>
      <x:c r="AO23">
        <x:v>4.1900000000000004</x:v>
      </x:c>
      <x:c r="AR23" s="11" t="n">
        <x:f>MAX(0,$AO23+AVERAGE($AO23-$AL23,$AL23-$AI23,$AI23-$AF23,$AF23-$AC23))</x:f>
        <x:v>4.0975</x:v>
      </x:c>
      <x:c r="AS23" s="12" t="str"/>
      <x:c r="AT23" s="12" t="str"/>
      <x:c r="AU23" s="12" t="n">
        <x:f>MAX(0,AR23+AVERAGE($AO23-$AL23,$AL23-$AI23,$AI23-$AF23,$AF23-$AC23))</x:f>
        <x:v>4.005000000000001</x:v>
      </x:c>
      <x:c r="AV23" s="12" t="str"/>
      <x:c r="AW23" s="12" t="str"/>
      <x:c r="AX23" s="12" t="n">
        <x:f>MAX(0,AU23+AVERAGE($AO23-$AL23,$AL23-$AI23,$AI23-$AF23,$AF23-$AC23))</x:f>
        <x:v>3.912500000000001</x:v>
      </x:c>
      <x:c r="AY23" s="12" t="str"/>
      <x:c r="AZ23" s="12" t="str"/>
      <x:c r="BA23" s="12" t="n">
        <x:f>MAX(0,AX23+AVERAGE($AO23-$AL23,$AL23-$AI23,$AI23-$AF23,$AF23-$AC23))</x:f>
        <x:v>3.820000000000001</x:v>
      </x:c>
      <x:c r="BB23" s="12" t="str"/>
      <x:c r="BC23" s="12" t="str"/>
    </x:row>
    <x:row r="24">
      <x:c r="A24" t="s">
        <x:v>65</x:v>
      </x:c>
      <x:c r="B24">
        <x:v>1.24</x:v>
      </x:c>
      <x:c r="E24">
        <x:v>1.18</x:v>
      </x:c>
      <x:c r="H24">
        <x:v>1.18</x:v>
      </x:c>
      <x:c r="K24">
        <x:v>1.23</x:v>
      </x:c>
      <x:c r="N24">
        <x:v>1.21</x:v>
      </x:c>
      <x:c r="Q24">
        <x:v>1.21</x:v>
      </x:c>
      <x:c r="T24">
        <x:v>1.31</x:v>
      </x:c>
      <x:c r="W24">
        <x:v>1.42</x:v>
      </x:c>
      <x:c r="Z24">
        <x:v>1.43</x:v>
      </x:c>
      <x:c r="AC24">
        <x:v>1.43</x:v>
      </x:c>
      <x:c r="AF24">
        <x:v>1.49</x:v>
      </x:c>
      <x:c r="AI24">
        <x:v>1.55</x:v>
      </x:c>
      <x:c r="AL24">
        <x:v>1.53</x:v>
      </x:c>
      <x:c r="AO24">
        <x:v>1.44</x:v>
      </x:c>
      <x:c r="AR24" s="11" t="n">
        <x:f>MAX(0,$AO24+AVERAGE($AO24-$AL24,$AL24-$AI24,$AI24-$AF24,$AF24-$AC24))</x:f>
        <x:v>1.4425</x:v>
      </x:c>
      <x:c r="AS24" s="12" t="str"/>
      <x:c r="AT24" s="12" t="str"/>
      <x:c r="AU24" s="12" t="n">
        <x:f>MAX(0,AR24+AVERAGE($AO24-$AL24,$AL24-$AI24,$AI24-$AF24,$AF24-$AC24))</x:f>
        <x:v>1.4449999999999998</x:v>
      </x:c>
      <x:c r="AV24" s="12" t="str"/>
      <x:c r="AW24" s="12" t="str"/>
      <x:c r="AX24" s="12" t="n">
        <x:f>MAX(0,AU24+AVERAGE($AO24-$AL24,$AL24-$AI24,$AI24-$AF24,$AF24-$AC24))</x:f>
        <x:v>1.4474999999999998</x:v>
      </x:c>
      <x:c r="AY24" s="12" t="str"/>
      <x:c r="AZ24" s="12" t="str"/>
      <x:c r="BA24" s="12" t="n">
        <x:f>MAX(0,AX24+AVERAGE($AO24-$AL24,$AL24-$AI24,$AI24-$AF24,$AF24-$AC24))</x:f>
        <x:v>1.4499999999999997</x:v>
      </x:c>
      <x:c r="BB24" s="12" t="str"/>
      <x:c r="BC24" s="12" t="str"/>
    </x:row>
    <x:row r="26" ht="18" customHeight="1">
      <x:c r="A26" s="10" t="str">
        <x:v>Forecast method: monthly series extend the average monthly change from the latest six actual months. Prime and mortgage rates hold their June 2025 spread to the applicable benchmark.</x:v>
      </x:c>
    </x:row>
    <x:row r="27" ht="18" customHeight="1">
      <x:c r="A27" s="10" t="str">
        <x:v>Quarterly series retain their historical reporting months and extend the average change from the latest four reported quarters. Forecast period is July 2025 through June 2026.</x:v>
      </x:c>
    </x:row>
  </x:sheetData>
  <x:pageMargins left="0.7" right="0.7" top="0.75" bottom="0.75" header="0.3" footer="0.3"/>
</x:worksheet>
</file>