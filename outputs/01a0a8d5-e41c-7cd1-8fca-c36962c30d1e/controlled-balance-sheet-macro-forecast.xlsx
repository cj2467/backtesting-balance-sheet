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ebdcf11930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lance" sheetId="1" r:id="Rb0ef275216514da5"/>
    <x:sheet xmlns:r="http://schemas.openxmlformats.org/officeDocument/2006/relationships" name="Rate" sheetId="2" r:id="R95d45b69ca454532"/>
    <x:sheet xmlns:r="http://schemas.openxmlformats.org/officeDocument/2006/relationships" name="Net Interest Income" sheetId="3" r:id="R3a8e38f0c9364c33"/>
    <x:sheet xmlns:r="http://schemas.openxmlformats.org/officeDocument/2006/relationships" name="Notes &amp; Sources" sheetId="4" r:id="Rcdd3966f47ee48b3"/>
    <x:sheet xmlns:r="http://schemas.openxmlformats.org/officeDocument/2006/relationships" name="Quarter-End Anchors" sheetId="5" r:id="R2187765229c748cc"/>
    <x:sheet xmlns:r="http://schemas.openxmlformats.org/officeDocument/2006/relationships" name="Monthly EOP Balance" sheetId="6" r:id="Rcfa239b8f1804043"/>
    <x:sheet xmlns:r="http://schemas.openxmlformats.org/officeDocument/2006/relationships" name="Monthly Avg Balance" sheetId="7" r:id="R417eeb586fa34ca1"/>
    <x:sheet xmlns:r="http://schemas.openxmlformats.org/officeDocument/2006/relationships" name="Monthly NII" sheetId="8" r:id="Ra7f3a7a93af84147"/>
    <x:sheet xmlns:r="http://schemas.openxmlformats.org/officeDocument/2006/relationships" name="Monthly Rate" sheetId="9" r:id="R7a49c30ecd494591"/>
    <x:sheet xmlns:r="http://schemas.openxmlformats.org/officeDocument/2006/relationships" name="Monthly Checks" sheetId="10" r:id="R3eecd73d15784393"/>
    <x:sheet xmlns:r="http://schemas.openxmlformats.org/officeDocument/2006/relationships" name="Forecast Drivers" sheetId="11" r:id="R2fa236329da94352"/>
  </x:sheets>
</x:workbook>
</file>

<file path=xl/sharedStrings.xml><?xml version="1.0" encoding="utf-8"?>
<x:sst xmlns:x="http://schemas.openxmlformats.org/spreadsheetml/2006/main">
  <x:si>
    <x:t xml:space="preserve">Capital One — Average Balance by line item ($mm)</x:t>
  </x:si>
  <x:si>
    <x:t xml:space="preserve">Line item (as disclosed)</x:t>
  </x:si>
  <x:si>
    <x:t xml:space="preserve">2023-03-31</x:t>
  </x:si>
  <x:si>
    <x:t xml:space="preserve">2023-06-30</x:t>
  </x:si>
  <x:si>
    <x:t xml:space="preserve">2023-09-30</x:t>
  </x:si>
  <x:si>
    <x:t xml:space="preserve">2023-12-31 (D)</x:t>
  </x:si>
  <x:si>
    <x:t xml:space="preserve">2024-03-31</x:t>
  </x:si>
  <x:si>
    <x:t xml:space="preserve">2024-06-30</x:t>
  </x:si>
  <x:si>
    <x:t xml:space="preserve">2024-09-30</x:t>
  </x:si>
  <x:si>
    <x:t xml:space="preserve">2024-12-31 (D)</x:t>
  </x:si>
  <x:si>
    <x:t xml:space="preserve">2025-03-31</x:t>
  </x:si>
  <x:si>
    <x:t xml:space="preserve">2025-06-30</x:t>
  </x:si>
  <x:si>
    <x:t xml:space="preserve">INTEREST-EARNING ASSETS</x:t>
  </x:si>
  <x:si>
    <x:t xml:space="preserve">  Credit card</x:t>
  </x:si>
  <x:si>
    <x:t xml:space="preserve">  Consumer banking</x:t>
  </x:si>
  <x:si>
    <x:t xml:space="preserve">  Commercial banking</x:t>
  </x:si>
  <x:si>
    <x:t xml:space="preserve">  Total loans (incl. HFS)</x:t>
  </x:si>
  <x:si>
    <x:t xml:space="preserve">  Investment securities</x:t>
  </x:si>
  <x:si>
    <x:t xml:space="preserve">  Cash equivalents and other</x:t>
  </x:si>
  <x:si>
    <x:t xml:space="preserve">  Total interest-earning assets</x:t>
  </x:si>
  <x:si>
    <x:t xml:space="preserve">INTEREST-BEARING LIABILITIES</x:t>
  </x:si>
  <x:si>
    <x:t xml:space="preserve">  Interest-bearing deposits</x:t>
  </x:si>
  <x:si>
    <x:t xml:space="preserve">  Securitized debt obligations</x:t>
  </x:si>
  <x:si>
    <x:t xml:space="preserve">  Senior and subordinated notes</x:t>
  </x:si>
  <x:si>
    <x:t xml:space="preserve">  Other borrowings</x:t>
  </x:si>
  <x:si>
    <x:t xml:space="preserve">  Total interest-bearing liabilities</x:t>
  </x:si>
  <x:si>
    <x:t xml:space="preserve">Net earning assets (assets − liabilities)</x:t>
  </x:si>
  <x:si>
    <x:t xml:space="preserve">Capital One — Average Yield / Rate by line item (annualised)</x:t>
  </x:si>
  <x:si>
    <x:t xml:space="preserve">Net interest spread (asset yield − funding cost)</x:t>
  </x:si>
  <x:si>
    <x:t xml:space="preserve">Net interest margin (NII / avg earning assets)</x:t>
  </x:si>
  <x:si>
    <x:t xml:space="preserve">Capital One — Interest Income / Expense by line item ($mm, quarterly)</x:t>
  </x:si>
  <x:si>
    <x:t xml:space="preserve">NET INTEREST INCOME</x:t>
  </x:si>
  <x:si>
    <x:t xml:space="preserve">CHECK: NII vs income statement (flows.csv)</x:t>
  </x:si>
  <x:si>
    <x:t xml:space="preserve">  Income statement NII (XBRL)</x:t>
  </x:si>
  <x:si>
    <x:t xml:space="preserve">  Difference</x:t>
  </x:si>
  <x:si>
    <x:t xml:space="preserve">Blue = as disclosed. Green = from the XBRL income statement (independent source). Black = formula. Difference should be zero: the MD&amp;A average-balance table and the income statement must agree on NII.</x:t>
  </x:si>
  <x:si>
    <x:t xml:space="preserve">Balance / Rate / Net Interest Income — Capital One</x:t>
  </x:si>
  <x:si>
    <x:t xml:space="preserve">ON "GL ACCOUNTS"</x:t>
  </x:si>
  <x:si>
    <x:t xml:space="preserve">SEC filings do not expose a general ledger. These rows are the line items Capital One discloses in its average-balance table — the finest account-level granularity available externally. They are groupings, not GL account numbers.</x:t>
  </x:si>
  <x:si>
    <x:t xml:space="preserve">WHAT EACH TABLE HOLDS</x:t>
  </x:si>
  <x:si>
    <x:t xml:space="preserve">Balance — AVERAGE balance over the quarter, in $mm. Not period-end; it will not tie to the balance sheet.</x:t>
  </x:si>
  <x:si>
    <x:t xml:space="preserve">Rate — annualised yield (assets) and cost of funds (liabilities), stored as fractions and displayed as percentages.</x:t>
  </x:si>
  <x:si>
    <x:t xml:space="preserve">Net Interest Income — interest income on assets and interest expense on liabilities, with NII computed as the difference of the totals.</x:t>
  </x:si>
  <x:si>
    <x:t xml:space="preserve">SOURCE</x:t>
  </x:si>
  <x:si>
    <x:t xml:space="preserve">Capital One Financial Corp (CIK 0000927628), Forms 10-Q and 10-K, MD&amp;A table 'Average Balances, Net Interest Income and Net Interest Margin'. These MD&amp;A tables are NOT XBRL-tagged, so values are parsed from the rendered HTML.</x:t>
  </x:si>
  <x:si>
    <x:t xml:space="preserve">Q4 DERIVATION, AND WHY IT IS SOUND</x:t>
  </x:si>
  <x:si>
    <x:t xml:space="preserve">No 3-month Q4 average-balance table is published: the 10-K table is annual and the 10-Q tables are 3/6/9-month. Q4 columns are marked (D).</x:t>
  </x:si>
  <x:si>
    <x:t xml:space="preserve">Two identities were tested against the actual data, both passing 48 of 48 cases: interest is additive (6M = Q1 + Q2), and average balances weight by months (6M avg = (Q1 avg x3 + Q2 avg x3) / 6).</x:t>
  </x:si>
  <x:si>
    <x:t xml:space="preserve">Therefore: Q4 interest = FY − 9M (exact). Q4 balance = (FY avg x12 − 9M avg x9) / 3. Q4 rate is RECOMPUTED from the derived interest and balance, never subtracted — rates do not subtract.</x:t>
  </x:si>
  <x:si>
    <x:t xml:space="preserve">VALIDATION</x:t>
  </x:si>
  <x:si>
    <x:t xml:space="preserve">The Net Interest Income sheet cross-checks its computed NII against the income statement extracted independently from XBRL. The two come from different places in the filing by different methods, so agreement is meaningful.</x:t>
  </x:si>
  <x:si>
    <x:t xml:space="preserve">CONVENTIONS</x:t>
  </x:si>
  <x:si>
    <x:t xml:space="preserve">Blue = as disclosed in the filing. Green = independent XBRL source. Black = live formula. Yellow = check cell, should read zero.</x:t>
  </x:si>
</x:sst>
</file>

<file path=xl/styles.xml><?xml version="1.0" encoding="utf-8"?>
<x:styleSheet xmlns:x="http://schemas.openxmlformats.org/spreadsheetml/2006/main">
  <x:numFmts count="11">
    <x:numFmt numFmtId="164" formatCode="General"/>
    <x:numFmt numFmtId="165" formatCode="\$#,##0;&quot;($&quot;#,##0\);\-"/>
    <x:numFmt numFmtId="166" formatCode="0.00%;\(0.00%\);\-"/>
    <x:numFmt numFmtId="167" formatCode="#,##0.0;\(#,##0.0\);\-"/>
    <x:numFmt numFmtId="200" formatCode="mmm-yy"/>
    <x:numFmt numFmtId="201" formatCode="$#,##0;($#,##0);-"/>
    <x:numFmt numFmtId="202" formatCode="$#,##0.0;($#,##0.0);-"/>
    <x:numFmt numFmtId="203" formatCode="0.00%"/>
    <x:numFmt numFmtId="204" formatCode="0.00;[Red](0.00);0.00"/>
    <x:numFmt numFmtId="205" formatCode="0.00"/>
    <x:numFmt numFmtId="206" formatCode="#,##0"/>
  </x:numFmts>
  <x:fonts count="17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name val="Arial"/>
    </x:font>
    <x:font>
      <x:i/>
      <x:sz val="9"/>
      <x:color rgb="FF595959"/>
      <x:name val="Arial"/>
    </x:font>
    <x:font>
      <x:b/>
      <x:sz val="10"/>
      <x:name val="Arial"/>
    </x:font>
    <x:font>
      <x:b/>
      <x:sz val="10"/>
      <x:name val="Arial"/>
    </x:font>
    <x:font>
      <x:sz val="10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4"/>
      <x:color rgb="FF000000"/>
      <x:name val="Arial"/>
    </x:font>
    <x:font>
      <x:i/>
      <x:sz val="9"/>
      <x:color rgb="FF666666"/>
      <x:name val="Arial"/>
    </x:font>
    <x:font>
      <x:b/>
      <x:sz val="10"/>
      <x:color rgb="FF008000"/>
      <x:name val="Arial"/>
    </x:font>
    <x:font>
      <x:b/>
      <x:sz val="10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  <x:fill>
      <x:patternFill patternType="solid">
        <x:fgColor rgb="FFEAF2F8"/>
      </x:patternFill>
    </x:fill>
    <x:fill>
      <x:patternFill patternType="solid">
        <x:fgColor rgb="FFD9E2F3"/>
      </x:patternFill>
    </x:fill>
  </x:fills>
  <x:borders count="4">
    <x:border diagonalUp="0" diagonalDown="0"/>
    <x:border diagonalUp="0" diagonalDown="0">
      <x:top style="thin">
        <x:color rgb="FFBFBFBF"/>
      </x:top>
    </x:border>
    <x:border diagonalUp="0" diagonalDown="0">
      <x:bottom style="thin">
        <x:color rgb="FFA6A6A6"/>
      </x:bottom>
    </x:border>
    <x:border diagonalUp="0" diagonalDown="0">
      <x:bottom style="thin">
        <x:color rgb="FFD9D9D9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15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1">
      <x:alignment horizontal="general" vertical="bottom" wrapText="1"/>
    </x:xf>
    <x:xf numFmtId="164" fontId="6" fillId="0" borderId="0" xfId="0" applyFont="1" applyBorder="0" applyAlignment="0">
      <x:alignment horizontal="general" vertical="bottom" wrapText="0"/>
    </x:xf>
    <x:xf numFmtId="164" fontId="6" fillId="2" borderId="0" xfId="0" applyFont="1" applyBorder="0" applyAlignment="1">
      <x:alignment horizontal="center" vertical="bottom" wrapText="0"/>
    </x:xf>
    <x:xf numFmtId="164" fontId="7" fillId="0" borderId="0" xfId="0" applyFont="1" applyBorder="0" applyAlignment="0">
      <x:alignment horizontal="general" vertical="bottom" wrapText="0"/>
    </x:xf>
    <x:xf numFmtId="164" fontId="8" fillId="0" borderId="0" xfId="0" applyFont="1" applyBorder="0" applyAlignment="0">
      <x:alignment horizontal="general" vertical="bottom" wrapText="0"/>
    </x:xf>
    <x:xf numFmtId="165" fontId="9" fillId="0" borderId="0" xfId="0" applyFont="1" applyBorder="0" applyAlignment="0">
      <x:alignment horizontal="general" vertical="bottom" wrapText="0"/>
    </x:xf>
    <x:xf numFmtId="165" fontId="6" fillId="0" borderId="1" xfId="0" applyFont="1" applyBorder="1" applyAlignment="0">
      <x:alignment horizontal="general" vertical="bottom" wrapText="0"/>
    </x:xf>
    <x:xf numFmtId="165" fontId="6" fillId="0" borderId="0" xfId="0" applyFont="1" applyBorder="0" applyAlignment="0">
      <x:alignment horizontal="general" vertical="bottom" wrapText="0"/>
    </x:xf>
    <x:xf numFmtId="166" fontId="9" fillId="0" borderId="0" xfId="0" applyFont="1" applyBorder="0" applyAlignment="0">
      <x:alignment horizontal="general" vertical="bottom" wrapText="0"/>
    </x:xf>
    <x:xf numFmtId="166" fontId="6" fillId="0" borderId="1" xfId="0" applyFont="1" applyBorder="1" applyAlignment="0">
      <x:alignment horizontal="general" vertical="bottom" wrapText="0"/>
    </x:xf>
    <x:xf numFmtId="166" fontId="6" fillId="0" borderId="0" xfId="0" applyFont="1" applyBorder="0" applyAlignment="0">
      <x:alignment horizontal="general" vertical="bottom" wrapText="0"/>
    </x:xf>
    <x:xf numFmtId="165" fontId="10" fillId="0" borderId="0" xfId="0" applyFont="1" applyBorder="0" applyAlignment="0">
      <x:alignment horizontal="general" vertical="bottom" wrapText="0"/>
    </x:xf>
    <x:xf numFmtId="167" fontId="6" fillId="3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4" fillId="0" borderId="0" xfId="0" applyFont="1" applyBorder="0" applyAlignment="1">
      <x:alignment horizontal="general" vertical="top" wrapText="1"/>
    </x:xf>
    <x:xf numFmtId="164" fontId="5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8" fillId="0" borderId="0" xfId="0" applyFont="1" applyBorder="0" applyAlignment="1">
      <x:alignment horizontal="general" vertical="top" wrapText="1"/>
    </x:xf>
    <x:xf numFmtId="164" fontId="11" fillId="0" borderId="0" xfId="0" applyNumberFormat="1" applyFont="1" applyFill="1" applyBorder="1" applyAlignment="1">
      <x:alignment horizontal="general" vertical="bottom" wrapText="0"/>
    </x:xf>
    <x:xf numFmtId="164" fontId="11" fillId="4" borderId="0" xfId="0" applyNumberFormat="1" applyFont="1" applyFill="1" applyBorder="1" applyAlignment="1">
      <x:alignment horizontal="general" vertical="bottom" wrapText="0"/>
    </x:xf>
    <x:xf numFmtId="164" fontId="12" fillId="4" borderId="0" xfId="0" applyNumberFormat="1" applyFont="1" applyFill="1" applyBorder="1" applyAlignment="1">
      <x:alignment horizontal="general" vertical="bottom" wrapText="0"/>
    </x:xf>
    <x:xf numFmtId="164" fontId="12" fillId="4" borderId="0" xfId="0" applyNumberFormat="1" applyFont="1" applyFill="1" applyBorder="1" applyAlignment="1">
      <x:alignment horizontal="center" vertical="bottom" wrapText="0"/>
    </x:xf>
    <x:xf numFmtId="164" fontId="12" fillId="4" borderId="0" xfId="0" applyNumberFormat="1" applyFont="1" applyFill="1" applyBorder="1" applyAlignment="1">
      <x:alignment horizontal="center" vertical="center" wrapText="0"/>
    </x:xf>
    <x:xf numFmtId="164" fontId="12" fillId="0" borderId="0" xfId="0" applyNumberFormat="1" applyFont="1" applyFill="1" applyBorder="1" applyAlignment="1">
      <x:alignment horizontal="general" vertical="bottom" wrapText="0"/>
    </x:xf>
    <x:xf numFmtId="164" fontId="12" fillId="0" borderId="2" xfId="0" applyNumberFormat="1" applyFont="1" applyFill="1" applyBorder="1" applyAlignment="1">
      <x:alignment horizontal="general" vertical="bottom" wrapText="0"/>
    </x:xf>
    <x:xf numFmtId="164" fontId="12" fillId="4" borderId="2" xfId="0" applyNumberFormat="1" applyFont="1" applyFill="1" applyBorder="1" applyAlignment="1">
      <x:alignment horizontal="center" vertical="center" wrapText="0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4" fillId="0" borderId="0" xfId="0" applyNumberFormat="1" applyFont="1" applyFill="1" applyBorder="1" applyAlignment="1">
      <x:alignment horizontal="general" vertical="bottom" wrapText="0"/>
    </x:xf>
    <x:xf numFmtId="164" fontId="14" fillId="0" borderId="0" xfId="0" applyNumberFormat="1" applyFont="1" applyFill="1" applyBorder="1" applyAlignment="1">
      <x:alignment horizontal="general" vertical="bottom" wrapText="1"/>
    </x:xf>
    <x:xf numFmtId="200" fontId="12" fillId="4" borderId="2" xfId="0" applyNumberFormat="1" applyFont="1" applyFill="1" applyBorder="1" applyAlignment="1">
      <x:alignment horizontal="center" vertical="center" wrapText="0"/>
    </x:xf>
    <x:xf numFmtId="164" fontId="12" fillId="0" borderId="3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general" vertical="bottom" wrapText="0"/>
    </x:xf>
    <x:xf numFmtId="201" fontId="11" fillId="0" borderId="0" xfId="0" applyNumberFormat="1" applyFont="1" applyFill="1" applyBorder="1" applyAlignment="1">
      <x:alignment horizontal="general" vertical="bottom" wrapText="0"/>
    </x:xf>
    <x:xf numFmtId="201" fontId="12" fillId="0" borderId="2" xfId="0" applyNumberFormat="1" applyFont="1" applyFill="1" applyBorder="1" applyAlignment="1">
      <x:alignment horizontal="general" vertical="bottom" wrapText="0"/>
    </x:xf>
    <x:xf numFmtId="201" fontId="12" fillId="0" borderId="3" xfId="0" applyNumberFormat="1" applyFont="1" applyFill="1" applyBorder="1" applyAlignment="1">
      <x:alignment horizontal="general" vertical="bottom" wrapText="0"/>
    </x:xf>
    <x:xf numFmtId="201" fontId="9" fillId="0" borderId="0" xfId="0" applyNumberFormat="1" applyFont="1" applyFill="1" applyBorder="1" applyAlignment="1">
      <x:alignment horizontal="general" vertical="bottom" wrapText="0"/>
    </x:xf>
    <x:xf numFmtId="201" fontId="10" fillId="0" borderId="0" xfId="0" applyNumberFormat="1" applyFont="1" applyFill="1" applyBorder="1" applyAlignment="1">
      <x:alignment horizontal="general" vertical="bottom" wrapText="0"/>
    </x:xf>
    <x:xf numFmtId="201" fontId="15" fillId="0" borderId="2" xfId="0" applyNumberFormat="1" applyFont="1" applyFill="1" applyBorder="1" applyAlignment="1">
      <x:alignment horizontal="general" vertical="bottom" wrapText="0"/>
    </x:xf>
    <x:xf numFmtId="201" fontId="15" fillId="0" borderId="3" xfId="0" applyNumberFormat="1" applyFont="1" applyFill="1" applyBorder="1" applyAlignment="1">
      <x:alignment horizontal="general" vertical="bottom" wrapText="0"/>
    </x:xf>
    <x:xf numFmtId="201" fontId="12" fillId="0" borderId="0" xfId="0" applyNumberFormat="1" applyFont="1" applyFill="1" applyBorder="1" applyAlignment="1">
      <x:alignment horizontal="general" vertical="bottom" wrapText="0"/>
    </x:xf>
    <x:xf numFmtId="202" fontId="11" fillId="0" borderId="0" xfId="0" applyNumberFormat="1" applyFont="1" applyFill="1" applyBorder="1" applyAlignment="1">
      <x:alignment horizontal="general" vertical="bottom" wrapText="0"/>
    </x:xf>
    <x:xf numFmtId="202" fontId="10" fillId="0" borderId="0" xfId="0" applyNumberFormat="1" applyFont="1" applyFill="1" applyBorder="1" applyAlignment="1">
      <x:alignment horizontal="general" vertical="bottom" wrapText="0"/>
    </x:xf>
    <x:xf numFmtId="202" fontId="12" fillId="0" borderId="0" xfId="0" applyNumberFormat="1" applyFont="1" applyFill="1" applyBorder="1" applyAlignment="1">
      <x:alignment horizontal="general" vertical="bottom" wrapText="0"/>
    </x:xf>
    <x:xf numFmtId="202" fontId="12" fillId="0" borderId="3" xfId="0" applyNumberFormat="1" applyFont="1" applyFill="1" applyBorder="1" applyAlignment="1">
      <x:alignment horizontal="general" vertical="bottom" wrapText="0"/>
    </x:xf>
    <x:xf numFmtId="202" fontId="12" fillId="0" borderId="2" xfId="0" applyNumberFormat="1" applyFont="1" applyFill="1" applyBorder="1" applyAlignment="1">
      <x:alignment horizontal="general" vertical="bottom" wrapText="0"/>
    </x:xf>
    <x:xf numFmtId="203" fontId="11" fillId="0" borderId="0" xfId="0" applyNumberFormat="1" applyFont="1" applyFill="1" applyBorder="1" applyAlignment="1">
      <x:alignment horizontal="general" vertical="bottom" wrapText="0"/>
    </x:xf>
    <x:xf numFmtId="203" fontId="10" fillId="0" borderId="0" xfId="0" applyNumberFormat="1" applyFont="1" applyFill="1" applyBorder="1" applyAlignment="1">
      <x:alignment horizontal="general" vertical="bottom" wrapText="0"/>
    </x:xf>
    <x:xf numFmtId="203" fontId="12" fillId="0" borderId="0" xfId="0" applyNumberFormat="1" applyFont="1" applyFill="1" applyBorder="1" applyAlignment="1">
      <x:alignment horizontal="general" vertical="bottom" wrapText="0"/>
    </x:xf>
    <x:xf numFmtId="203" fontId="12" fillId="0" borderId="3" xfId="0" applyNumberFormat="1" applyFont="1" applyFill="1" applyBorder="1" applyAlignment="1">
      <x:alignment horizontal="general" vertical="bottom" wrapText="0"/>
    </x:xf>
    <x:xf numFmtId="203" fontId="12" fillId="0" borderId="2" xfId="0" applyNumberFormat="1" applyFont="1" applyFill="1" applyBorder="1" applyAlignment="1">
      <x:alignment horizontal="general" vertical="bottom" wrapText="0"/>
    </x:xf>
    <x:xf numFmtId="204" fontId="11" fillId="0" borderId="0" xfId="0" applyNumberFormat="1" applyFont="1" applyFill="1" applyBorder="1" applyAlignment="1">
      <x:alignment horizontal="general" vertical="bottom" wrapText="0"/>
    </x:xf>
    <x:xf numFmtId="204" fontId="12" fillId="0" borderId="0" xfId="0" applyNumberFormat="1" applyFont="1" applyFill="1" applyBorder="1" applyAlignment="1">
      <x:alignment horizontal="general" vertical="bottom" wrapText="0"/>
    </x:xf>
    <x:xf numFmtId="204" fontId="11" fillId="5" borderId="0" xfId="0" applyNumberFormat="1" applyFont="1" applyFill="1" applyBorder="1" applyAlignment="1">
      <x:alignment horizontal="general" vertical="bottom" wrapText="0"/>
    </x:xf>
    <x:xf numFmtId="204" fontId="12" fillId="5" borderId="0" xfId="0" applyNumberFormat="1" applyFont="1" applyFill="1" applyBorder="1" applyAlignment="1">
      <x:alignment horizontal="general" vertical="bottom" wrapText="0"/>
    </x:xf>
    <x:xf numFmtId="204" fontId="11" fillId="6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6" fillId="7" borderId="0" xfId="0" applyNumberFormat="1" applyFont="1" applyFill="1" applyBorder="1" applyAlignment="1">
      <x:alignment horizontal="general" vertical="bottom" wrapText="0"/>
    </x:xf>
    <x:xf numFmtId="164" fontId="16" fillId="7" borderId="0" xfId="0" applyNumberFormat="1" applyFont="1" applyFill="1" applyBorder="1" applyAlignment="1">
      <x:alignment horizontal="center" vertical="bottom" wrapText="0"/>
    </x:xf>
    <x:xf numFmtId="164" fontId="16" fillId="7" borderId="0" xfId="0" applyNumberFormat="1" applyFont="1" applyFill="1" applyBorder="1" applyAlignment="1">
      <x:alignment horizontal="center" vertical="center" wrapText="0"/>
    </x:xf>
    <x:xf numFmtId="164" fontId="16" fillId="8" borderId="0" xfId="0" applyNumberFormat="1" applyFont="1" applyFill="1" applyBorder="1" applyAlignment="1">
      <x:alignment horizontal="center" vertical="center" wrapText="0"/>
    </x:xf>
    <x:xf numFmtId="164" fontId="9" fillId="8" borderId="0" xfId="0" applyNumberFormat="1" applyFont="1" applyFill="1" applyBorder="1" applyAlignment="1">
      <x:alignment horizontal="general" vertical="bottom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1" fillId="8" borderId="0" xfId="0" applyNumberFormat="1" applyFont="1" applyFill="1" applyBorder="1" applyAlignment="1">
      <x:alignment horizontal="general" vertical="bottom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2" fillId="9" borderId="0" xfId="0" applyNumberFormat="1" applyFont="1" applyFill="1" applyBorder="1" applyAlignment="1">
      <x:alignment horizontal="general" vertical="bottom" wrapText="0"/>
    </x:xf>
    <x:xf numFmtId="164" fontId="10" fillId="0" borderId="0" xfId="0" applyNumberFormat="1" applyFont="1" applyFill="1" applyBorder="1" applyAlignment="1">
      <x:alignment horizontal="general" vertical="bottom" wrapText="0"/>
    </x:xf>
    <x:xf numFmtId="205" fontId="9" fillId="0" borderId="0" xfId="0" applyNumberFormat="1" applyFont="1" applyFill="1" applyBorder="1" applyAlignment="1">
      <x:alignment horizontal="general" vertical="bottom" wrapText="0"/>
    </x:xf>
    <x:xf numFmtId="205" fontId="9" fillId="8" borderId="0" xfId="0" applyNumberFormat="1" applyFont="1" applyFill="1" applyBorder="1" applyAlignment="1">
      <x:alignment horizontal="general" vertical="bottom" wrapText="0"/>
    </x:xf>
    <x:xf numFmtId="206" fontId="9" fillId="0" borderId="0" xfId="0" applyNumberFormat="1" applyFont="1" applyFill="1" applyBorder="1" applyAlignment="1">
      <x:alignment horizontal="general" vertical="bottom" wrapText="0"/>
    </x:xf>
    <x:xf numFmtId="206" fontId="9" fillId="8" borderId="0" xfId="0" applyNumberFormat="1" applyFont="1" applyFill="1" applyBorder="1" applyAlignment="1">
      <x:alignment horizontal="general" vertical="bottom" wrapText="0"/>
    </x:xf>
    <x:xf numFmtId="205" fontId="11" fillId="0" borderId="0" xfId="0" applyNumberFormat="1" applyFont="1" applyFill="1" applyBorder="1" applyAlignment="1">
      <x:alignment horizontal="general" vertical="bottom" wrapText="0"/>
    </x:xf>
    <x:xf numFmtId="205" fontId="11" fillId="8" borderId="0" xfId="0" applyNumberFormat="1" applyFont="1" applyFill="1" applyBorder="1" applyAlignment="1">
      <x:alignment horizontal="general" vertical="bottom" wrapText="0"/>
    </x:xf>
    <x:xf numFmtId="203" fontId="9" fillId="0" borderId="0" xfId="0" applyNumberFormat="1" applyFont="1" applyFill="1" applyBorder="1" applyAlignment="1">
      <x:alignment horizontal="general" vertical="bottom" wrapText="0"/>
    </x:xf>
    <x:xf numFmtId="164" fontId="6" fillId="8" borderId="0" xfId="0" applyNumberFormat="1" applyFont="1" applyFill="1" applyBorder="1" applyAlignment="1">
      <x:alignment horizontal="center" vertical="bottom" wrapText="0"/>
    </x:xf>
    <x:xf numFmtId="164" fontId="12" fillId="8" borderId="0" xfId="0" applyNumberFormat="1" applyFont="1" applyFill="1" applyBorder="1" applyAlignment="1">
      <x:alignment horizontal="center" vertical="bottom" wrapText="0"/>
    </x:xf>
    <x:xf numFmtId="165" fontId="9" fillId="8" borderId="0" xfId="0" applyNumberFormat="1" applyFont="1" applyFill="1" applyBorder="1" applyAlignment="1">
      <x:alignment horizontal="general" vertical="bottom" wrapText="0"/>
    </x:xf>
    <x:xf numFmtId="165" fontId="6" fillId="8" borderId="1" xfId="0" applyNumberFormat="1" applyFont="1" applyFill="1" applyBorder="1" applyAlignment="1">
      <x:alignment horizontal="general" vertical="bottom" wrapText="0"/>
    </x:xf>
    <x:xf numFmtId="165" fontId="6" fillId="8" borderId="0" xfId="0" applyNumberFormat="1" applyFont="1" applyFill="1" applyBorder="1" applyAlignment="1">
      <x:alignment horizontal="general" vertical="bottom" wrapText="0"/>
    </x:xf>
    <x:xf numFmtId="165" fontId="11" fillId="8" borderId="0" xfId="0" applyNumberFormat="1" applyFont="1" applyFill="1" applyBorder="1" applyAlignment="1">
      <x:alignment horizontal="general" vertical="bottom" wrapText="0"/>
    </x:xf>
    <x:xf numFmtId="165" fontId="12" fillId="8" borderId="1" xfId="0" applyNumberFormat="1" applyFont="1" applyFill="1" applyBorder="1" applyAlignment="1">
      <x:alignment horizontal="general" vertical="bottom" wrapText="0"/>
    </x:xf>
    <x:xf numFmtId="165" fontId="12" fillId="8" borderId="0" xfId="0" applyNumberFormat="1" applyFont="1" applyFill="1" applyBorder="1" applyAlignment="1">
      <x:alignment horizontal="general" vertical="bottom" wrapText="0"/>
    </x:xf>
    <x:xf numFmtId="166" fontId="9" fillId="8" borderId="0" xfId="0" applyNumberFormat="1" applyFont="1" applyFill="1" applyBorder="1" applyAlignment="1">
      <x:alignment horizontal="general" vertical="bottom" wrapText="0"/>
    </x:xf>
    <x:xf numFmtId="166" fontId="6" fillId="8" borderId="1" xfId="0" applyNumberFormat="1" applyFont="1" applyFill="1" applyBorder="1" applyAlignment="1">
      <x:alignment horizontal="general" vertical="bottom" wrapText="0"/>
    </x:xf>
    <x:xf numFmtId="166" fontId="6" fillId="8" borderId="0" xfId="0" applyNumberFormat="1" applyFont="1" applyFill="1" applyBorder="1" applyAlignment="1">
      <x:alignment horizontal="general" vertical="bottom" wrapText="0"/>
    </x:xf>
    <x:xf numFmtId="166" fontId="11" fillId="8" borderId="0" xfId="0" applyNumberFormat="1" applyFont="1" applyFill="1" applyBorder="1" applyAlignment="1">
      <x:alignment horizontal="general" vertical="bottom" wrapText="0"/>
    </x:xf>
    <x:xf numFmtId="166" fontId="12" fillId="8" borderId="1" xfId="0" applyNumberFormat="1" applyFont="1" applyFill="1" applyBorder="1" applyAlignment="1">
      <x:alignment horizontal="general" vertical="bottom" wrapText="0"/>
    </x:xf>
    <x:xf numFmtId="166" fontId="12" fillId="8" borderId="0" xfId="0" applyNumberFormat="1" applyFont="1" applyFill="1" applyBorder="1" applyAlignment="1">
      <x:alignment horizontal="general" vertical="bottom" wrapText="0"/>
    </x:xf>
    <x:xf numFmtId="165" fontId="10" fillId="8" borderId="0" xfId="0" applyNumberFormat="1" applyFont="1" applyFill="1" applyBorder="1" applyAlignment="1">
      <x:alignment horizontal="general" vertical="bottom" wrapText="0"/>
    </x:xf>
    <x:xf numFmtId="167" fontId="6" fillId="8" borderId="0" xfId="0" applyNumberFormat="1" applyFont="1" applyFill="1" applyBorder="1" applyAlignment="1">
      <x:alignment horizontal="general" vertical="bottom" wrapText="0"/>
    </x:xf>
    <x:xf numFmtId="167" fontId="12" fillId="8" borderId="0" xfId="0" applyNumberFormat="1" applyFont="1" applyFill="1" applyBorder="1" applyAlignment="1">
      <x:alignment horizontal="general" vertical="bottom" wrapText="0"/>
    </x:xf>
    <x:xf numFmtId="200" fontId="12" fillId="8" borderId="2" xfId="0" applyNumberFormat="1" applyFont="1" applyFill="1" applyBorder="1" applyAlignment="1">
      <x:alignment horizontal="center" vertical="center" wrapText="0"/>
    </x:xf>
    <x:xf numFmtId="201" fontId="10" fillId="8" borderId="0" xfId="0" applyNumberFormat="1" applyFont="1" applyFill="1" applyBorder="1" applyAlignment="1">
      <x:alignment horizontal="general" vertical="bottom" wrapText="0"/>
    </x:xf>
    <x:xf numFmtId="201" fontId="12" fillId="8" borderId="2" xfId="0" applyNumberFormat="1" applyFont="1" applyFill="1" applyBorder="1" applyAlignment="1">
      <x:alignment horizontal="general" vertical="bottom" wrapText="0"/>
    </x:xf>
    <x:xf numFmtId="201" fontId="15" fillId="8" borderId="3" xfId="0" applyNumberFormat="1" applyFont="1" applyFill="1" applyBorder="1" applyAlignment="1">
      <x:alignment horizontal="general" vertical="bottom" wrapText="0"/>
    </x:xf>
    <x:xf numFmtId="164" fontId="12" fillId="8" borderId="3" xfId="0" applyNumberFormat="1" applyFont="1" applyFill="1" applyBorder="1" applyAlignment="1">
      <x:alignment horizontal="general" vertical="bottom" wrapText="0"/>
    </x:xf>
    <x:xf numFmtId="201" fontId="9" fillId="8" borderId="0" xfId="0" applyNumberFormat="1" applyFont="1" applyFill="1" applyBorder="1" applyAlignment="1">
      <x:alignment horizontal="general" vertical="bottom" wrapText="0"/>
    </x:xf>
    <x:xf numFmtId="201" fontId="15" fillId="8" borderId="2" xfId="0" applyNumberFormat="1" applyFont="1" applyFill="1" applyBorder="1" applyAlignment="1">
      <x:alignment horizontal="general" vertical="bottom" wrapText="0"/>
    </x:xf>
    <x:xf numFmtId="164" fontId="10" fillId="8" borderId="0" xfId="0" applyNumberFormat="1" applyFont="1" applyFill="1" applyBorder="1" applyAlignment="1">
      <x:alignment horizontal="general" vertical="bottom" wrapText="0"/>
    </x:xf>
    <x:xf numFmtId="164" fontId="15" fillId="8" borderId="3" xfId="0" applyNumberFormat="1" applyFont="1" applyFill="1" applyBorder="1" applyAlignment="1">
      <x:alignment horizontal="general" vertical="bottom" wrapText="0"/>
    </x:xf>
    <x:xf numFmtId="201" fontId="12" fillId="8" borderId="3" xfId="0" applyNumberFormat="1" applyFont="1" applyFill="1" applyBorder="1" applyAlignment="1">
      <x:alignment horizontal="general" vertical="bottom" wrapText="0"/>
    </x:xf>
    <x:xf numFmtId="201" fontId="11" fillId="8" borderId="0" xfId="0" applyNumberFormat="1" applyFont="1" applyFill="1" applyBorder="1" applyAlignment="1">
      <x:alignment horizontal="general" vertical="bottom" wrapText="0"/>
    </x:xf>
    <x:xf numFmtId="202" fontId="10" fillId="8" borderId="0" xfId="0" applyNumberFormat="1" applyFont="1" applyFill="1" applyBorder="1" applyAlignment="1">
      <x:alignment horizontal="general" vertical="bottom" wrapText="0"/>
    </x:xf>
    <x:xf numFmtId="202" fontId="12" fillId="8" borderId="2" xfId="0" applyNumberFormat="1" applyFont="1" applyFill="1" applyBorder="1" applyAlignment="1">
      <x:alignment horizontal="general" vertical="bottom" wrapText="0"/>
    </x:xf>
    <x:xf numFmtId="202" fontId="12" fillId="8" borderId="3" xfId="0" applyNumberFormat="1" applyFont="1" applyFill="1" applyBorder="1" applyAlignment="1">
      <x:alignment horizontal="general" vertical="bottom" wrapText="0"/>
    </x:xf>
    <x:xf numFmtId="202" fontId="11" fillId="8" borderId="0" xfId="0" applyNumberFormat="1" applyFont="1" applyFill="1" applyBorder="1" applyAlignment="1">
      <x:alignment horizontal="general" vertical="bottom" wrapText="0"/>
    </x:xf>
    <x:xf numFmtId="202" fontId="15" fillId="8" borderId="2" xfId="0" applyNumberFormat="1" applyFont="1" applyFill="1" applyBorder="1" applyAlignment="1">
      <x:alignment horizontal="general" vertical="bottom" wrapText="0"/>
    </x:xf>
    <x:xf numFmtId="202" fontId="15" fillId="8" borderId="3" xfId="0" applyNumberFormat="1" applyFont="1" applyFill="1" applyBorder="1" applyAlignment="1">
      <x:alignment horizontal="general" vertical="bottom" wrapText="0"/>
    </x:xf>
    <x:xf numFmtId="203" fontId="10" fillId="8" borderId="0" xfId="0" applyNumberFormat="1" applyFont="1" applyFill="1" applyBorder="1" applyAlignment="1">
      <x:alignment horizontal="general" vertical="bottom" wrapText="0"/>
    </x:xf>
    <x:xf numFmtId="203" fontId="12" fillId="8" borderId="2" xfId="0" applyNumberFormat="1" applyFont="1" applyFill="1" applyBorder="1" applyAlignment="1">
      <x:alignment horizontal="general" vertical="bottom" wrapText="0"/>
    </x:xf>
    <x:xf numFmtId="203" fontId="12" fillId="8" borderId="3" xfId="0" applyNumberFormat="1" applyFont="1" applyFill="1" applyBorder="1" applyAlignment="1">
      <x:alignment horizontal="general" vertical="bottom" wrapText="0"/>
    </x:xf>
    <x:xf numFmtId="203" fontId="15" fillId="8" borderId="2" xfId="0" applyNumberFormat="1" applyFont="1" applyFill="1" applyBorder="1" applyAlignment="1">
      <x:alignment horizontal="general" vertical="bottom" wrapText="0"/>
    </x:xf>
    <x:xf numFmtId="203" fontId="15" fillId="8" borderId="3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D9E1F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e443f762964a4a" /><Relationship Type="http://schemas.openxmlformats.org/officeDocument/2006/relationships/theme" Target="/xl/theme/theme1.xml" Id="R614a63eeab1c4577" /><Relationship Type="http://schemas.openxmlformats.org/officeDocument/2006/relationships/sharedStrings" Target="/xl/sharedStrings.xml" Id="R2a4683a91a79406f" /><Relationship Type="http://schemas.openxmlformats.org/officeDocument/2006/relationships/worksheet" Target="/xl/worksheets/sheet1.xml" Id="Rb0ef275216514da5" /><Relationship Type="http://schemas.openxmlformats.org/officeDocument/2006/relationships/worksheet" Target="/xl/worksheets/sheet2.xml" Id="R95d45b69ca454532" /><Relationship Type="http://schemas.openxmlformats.org/officeDocument/2006/relationships/worksheet" Target="/xl/worksheets/sheet3.xml" Id="R3a8e38f0c9364c33" /><Relationship Type="http://schemas.openxmlformats.org/officeDocument/2006/relationships/worksheet" Target="/xl/worksheets/sheet4.xml" Id="Rcdd3966f47ee48b3" /><Relationship Type="http://schemas.openxmlformats.org/officeDocument/2006/relationships/worksheet" Target="/xl/worksheets/sheet5.xml" Id="R2187765229c748cc" /><Relationship Type="http://schemas.openxmlformats.org/officeDocument/2006/relationships/worksheet" Target="/xl/worksheets/sheet6.xml" Id="Rcfa239b8f1804043" /><Relationship Type="http://schemas.openxmlformats.org/officeDocument/2006/relationships/worksheet" Target="/xl/worksheets/sheet7.xml" Id="R417eeb586fa34ca1" /><Relationship Type="http://schemas.openxmlformats.org/officeDocument/2006/relationships/worksheet" Target="/xl/worksheets/sheet8.xml" Id="Ra7f3a7a93af84147" /><Relationship Type="http://schemas.openxmlformats.org/officeDocument/2006/relationships/worksheet" Target="/xl/worksheets/sheet9.xml" Id="R7a49c30ecd494591" /><Relationship Type="http://schemas.openxmlformats.org/officeDocument/2006/relationships/worksheet" Target="/xl/worksheets/sheet10.xml" Id="R3eecd73d15784393" /><Relationship Type="http://schemas.openxmlformats.org/officeDocument/2006/relationships/worksheet" Target="/xl/worksheets/sheet11.xml" Id="R2fa236329da94352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ColWidth="8.6796875" defaultRowHeight="15"/>
  <x:cols>
    <x:col min="1" max="1" width="38" hidden="0" customWidth="1"/>
    <x:col min="2" max="15" width="13" hidden="0" customWidth="1"/>
  </x:cols>
  <x:sheetData>
    <x:row r="1" ht="15" hidden="0">
      <x:c r="A1" s="1" t="s">
        <x:v>0</x:v>
      </x:c>
    </x:row>
    <x:row r="2" ht="27.75" hidden="0" customHeight="1">
      <x:c r="A2" s="30" t="str">
        <x:v>Average balance over the quarter. Actuals through Q2:25; Q3:25–Q2:26 forecast from the macro-driven monthly schedule.</x:v>
      </x:c>
    </x:row>
    <x:row r="4" ht="15" hidden="0">
      <x:c r="A4" s="3" t="s">
        <x:v>1</x:v>
      </x:c>
      <x:c r="B4" s="4" t="s">
        <x:v>2</x:v>
      </x:c>
      <x:c r="C4" s="4" t="s">
        <x:v>3</x:v>
      </x:c>
      <x:c r="D4" s="4" t="s">
        <x:v>4</x:v>
      </x:c>
      <x:c r="E4" s="4" t="s">
        <x:v>5</x:v>
      </x:c>
      <x:c r="F4" s="4" t="s">
        <x:v>6</x:v>
      </x:c>
      <x:c r="G4" s="4" t="s">
        <x:v>7</x:v>
      </x:c>
      <x:c r="H4" s="4" t="s">
        <x:v>8</x:v>
      </x:c>
      <x:c r="I4" s="4" t="s">
        <x:v>9</x:v>
      </x:c>
      <x:c r="J4" s="4" t="s">
        <x:v>10</x:v>
      </x:c>
      <x:c r="K4" s="4" t="s">
        <x:v>11</x:v>
      </x:c>
      <x:c r="L4" s="77" t="str">
        <x:v>2025-09-30 (F)</x:v>
      </x:c>
      <x:c r="M4" s="77" t="str">
        <x:v>2025-12-31 (F)</x:v>
      </x:c>
      <x:c r="N4" s="77" t="str">
        <x:v>2026-03-31 (F)</x:v>
      </x:c>
      <x:c r="O4" s="77" t="str">
        <x:v>2026-06-30 (F)</x:v>
      </x:c>
    </x:row>
    <x:row r="5" ht="15" hidden="0">
      <x:c r="A5" s="5" t="s">
        <x:v>12</x:v>
      </x:c>
    </x:row>
    <x:row r="6" ht="15" hidden="0">
      <x:c r="A6" s="6" t="s">
        <x:v>13</x:v>
      </x:c>
      <x:c r="B6" s="7" t="n">
        <x:v>134669</x:v>
      </x:c>
      <x:c r="C6" s="7" t="n">
        <x:v>138762</x:v>
      </x:c>
      <x:c r="D6" s="7" t="n">
        <x:v>144053</x:v>
      </x:c>
      <x:c r="E6" s="7" t="n">
        <x:v>149112</x:v>
      </x:c>
      <x:c r="F6" s="7" t="n">
        <x:v>150049</x:v>
      </x:c>
      <x:c r="G6" s="7" t="n">
        <x:v>150866</x:v>
      </x:c>
      <x:c r="H6" s="7" t="n">
        <x:v>154160</x:v>
      </x:c>
      <x:c r="I6" s="7" t="n">
        <x:v>157360</x:v>
      </x:c>
      <x:c r="J6" s="7" t="n">
        <x:v>156408</x:v>
      </x:c>
      <x:c r="K6" s="7" t="n">
        <x:v>209693</x:v>
      </x:c>
      <x:c r="L6" s="81" t="n">
        <x:f>SUM('Monthly EOP Balance'!AF6:'Monthly EOP Balance'!AI6)/4</x:f>
        <x:v>243413.5817638101</x:v>
      </x:c>
      <x:c r="M6" s="81" t="n">
        <x:f>SUM('Monthly EOP Balance'!AI6:'Monthly EOP Balance'!AL6)/4</x:f>
        <x:v>243537.96156883516</x:v>
      </x:c>
      <x:c r="N6" s="81" t="n">
        <x:f>SUM('Monthly EOP Balance'!AL6:'Monthly EOP Balance'!AO6)/4</x:f>
        <x:v>243662.34137386022</x:v>
      </x:c>
      <x:c r="O6" s="81" t="n">
        <x:f>SUM('Monthly EOP Balance'!AO6:'Monthly EOP Balance'!AR6)/4</x:f>
        <x:v>243786.72117888532</x:v>
      </x:c>
    </x:row>
    <x:row r="7" ht="15" hidden="0">
      <x:c r="A7" s="6" t="s">
        <x:v>14</x:v>
      </x:c>
      <x:c r="B7" s="7" t="n">
        <x:v>79000</x:v>
      </x:c>
      <x:c r="C7" s="7" t="n">
        <x:v>77699</x:v>
      </x:c>
      <x:c r="D7" s="7" t="n">
        <x:v>77154</x:v>
      </x:c>
      <x:c r="E7" s="7" t="n">
        <x:v>76224</x:v>
      </x:c>
      <x:c r="F7" s="7" t="n">
        <x:v>75091</x:v>
      </x:c>
      <x:c r="G7" s="7" t="n">
        <x:v>75386</x:v>
      </x:c>
      <x:c r="H7" s="7" t="n">
        <x:v>76182</x:v>
      </x:c>
      <x:c r="I7" s="7" t="n">
        <x:v>77231</x:v>
      </x:c>
      <x:c r="J7" s="7" t="n">
        <x:v>78480</x:v>
      </x:c>
      <x:c r="K7" s="7" t="n">
        <x:v>80095</x:v>
      </x:c>
      <x:c r="L7" s="81" t="n">
        <x:f>SUM('Monthly EOP Balance'!AF7:'Monthly EOP Balance'!AI7)/4</x:f>
        <x:v>92926.5362484604</x:v>
      </x:c>
      <x:c r="M7" s="81" t="n">
        <x:f>SUM('Monthly EOP Balance'!AI7:'Monthly EOP Balance'!AL7)/4</x:f>
        <x:v>92877.0776057568</x:v>
      </x:c>
      <x:c r="N7" s="81" t="n">
        <x:f>SUM('Monthly EOP Balance'!AL7:'Monthly EOP Balance'!AO7)/4</x:f>
        <x:v>92827.6189630532</x:v>
      </x:c>
      <x:c r="O7" s="81" t="n">
        <x:f>SUM('Monthly EOP Balance'!AO7:'Monthly EOP Balance'!AR7)/4</x:f>
        <x:v>92778.1603203496</x:v>
      </x:c>
    </x:row>
    <x:row r="8" ht="15" hidden="0">
      <x:c r="A8" s="6" t="s">
        <x:v>15</x:v>
      </x:c>
      <x:c r="B8" s="7" t="n">
        <x:v>94446</x:v>
      </x:c>
      <x:c r="C8" s="7" t="n">
        <x:v>93874</x:v>
      </x:c>
      <x:c r="D8" s="7" t="n">
        <x:v>92254</x:v>
      </x:c>
      <x:c r="E8" s="7" t="n">
        <x:v>91385</x:v>
      </x:c>
      <x:c r="F8" s="7" t="n">
        <x:v>90423</x:v>
      </x:c>
      <x:c r="G8" s="7" t="n">
        <x:v>89571</x:v>
      </x:c>
      <x:c r="H8" s="7" t="n">
        <x:v>88373</x:v>
      </x:c>
      <x:c r="I8" s="7" t="n">
        <x:v>87672</x:v>
      </x:c>
      <x:c r="J8" s="7" t="n">
        <x:v>87884</x:v>
      </x:c>
      <x:c r="K8" s="7" t="n">
        <x:v>88749</x:v>
      </x:c>
      <x:c r="L8" s="81" t="n">
        <x:f>SUM('Monthly EOP Balance'!AF8:'Monthly EOP Balance'!AI8)/4</x:f>
        <x:v>103020.66338865094</x:v>
      </x:c>
      <x:c r="M8" s="81" t="n">
        <x:f>SUM('Monthly EOP Balance'!AI8:'Monthly EOP Balance'!AL8)/4</x:f>
        <x:v>103073.30502817236</x:v>
      </x:c>
      <x:c r="N8" s="81" t="n">
        <x:f>SUM('Monthly EOP Balance'!AL8:'Monthly EOP Balance'!AO8)/4</x:f>
        <x:v>103125.9466676938</x:v>
      </x:c>
      <x:c r="O8" s="81" t="n">
        <x:f>SUM('Monthly EOP Balance'!AO8:'Monthly EOP Balance'!AR8)/4</x:f>
        <x:v>103178.58830721526</x:v>
      </x:c>
    </x:row>
    <x:row r="9" ht="15" hidden="0">
      <x:c r="A9" s="6" t="s">
        <x:v>16</x:v>
      </x:c>
      <x:c r="B9" s="7" t="n">
        <x:v>308115</x:v>
      </x:c>
      <x:c r="C9" s="7" t="n">
        <x:v>310335</x:v>
      </x:c>
      <x:c r="D9" s="7" t="n">
        <x:v>313461</x:v>
      </x:c>
      <x:c r="E9" s="7" t="n">
        <x:v>316721</x:v>
      </x:c>
      <x:c r="F9" s="7" t="n">
        <x:v>315563</x:v>
      </x:c>
      <x:c r="G9" s="7" t="n">
        <x:v>315823</x:v>
      </x:c>
      <x:c r="H9" s="7" t="n">
        <x:v>318715</x:v>
      </x:c>
      <x:c r="I9" s="7" t="n">
        <x:v>322263</x:v>
      </x:c>
      <x:c r="J9" s="7" t="n">
        <x:v>322772</x:v>
      </x:c>
      <x:c r="K9" s="7" t="n">
        <x:v>378537</x:v>
      </x:c>
      <x:c r="L9" s="81" t="n">
        <x:f>SUM('Monthly EOP Balance'!AF9:'Monthly EOP Balance'!AI9)/4</x:f>
        <x:v>439360.7814009214</x:v>
      </x:c>
      <x:c r="M9" s="81" t="n">
        <x:f>SUM('Monthly EOP Balance'!AI9:'Monthly EOP Balance'!AL9)/4</x:f>
        <x:v>439488.34420276433</x:v>
      </x:c>
      <x:c r="N9" s="81" t="n">
        <x:f>SUM('Monthly EOP Balance'!AL9:'Monthly EOP Balance'!AO9)/4</x:f>
        <x:v>439615.90700460726</x:v>
      </x:c>
      <x:c r="O9" s="81" t="n">
        <x:f>SUM('Monthly EOP Balance'!AO9:'Monthly EOP Balance'!AR9)/4</x:f>
        <x:v>439743.4698064502</x:v>
      </x:c>
    </x:row>
    <x:row r="10" ht="15" hidden="0">
      <x:c r="A10" s="6" t="s">
        <x:v>17</x:v>
      </x:c>
      <x:c r="B10" s="7" t="n">
        <x:v>89960</x:v>
      </x:c>
      <x:c r="C10" s="7" t="n">
        <x:v>89994</x:v>
      </x:c>
      <x:c r="D10" s="7" t="n">
        <x:v>87845</x:v>
      </x:c>
      <x:c r="E10" s="7" t="n">
        <x:v>88643</x:v>
      </x:c>
      <x:c r="F10" s="7" t="n">
        <x:v>88581</x:v>
      </x:c>
      <x:c r="G10" s="7" t="n">
        <x:v>89501</x:v>
      </x:c>
      <x:c r="H10" s="7" t="n">
        <x:v>90644</x:v>
      </x:c>
      <x:c r="I10" s="7" t="n">
        <x:v>92260</x:v>
      </x:c>
      <x:c r="J10" s="7" t="n">
        <x:v>92659</x:v>
      </x:c>
      <x:c r="K10" s="7" t="n">
        <x:v>93024</x:v>
      </x:c>
      <x:c r="L10" s="81" t="n">
        <x:f>SUM('Monthly EOP Balance'!AF10:'Monthly EOP Balance'!AI10)/4</x:f>
        <x:v>87196</x:v>
      </x:c>
      <x:c r="M10" s="81" t="n">
        <x:f>SUM('Monthly EOP Balance'!AI10:'Monthly EOP Balance'!AL10)/4</x:f>
        <x:v>87196</x:v>
      </x:c>
      <x:c r="N10" s="81" t="n">
        <x:f>SUM('Monthly EOP Balance'!AL10:'Monthly EOP Balance'!AO10)/4</x:f>
        <x:v>87196</x:v>
      </x:c>
      <x:c r="O10" s="81" t="n">
        <x:f>SUM('Monthly EOP Balance'!AO10:'Monthly EOP Balance'!AR10)/4</x:f>
        <x:v>87196</x:v>
      </x:c>
    </x:row>
    <x:row r="11" ht="15" hidden="0">
      <x:c r="A11" s="6" t="s">
        <x:v>18</x:v>
      </x:c>
      <x:c r="B11" s="7" t="n">
        <x:v>37124</x:v>
      </x:c>
      <x:c r="C11" s="7" t="n">
        <x:v>38810</x:v>
      </x:c>
      <x:c r="D11" s="7" t="n">
        <x:v>42226</x:v>
      </x:c>
      <x:c r="E11" s="7" t="n">
        <x:v>41625</x:v>
      </x:c>
      <x:c r="F11" s="7" t="n">
        <x:v>43659</x:v>
      </x:c>
      <x:c r="G11" s="7" t="n">
        <x:v>45584</x:v>
      </x:c>
      <x:c r="H11" s="7" t="n">
        <x:v>45125</x:v>
      </x:c>
      <x:c r="I11" s="7" t="n">
        <x:v>46167</x:v>
      </x:c>
      <x:c r="J11" s="7" t="n">
        <x:v>47340</x:v>
      </x:c>
      <x:c r="K11" s="7" t="n">
        <x:v>53368</x:v>
      </x:c>
      <x:c r="L11" s="81" t="n">
        <x:f>SUM('Monthly EOP Balance'!AF11:'Monthly EOP Balance'!AI11)/4</x:f>
        <x:v>61593.73662590391</x:v>
      </x:c>
      <x:c r="M11" s="81" t="n">
        <x:f>SUM('Monthly EOP Balance'!AI11:'Monthly EOP Balance'!AL11)/4</x:f>
        <x:v>61625.20987771172</x:v>
      </x:c>
      <x:c r="N11" s="81" t="n">
        <x:f>SUM('Monthly EOP Balance'!AL11:'Monthly EOP Balance'!AO11)/4</x:f>
        <x:v>61656.683129519544</x:v>
      </x:c>
      <x:c r="O11" s="81" t="n">
        <x:f>SUM('Monthly EOP Balance'!AO11:'Monthly EOP Balance'!AR11)/4</x:f>
        <x:v>61688.156381327375</x:v>
      </x:c>
    </x:row>
    <x:row r="12" ht="15" hidden="0">
      <x:c r="A12" s="3" t="s">
        <x:v>19</x:v>
      </x:c>
      <x:c r="B12" s="8" t="n">
        <x:v>435199</x:v>
      </x:c>
      <x:c r="C12" s="8" t="n">
        <x:v>439139</x:v>
      </x:c>
      <x:c r="D12" s="8" t="n">
        <x:v>443532</x:v>
      </x:c>
      <x:c r="E12" s="8" t="n">
        <x:v>446989</x:v>
      </x:c>
      <x:c r="F12" s="8" t="n">
        <x:v>447803</x:v>
      </x:c>
      <x:c r="G12" s="8" t="n">
        <x:v>450908</x:v>
      </x:c>
      <x:c r="H12" s="8" t="n">
        <x:v>454484</x:v>
      </x:c>
      <x:c r="I12" s="8" t="n">
        <x:v>460690</x:v>
      </x:c>
      <x:c r="J12" s="8" t="n">
        <x:v>462771</x:v>
      </x:c>
      <x:c r="K12" s="8" t="n">
        <x:v>524929</x:v>
      </x:c>
      <x:c r="L12" s="82" t="n">
        <x:f>SUM('Monthly EOP Balance'!AF12:'Monthly EOP Balance'!AI12)/4</x:f>
        <x:v>588150.5180268253</x:v>
      </x:c>
      <x:c r="M12" s="82" t="n">
        <x:f>SUM('Monthly EOP Balance'!AI12:'Monthly EOP Balance'!AL12)/4</x:f>
        <x:v>588309.554080476</x:v>
      </x:c>
      <x:c r="N12" s="82" t="n">
        <x:f>SUM('Monthly EOP Balance'!AL12:'Monthly EOP Balance'!AO12)/4</x:f>
        <x:v>588468.5901341268</x:v>
      </x:c>
      <x:c r="O12" s="82" t="n">
        <x:f>SUM('Monthly EOP Balance'!AO12:'Monthly EOP Balance'!AR12)/4</x:f>
        <x:v>588627.6261877776</x:v>
      </x:c>
    </x:row>
    <x:row r="13">
      <x:c r="L13" s="65"/>
      <x:c r="M13" s="65"/>
      <x:c r="N13" s="65"/>
      <x:c r="O13" s="65"/>
    </x:row>
    <x:row r="14" ht="15" hidden="0">
      <x:c r="A14" s="5" t="s">
        <x:v>20</x:v>
      </x:c>
      <x:c r="L14" s="65"/>
      <x:c r="M14" s="65"/>
      <x:c r="N14" s="65"/>
      <x:c r="O14" s="65"/>
    </x:row>
    <x:row r="15" ht="15" hidden="0">
      <x:c r="A15" s="6" t="s">
        <x:v>21</x:v>
      </x:c>
      <x:c r="B15" s="7" t="n">
        <x:v>308788</x:v>
      </x:c>
      <x:c r="C15" s="7" t="n">
        <x:v>313207</x:v>
      </x:c>
      <x:c r="D15" s="7" t="n">
        <x:v>316032</x:v>
      </x:c>
      <x:c r="E15" s="7" t="n">
        <x:v>316842</x:v>
      </x:c>
      <x:c r="F15" s="7" t="n">
        <x:v>318450</x:v>
      </x:c>
      <x:c r="G15" s="7" t="n">
        <x:v>322581</x:v>
      </x:c>
      <x:c r="H15" s="7" t="n">
        <x:v>324509</x:v>
      </x:c>
      <x:c r="I15" s="7" t="n">
        <x:v>331620</x:v>
      </x:c>
      <x:c r="J15" s="7" t="n">
        <x:v>337840</x:v>
      </x:c>
      <x:c r="K15" s="7" t="n">
        <x:v>387139</x:v>
      </x:c>
      <x:c r="L15" s="81" t="n">
        <x:f>SUM('Monthly EOP Balance'!AF15:'Monthly EOP Balance'!AI15)/4</x:f>
        <x:v>440343.503662969</x:v>
      </x:c>
      <x:c r="M15" s="81" t="n">
        <x:f>SUM('Monthly EOP Balance'!AI15:'Monthly EOP Balance'!AL15)/4</x:f>
        <x:v>440568.51098890696</x:v>
      </x:c>
      <x:c r="N15" s="81" t="n">
        <x:f>SUM('Monthly EOP Balance'!AL15:'Monthly EOP Balance'!AO15)/4</x:f>
        <x:v>440793.5183148449</x:v>
      </x:c>
      <x:c r="O15" s="81" t="n">
        <x:f>SUM('Monthly EOP Balance'!AO15:'Monthly EOP Balance'!AR15)/4</x:f>
        <x:v>441018.5256407829</x:v>
      </x:c>
    </x:row>
    <x:row r="16" ht="15" hidden="0">
      <x:c r="A16" s="6" t="s">
        <x:v>22</x:v>
      </x:c>
      <x:c r="B16" s="7" t="n">
        <x:v>17251</x:v>
      </x:c>
      <x:c r="C16" s="7" t="n">
        <x:v>17771</x:v>
      </x:c>
      <x:c r="D16" s="7" t="n">
        <x:v>17649</x:v>
      </x:c>
      <x:c r="E16" s="7" t="n">
        <x:v>18026</x:v>
      </x:c>
      <x:c r="F16" s="7" t="n">
        <x:v>17836</x:v>
      </x:c>
      <x:c r="G16" s="7" t="n">
        <x:v>17452</x:v>
      </x:c>
      <x:c r="H16" s="7" t="n">
        <x:v>15833</x:v>
      </x:c>
      <x:c r="I16" s="7" t="n">
        <x:v>14920</x:v>
      </x:c>
      <x:c r="J16" s="7" t="n">
        <x:v>13731</x:v>
      </x:c>
      <x:c r="K16" s="7" t="n">
        <x:v>13043</x:v>
      </x:c>
      <x:c r="L16" s="81" t="n">
        <x:f>SUM('Monthly EOP Balance'!AF16:'Monthly EOP Balance'!AI16)/4</x:f>
        <x:v>14639.71047510404</x:v>
      </x:c>
      <x:c r="M16" s="81" t="n">
        <x:f>SUM('Monthly EOP Balance'!AI16:'Monthly EOP Balance'!AL16)/4</x:f>
        <x:v>14421.210966299304</x:v>
      </x:c>
      <x:c r="N16" s="81" t="n">
        <x:f>SUM('Monthly EOP Balance'!AL16:'Monthly EOP Balance'!AO16)/4</x:f>
        <x:v>14205.972589975918</x:v>
      </x:c>
      <x:c r="O16" s="81" t="n">
        <x:f>SUM('Monthly EOP Balance'!AO16:'Monthly EOP Balance'!AR16)/4</x:f>
        <x:v>13993.946673323953</x:v>
      </x:c>
    </x:row>
    <x:row r="17" ht="15" hidden="0">
      <x:c r="A17" s="6" t="s">
        <x:v>23</x:v>
      </x:c>
      <x:c r="B17" s="7" t="n">
        <x:v>30136</x:v>
      </x:c>
      <x:c r="C17" s="7" t="n">
        <x:v>30161</x:v>
      </x:c>
      <x:c r="D17" s="7" t="n">
        <x:v>31522</x:v>
      </x:c>
      <x:c r="E17" s="7" t="n">
        <x:v>32603</x:v>
      </x:c>
      <x:c r="F17" s="7" t="n">
        <x:v>32211</x:v>
      </x:c>
      <x:c r="G17" s="7" t="n">
        <x:v>30978</x:v>
      </x:c>
      <x:c r="H17" s="7" t="n">
        <x:v>32041</x:v>
      </x:c>
      <x:c r="I17" s="7" t="n">
        <x:v>30884</x:v>
      </x:c>
      <x:c r="J17" s="7" t="n">
        <x:v>30331</x:v>
      </x:c>
      <x:c r="K17" s="7" t="n">
        <x:v>32872</x:v>
      </x:c>
      <x:c r="L17" s="81" t="n">
        <x:f>SUM('Monthly EOP Balance'!AF17:'Monthly EOP Balance'!AI17)/4</x:f>
        <x:v>37174.03306109115</x:v>
      </x:c>
      <x:c r="M17" s="81" t="n">
        <x:f>SUM('Monthly EOP Balance'!AI17:'Monthly EOP Balance'!AL17)/4</x:f>
        <x:v>37174.03306109115</x:v>
      </x:c>
      <x:c r="N17" s="81" t="n">
        <x:f>SUM('Monthly EOP Balance'!AL17:'Monthly EOP Balance'!AO17)/4</x:f>
        <x:v>37174.03306109115</x:v>
      </x:c>
      <x:c r="O17" s="81" t="n">
        <x:f>SUM('Monthly EOP Balance'!AO17:'Monthly EOP Balance'!AR17)/4</x:f>
        <x:v>37174.03306109115</x:v>
      </x:c>
    </x:row>
    <x:row r="18" ht="15" hidden="0">
      <x:c r="A18" s="6" t="s">
        <x:v>24</x:v>
      </x:c>
      <x:c r="B18" s="7" t="n">
        <x:v>2335</x:v>
      </x:c>
      <x:c r="C18" s="7" t="n">
        <x:v>2419</x:v>
      </x:c>
      <x:c r="D18" s="7" t="n">
        <x:v>2473</x:v>
      </x:c>
      <x:c r="E18" s="7" t="n">
        <x:v>2346</x:v>
      </x:c>
      <x:c r="F18" s="7" t="n">
        <x:v>2373</x:v>
      </x:c>
      <x:c r="G18" s="7" t="n">
        <x:v>2502</x:v>
      </x:c>
      <x:c r="H18" s="7" t="n">
        <x:v>2389</x:v>
      </x:c>
      <x:c r="I18" s="7" t="n">
        <x:v>2430</x:v>
      </x:c>
      <x:c r="J18" s="7" t="n">
        <x:v>2312</x:v>
      </x:c>
      <x:c r="K18" s="7" t="n">
        <x:v>2872</x:v>
      </x:c>
      <x:c r="L18" s="81" t="n">
        <x:f>SUM('Monthly EOP Balance'!AF18:'Monthly EOP Balance'!AI18)/4</x:f>
        <x:v>1302</x:v>
      </x:c>
      <x:c r="M18" s="81" t="n">
        <x:f>SUM('Monthly EOP Balance'!AI18:'Monthly EOP Balance'!AL18)/4</x:f>
        <x:v>1302</x:v>
      </x:c>
      <x:c r="N18" s="81" t="n">
        <x:f>SUM('Monthly EOP Balance'!AL18:'Monthly EOP Balance'!AO18)/4</x:f>
        <x:v>1302</x:v>
      </x:c>
      <x:c r="O18" s="81" t="n">
        <x:f>SUM('Monthly EOP Balance'!AO18:'Monthly EOP Balance'!AR18)/4</x:f>
        <x:v>1302</x:v>
      </x:c>
    </x:row>
    <x:row r="19" ht="15" hidden="0">
      <x:c r="A19" s="3" t="s">
        <x:v>25</x:v>
      </x:c>
      <x:c r="B19" s="8" t="n">
        <x:v>358510</x:v>
      </x:c>
      <x:c r="C19" s="8" t="n">
        <x:v>363558</x:v>
      </x:c>
      <x:c r="D19" s="8" t="n">
        <x:v>367676</x:v>
      </x:c>
      <x:c r="E19" s="8" t="n">
        <x:v>369817</x:v>
      </x:c>
      <x:c r="F19" s="8" t="n">
        <x:v>370870</x:v>
      </x:c>
      <x:c r="G19" s="8" t="n">
        <x:v>373513</x:v>
      </x:c>
      <x:c r="H19" s="8" t="n">
        <x:v>374772</x:v>
      </x:c>
      <x:c r="I19" s="8" t="n">
        <x:v>379854</x:v>
      </x:c>
      <x:c r="J19" s="8" t="n">
        <x:v>384214</x:v>
      </x:c>
      <x:c r="K19" s="8" t="n">
        <x:v>435926</x:v>
      </x:c>
      <x:c r="L19" s="82" t="n">
        <x:f>SUM('Monthly EOP Balance'!AF19:'Monthly EOP Balance'!AI19)/4</x:f>
        <x:v>493459.2471991641</x:v>
      </x:c>
      <x:c r="M19" s="82" t="n">
        <x:f>SUM('Monthly EOP Balance'!AI19:'Monthly EOP Balance'!AL19)/4</x:f>
        <x:v>493465.75501629733</x:v>
      </x:c>
      <x:c r="N19" s="82" t="n">
        <x:f>SUM('Monthly EOP Balance'!AL19:'Monthly EOP Balance'!AO19)/4</x:f>
        <x:v>493475.52396591194</x:v>
      </x:c>
      <x:c r="O19" s="82" t="n">
        <x:f>SUM('Monthly EOP Balance'!AO19:'Monthly EOP Balance'!AR19)/4</x:f>
        <x:v>493488.505375198</x:v>
      </x:c>
    </x:row>
    <x:row r="20">
      <x:c r="L20" s="65"/>
      <x:c r="M20" s="65"/>
      <x:c r="N20" s="65"/>
      <x:c r="O20" s="65"/>
    </x:row>
    <x:row r="21" ht="15" hidden="0">
      <x:c r="A21" s="3" t="s">
        <x:v>26</x:v>
      </x:c>
      <x:c r="B21" s="9" t="n">
        <x:f aca="0">B12-B19</x:f>
        <x:v>76689</x:v>
      </x:c>
      <x:c r="C21" s="9" t="n">
        <x:f aca="0">C12-C19</x:f>
        <x:v>75581</x:v>
      </x:c>
      <x:c r="D21" s="9" t="n">
        <x:f aca="0">D12-D19</x:f>
        <x:v>75856</x:v>
      </x:c>
      <x:c r="E21" s="9" t="n">
        <x:f aca="0">E12-E19</x:f>
        <x:v>77172</x:v>
      </x:c>
      <x:c r="F21" s="9" t="n">
        <x:f aca="0">F12-F19</x:f>
        <x:v>76933</x:v>
      </x:c>
      <x:c r="G21" s="9" t="n">
        <x:f aca="0">G12-G19</x:f>
        <x:v>77395</x:v>
      </x:c>
      <x:c r="H21" s="9" t="n">
        <x:f aca="0">H12-H19</x:f>
        <x:v>79712</x:v>
      </x:c>
      <x:c r="I21" s="9" t="n">
        <x:f aca="0">I12-I19</x:f>
        <x:v>80836</x:v>
      </x:c>
      <x:c r="J21" s="9" t="n">
        <x:f aca="0">J12-J19</x:f>
        <x:v>78557</x:v>
      </x:c>
      <x:c r="K21" s="9" t="n">
        <x:f aca="0">K12-K19</x:f>
        <x:v>89003</x:v>
      </x:c>
      <x:c r="L21" s="83" t="n">
        <x:f aca="0">SUM('Monthly EOP Balance'!AF21:'Monthly EOP Balance'!AI21)/4</x:f>
        <x:v>94691.2708276612</x:v>
      </x:c>
      <x:c r="M21" s="83" t="n">
        <x:f aca="0">SUM('Monthly EOP Balance'!AI21:'Monthly EOP Balance'!AL21)/4</x:f>
        <x:v>94843.79906417873</x:v>
      </x:c>
      <x:c r="N21" s="83" t="n">
        <x:f aca="0">SUM('Monthly EOP Balance'!AL21:'Monthly EOP Balance'!AO21)/4</x:f>
        <x:v>94993.06616821482</x:v>
      </x:c>
      <x:c r="O21" s="83" t="n">
        <x:f aca="0">SUM('Monthly EOP Balance'!AO21:'Monthly EOP Balance'!AR21)/4</x:f>
        <x:v>95139.12081257955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ColWidth="8.6796875" defaultRowHeight="15"/>
  <x:cols>
    <x:col min="1" max="1" width="38" hidden="0" customWidth="1"/>
    <x:col min="2" max="15" width="13" hidden="0" customWidth="1"/>
  </x:cols>
  <x:sheetData>
    <x:row r="1" ht="15" hidden="0">
      <x:c r="A1" s="1" t="s">
        <x:v>27</x:v>
      </x:c>
    </x:row>
    <x:row r="2" ht="27.75" hidden="0" customHeight="1">
      <x:c r="A2" s="30" t="str">
        <x:v>Annualised yield on assets and cost of funds on liabilities. Actuals through Q2:25; forecast rates retain June 2025 benchmark spreads or betas.</x:v>
      </x:c>
    </x:row>
    <x:row r="4" ht="15" hidden="0">
      <x:c r="A4" s="3" t="s">
        <x:v>1</x:v>
      </x:c>
      <x:c r="B4" s="4" t="s">
        <x:v>2</x:v>
      </x:c>
      <x:c r="C4" s="4" t="s">
        <x:v>3</x:v>
      </x:c>
      <x:c r="D4" s="4" t="s">
        <x:v>4</x:v>
      </x:c>
      <x:c r="E4" s="4" t="s">
        <x:v>5</x:v>
      </x:c>
      <x:c r="F4" s="4" t="s">
        <x:v>6</x:v>
      </x:c>
      <x:c r="G4" s="4" t="s">
        <x:v>7</x:v>
      </x:c>
      <x:c r="H4" s="4" t="s">
        <x:v>8</x:v>
      </x:c>
      <x:c r="I4" s="4" t="s">
        <x:v>9</x:v>
      </x:c>
      <x:c r="J4" s="4" t="s">
        <x:v>10</x:v>
      </x:c>
      <x:c r="K4" s="4" t="s">
        <x:v>11</x:v>
      </x:c>
      <x:c r="L4" s="77" t="str">
        <x:v>2025-09-30 (F)</x:v>
      </x:c>
      <x:c r="M4" s="77" t="str">
        <x:v>2025-12-31 (F)</x:v>
      </x:c>
      <x:c r="N4" s="77" t="str">
        <x:v>2026-03-31 (F)</x:v>
      </x:c>
      <x:c r="O4" s="77" t="str">
        <x:v>2026-06-30 (F)</x:v>
      </x:c>
    </x:row>
    <x:row r="5" ht="15" hidden="0">
      <x:c r="A5" s="5" t="s">
        <x:v>12</x:v>
      </x:c>
    </x:row>
    <x:row r="6" ht="15" hidden="0">
      <x:c r="A6" s="6" t="s">
        <x:v>13</x:v>
      </x:c>
      <x:c r="B6" s="10" t="n">
        <x:v>0.1798</x:v>
      </x:c>
      <x:c r="C6" s="10" t="n">
        <x:v>0.1817</x:v>
      </x:c>
      <x:c r="D6" s="10" t="n">
        <x:v>0.1902</x:v>
      </x:c>
      <x:c r="E6" s="10" t="n">
        <x:v>0.1894</x:v>
      </x:c>
      <x:c r="F6" s="10" t="n">
        <x:v>0.1884</x:v>
      </x:c>
      <x:c r="G6" s="10" t="n">
        <x:v>0.1879</x:v>
      </x:c>
      <x:c r="H6" s="10" t="n">
        <x:v>0.1966</x:v>
      </x:c>
      <x:c r="I6" s="10" t="n">
        <x:v>0.1905</x:v>
      </x:c>
      <x:c r="J6" s="10" t="n">
        <x:v>0.1854</x:v>
      </x:c>
      <x:c r="K6" s="10" t="n">
        <x:v>0.1794</x:v>
      </x:c>
      <x:c r="L6" s="87" t="n">
        <x:f>IF(Balance!L6=0,"",'Net Interest Income'!L6*4/Balance!L6)</x:f>
        <x:v>0.17615903635941244</x:v>
      </x:c>
      <x:c r="M6" s="87" t="n">
        <x:f>IF(Balance!M6=0,"",'Net Interest Income'!M6*4/Balance!M6)</x:f>
        <x:v>0.1752840363847844</x:v>
      </x:c>
      <x:c r="N6" s="87" t="n">
        <x:f>IF(Balance!N6=0,"",'Net Interest Income'!N6*4/Balance!N6)</x:f>
        <x:v>0.17440903641013047</x:v>
      </x:c>
      <x:c r="O6" s="87" t="n">
        <x:f>IF(Balance!O6=0,"",'Net Interest Income'!O6*4/Balance!O6)</x:f>
        <x:v>0.17353403643545065</x:v>
      </x:c>
    </x:row>
    <x:row r="7" ht="15" hidden="0">
      <x:c r="A7" s="6" t="s">
        <x:v>14</x:v>
      </x:c>
      <x:c r="B7" s="10" t="n">
        <x:v>0.074</x:v>
      </x:c>
      <x:c r="C7" s="10" t="n">
        <x:v>0.0765</x:v>
      </x:c>
      <x:c r="D7" s="10" t="n">
        <x:v>0.0797</x:v>
      </x:c>
      <x:c r="E7" s="10" t="n">
        <x:v>0.0817</x:v>
      </x:c>
      <x:c r="F7" s="10" t="n">
        <x:v>0.0833</x:v>
      </x:c>
      <x:c r="G7" s="10" t="n">
        <x:v>0.0854</x:v>
      </x:c>
      <x:c r="H7" s="10" t="n">
        <x:v>0.0888</x:v>
      </x:c>
      <x:c r="I7" s="10" t="n">
        <x:v>0.0904</x:v>
      </x:c>
      <x:c r="J7" s="10" t="n">
        <x:v>0.0903</x:v>
      </x:c>
      <x:c r="K7" s="10" t="n">
        <x:v>0.093</x:v>
      </x:c>
      <x:c r="L7" s="87" t="n">
        <x:f>IF(Balance!L7=0,"",'Net Interest Income'!L7*4/Balance!L7)</x:f>
        <x:v>0.09517311494181517</x:v>
      </x:c>
      <x:c r="M7" s="87" t="n">
        <x:f>IF(Balance!M7=0,"",'Net Interest Income'!M7*4/Balance!M7)</x:f>
        <x:v>0.09512311494286488</x:v>
      </x:c>
      <x:c r="N7" s="87" t="n">
        <x:f>IF(Balance!N7=0,"",'Net Interest Income'!N7*4/Balance!N7)</x:f>
        <x:v>0.09507311494391572</x:v>
      </x:c>
      <x:c r="O7" s="87" t="n">
        <x:f>IF(Balance!O7=0,"",'Net Interest Income'!O7*4/Balance!O7)</x:f>
        <x:v>0.09502311494496767</x:v>
      </x:c>
    </x:row>
    <x:row r="8" ht="15" hidden="0">
      <x:c r="A8" s="6" t="s">
        <x:v>15</x:v>
      </x:c>
      <x:c r="B8" s="10" t="n">
        <x:v>0.063</x:v>
      </x:c>
      <x:c r="C8" s="10" t="n">
        <x:v>0.0674</x:v>
      </x:c>
      <x:c r="D8" s="10" t="n">
        <x:v>0.0712</x:v>
      </x:c>
      <x:c r="E8" s="10" t="n">
        <x:v>0.0724</x:v>
      </x:c>
      <x:c r="F8" s="10" t="n">
        <x:v>0.0713</x:v>
      </x:c>
      <x:c r="G8" s="10" t="n">
        <x:v>0.0722</x:v>
      </x:c>
      <x:c r="H8" s="10" t="n">
        <x:v>0.0724</x:v>
      </x:c>
      <x:c r="I8" s="10" t="n">
        <x:v>0.0672</x:v>
      </x:c>
      <x:c r="J8" s="10" t="n">
        <x:v>0.0629</x:v>
      </x:c>
      <x:c r="K8" s="10" t="n">
        <x:v>0.064</x:v>
      </x:c>
      <x:c r="L8" s="87" t="n">
        <x:f>IF(Balance!L8=0,"",'Net Interest Income'!L8*4/Balance!L8)</x:f>
        <x:v>0.06522504209515552</x:v>
      </x:c>
      <x:c r="M8" s="87" t="n">
        <x:f>IF(Balance!M8=0,"",'Net Interest Income'!M8*4/Balance!M8)</x:f>
        <x:v>0.06447504210965378</x:v>
      </x:c>
      <x:c r="N8" s="87" t="n">
        <x:f>IF(Balance!N8=0,"",'Net Interest Income'!N8*4/Balance!N8)</x:f>
        <x:v>0.06372504212413724</x:v>
      </x:c>
      <x:c r="O8" s="87" t="n">
        <x:f>IF(Balance!O8=0,"",'Net Interest Income'!O8*4/Balance!O8)</x:f>
        <x:v>0.06297504213860589</x:v>
      </x:c>
    </x:row>
    <x:row r="9" ht="15" hidden="0">
      <x:c r="A9" s="6" t="s">
        <x:v>16</x:v>
      </x:c>
      <x:c r="B9" s="10" t="n">
        <x:v>0.1132</x:v>
      </x:c>
      <x:c r="C9" s="10" t="n">
        <x:v>0.1167</x:v>
      </x:c>
      <x:c r="D9" s="10" t="n">
        <x:v>0.1237</x:v>
      </x:c>
      <x:c r="E9" s="10" t="n">
        <x:v>0.1255</x:v>
      </x:c>
      <x:c r="F9" s="10" t="n">
        <x:v>0.1257</x:v>
      </x:c>
      <x:c r="G9" s="10" t="n">
        <x:v>0.1266</x:v>
      </x:c>
      <x:c r="H9" s="10" t="n">
        <x:v>0.1324</x:v>
      </x:c>
      <x:c r="I9" s="10" t="n">
        <x:v>0.1295</x:v>
      </x:c>
      <x:c r="J9" s="10" t="n">
        <x:v>0.1259</x:v>
      </x:c>
      <x:c r="K9" s="10" t="n">
        <x:v>0.1315</x:v>
      </x:c>
      <x:c r="L9" s="87" t="n">
        <x:f>IF(Balance!L9=0,"",'Net Interest Income'!L9*4/Balance!L9)</x:f>
        <x:v>0.1330185567215908</x:v>
      </x:c>
      <x:c r="M9" s="87" t="n">
        <x:f>IF(Balance!M9=0,"",'Net Interest Income'!M9*4/Balance!M9)</x:f>
        <x:v>0.13235556823002642</x:v>
      </x:c>
      <x:c r="N9" s="87" t="n">
        <x:f>IF(Balance!N9=0,"",'Net Interest Income'!N9*4/Balance!N9)</x:f>
        <x:v>0.13169230100442925</x:v>
      </x:c>
      <x:c r="O9" s="87" t="n">
        <x:f>IF(Balance!O9=0,"",'Net Interest Income'!O9*4/Balance!O9)</x:f>
        <x:v>0.13102875528736854</x:v>
      </x:c>
    </x:row>
    <x:row r="10" ht="15" hidden="0">
      <x:c r="A10" s="6" t="s">
        <x:v>17</x:v>
      </x:c>
      <x:c r="B10" s="10" t="n">
        <x:v>0.0273</x:v>
      </x:c>
      <x:c r="C10" s="10" t="n">
        <x:v>0.0284</x:v>
      </x:c>
      <x:c r="D10" s="10" t="n">
        <x:v>0.0286</x:v>
      </x:c>
      <x:c r="E10" s="10" t="n">
        <x:v>0.0302</x:v>
      </x:c>
      <x:c r="F10" s="10" t="n">
        <x:v>0.031</x:v>
      </x:c>
      <x:c r="G10" s="10" t="n">
        <x:v>0.0313</x:v>
      </x:c>
      <x:c r="H10" s="10" t="n">
        <x:v>0.0324</x:v>
      </x:c>
      <x:c r="I10" s="10" t="n">
        <x:v>0.0326</x:v>
      </x:c>
      <x:c r="J10" s="10" t="n">
        <x:v>0.0332</x:v>
      </x:c>
      <x:c r="K10" s="10" t="n">
        <x:v>0.0337</x:v>
      </x:c>
      <x:c r="L10" s="87" t="n">
        <x:f>IF(Balance!L10=0,"",'Net Interest Income'!L10*4/Balance!L10)</x:f>
        <x:v>0.031892017938159455</x:v>
      </x:c>
      <x:c r="M10" s="87" t="n">
        <x:f>IF(Balance!M10=0,"",'Net Interest Income'!M10*4/Balance!M10)</x:f>
        <x:v>0.03044201793815945</x:v>
      </x:c>
      <x:c r="N10" s="87" t="n">
        <x:f>IF(Balance!N10=0,"",'Net Interest Income'!N10*4/Balance!N10)</x:f>
        <x:v>0.028992017938159455</x:v>
      </x:c>
      <x:c r="O10" s="87" t="n">
        <x:f>IF(Balance!O10=0,"",'Net Interest Income'!O10*4/Balance!O10)</x:f>
        <x:v>0.027542017938159455</x:v>
      </x:c>
    </x:row>
    <x:row r="11" ht="15" hidden="0">
      <x:c r="A11" s="6" t="s">
        <x:v>18</x:v>
      </x:c>
      <x:c r="B11" s="10" t="n">
        <x:v>0.0449</x:v>
      </x:c>
      <x:c r="C11" s="10" t="n">
        <x:v>0.0484</x:v>
      </x:c>
      <x:c r="D11" s="10" t="n">
        <x:v>0.0521</x:v>
      </x:c>
      <x:c r="E11" s="10" t="n">
        <x:v>0.0521</x:v>
      </x:c>
      <x:c r="F11" s="10" t="n">
        <x:v>0.0521</x:v>
      </x:c>
      <x:c r="G11" s="10" t="n">
        <x:v>0.0516</x:v>
      </x:c>
      <x:c r="H11" s="10" t="n">
        <x:v>0.0514</x:v>
      </x:c>
      <x:c r="I11" s="10" t="n">
        <x:v>0.0459</x:v>
      </x:c>
      <x:c r="J11" s="10" t="n">
        <x:v>0.0414</x:v>
      </x:c>
      <x:c r="K11" s="10" t="n">
        <x:v>0.0446</x:v>
      </x:c>
      <x:c r="L11" s="87" t="n">
        <x:f>IF(Balance!L11=0,"",'Net Interest Income'!L11*4/Balance!L11)</x:f>
        <x:v>0.04463257233085443</x:v>
      </x:c>
      <x:c r="M11" s="87" t="n">
        <x:f>IF(Balance!M11=0,"",'Net Interest Income'!M11*4/Balance!M11)</x:f>
        <x:v>0.04388257234535268</x:v>
      </x:c>
      <x:c r="N11" s="87" t="n">
        <x:f>IF(Balance!N11=0,"",'Net Interest Income'!N11*4/Balance!N11)</x:f>
        <x:v>0.04313257235983612</x:v>
      </x:c>
      <x:c r="O11" s="87" t="n">
        <x:f>IF(Balance!O11=0,"",'Net Interest Income'!O11*4/Balance!O11)</x:f>
        <x:v>0.04238257237430478</x:v>
      </x:c>
    </x:row>
    <x:row r="12" ht="15" hidden="0">
      <x:c r="A12" s="3" t="s">
        <x:v>19</x:v>
      </x:c>
      <x:c r="B12" s="11" t="n">
        <x:v>0.0896</x:v>
      </x:c>
      <x:c r="C12" s="11" t="n">
        <x:v>0.0926</x:v>
      </x:c>
      <x:c r="D12" s="11" t="n">
        <x:v>0.0981</x:v>
      </x:c>
      <x:c r="E12" s="11" t="n">
        <x:v>0.0997</x:v>
      </x:c>
      <x:c r="F12" s="11" t="n">
        <x:v>0.0998</x:v>
      </x:c>
      <x:c r="G12" s="11" t="n">
        <x:v>0.1001</x:v>
      </x:c>
      <x:c r="H12" s="11" t="n">
        <x:v>0.1044</x:v>
      </x:c>
      <x:c r="I12" s="11" t="n">
        <x:v>0.1017</x:v>
      </x:c>
      <x:c r="J12" s="11" t="n">
        <x:v>0.0987</x:v>
      </x:c>
      <x:c r="K12" s="11" t="n">
        <x:v>0.1054</x:v>
      </x:c>
      <x:c r="L12" s="88" t="n">
        <x:f>IF(Balance!L12=0,"",'Net Interest Income'!L12*4/Balance!L12)</x:f>
        <x:v>0.10876991239906066</x:v>
      </x:c>
      <x:c r="M12" s="88" t="n">
        <x:f>IF(Balance!M12=0,"",'Net Interest Income'!M12*4/Balance!M12)</x:f>
        <x:v>0.10798298959059952</x:v>
      </x:c>
      <x:c r="N12" s="88" t="n">
        <x:f>IF(Balance!N12=0,"",'Net Interest Income'!N12*4/Balance!N12)</x:f>
        <x:v>0.10719591623385592</x:v>
      </x:c>
      <x:c r="O12" s="88" t="n">
        <x:f>IF(Balance!O12=0,"",'Net Interest Income'!O12*4/Balance!O12)</x:f>
        <x:v>0.10640869245085571</x:v>
      </x:c>
    </x:row>
    <x:row r="13">
      <x:c r="L13" s="65"/>
      <x:c r="M13" s="65"/>
      <x:c r="N13" s="65"/>
      <x:c r="O13" s="65"/>
    </x:row>
    <x:row r="14" ht="15" hidden="0">
      <x:c r="A14" s="5" t="s">
        <x:v>20</x:v>
      </x:c>
      <x:c r="L14" s="65"/>
      <x:c r="M14" s="65"/>
      <x:c r="N14" s="65"/>
      <x:c r="O14" s="65"/>
    </x:row>
    <x:row r="15" ht="15" hidden="0">
      <x:c r="A15" s="6" t="s">
        <x:v>21</x:v>
      </x:c>
      <x:c r="B15" s="10" t="n">
        <x:v>0.024</x:v>
      </x:c>
      <x:c r="C15" s="10" t="n">
        <x:v>0.0291</x:v>
      </x:c>
      <x:c r="D15" s="10" t="n">
        <x:v>0.033</x:v>
      </x:c>
      <x:c r="E15" s="10" t="n">
        <x:v>0.0347</x:v>
      </x:c>
      <x:c r="F15" s="10" t="n">
        <x:v>0.0353</x:v>
      </x:c>
      <x:c r="G15" s="10" t="n">
        <x:v>0.0356</x:v>
      </x:c>
      <x:c r="H15" s="10" t="n">
        <x:v>0.0363</x:v>
      </x:c>
      <x:c r="I15" s="10" t="n">
        <x:v>0.0345</x:v>
      </x:c>
      <x:c r="J15" s="10" t="n">
        <x:v>0.0322</x:v>
      </x:c>
      <x:c r="K15" s="10" t="n">
        <x:v>0.0322</x:v>
      </x:c>
      <x:c r="L15" s="87" t="n">
        <x:f>IF(Balance!L15=0,"",'Net Interest Income'!L15*4/Balance!L15)</x:f>
        <x:v>0.031959386187417255</x:v>
      </x:c>
      <x:c r="M15" s="87" t="n">
        <x:f>IF(Balance!M15=0,"",'Net Interest Income'!M15*4/Balance!M15)</x:f>
        <x:v>0.031399349853878995</x:v>
      </x:c>
      <x:c r="N15" s="87" t="n">
        <x:f>IF(Balance!N15=0,"",'Net Interest Income'!N15*4/Balance!N15)</x:f>
        <x:v>0.030839313520329686</x:v>
      </x:c>
      <x:c r="O15" s="87" t="n">
        <x:f>IF(Balance!O15=0,"",'Net Interest Income'!O15*4/Balance!O15)</x:f>
        <x:v>0.030279277186769336</x:v>
      </x:c>
    </x:row>
    <x:row r="16" ht="15" hidden="0">
      <x:c r="A16" s="6" t="s">
        <x:v>22</x:v>
      </x:c>
      <x:c r="B16" s="10" t="n">
        <x:v>0.049</x:v>
      </x:c>
      <x:c r="C16" s="10" t="n">
        <x:v>0.0531</x:v>
      </x:c>
      <x:c r="D16" s="10" t="n">
        <x:v>0.0563</x:v>
      </x:c>
      <x:c r="E16" s="10" t="n">
        <x:v>0.0584</x:v>
      </x:c>
      <x:c r="F16" s="10" t="n">
        <x:v>0.0585</x:v>
      </x:c>
      <x:c r="G16" s="10" t="n">
        <x:v>0.0591</x:v>
      </x:c>
      <x:c r="H16" s="10" t="n">
        <x:v>0.0593</x:v>
      </x:c>
      <x:c r="I16" s="10" t="n">
        <x:v>0.055</x:v>
      </x:c>
      <x:c r="J16" s="10" t="n">
        <x:v>0.0511</x:v>
      </x:c>
      <x:c r="K16" s="10" t="n">
        <x:v>0.0506</x:v>
      </x:c>
      <x:c r="L16" s="87" t="n">
        <x:f>IF(Balance!L16=0,"",'Net Interest Income'!L16*4/Balance!L16)</x:f>
        <x:v>0.05031484116974089</x:v>
      </x:c>
      <x:c r="M16" s="87" t="n">
        <x:f>IF(Balance!M16=0,"",'Net Interest Income'!M16*4/Balance!M16)</x:f>
        <x:v>0.048864847241691406</x:v>
      </x:c>
      <x:c r="N16" s="87" t="n">
        <x:f>IF(Balance!N16=0,"",'Net Interest Income'!N16*4/Balance!N16)</x:f>
        <x:v>0.04741485331364192</x:v>
      </x:c>
      <x:c r="O16" s="87" t="n">
        <x:f>IF(Balance!O16=0,"",'Net Interest Income'!O16*4/Balance!O16)</x:f>
        <x:v>0.045964859385592444</x:v>
      </x:c>
    </x:row>
    <x:row r="17" ht="15" hidden="0">
      <x:c r="A17" s="6" t="s">
        <x:v>23</x:v>
      </x:c>
      <x:c r="B17" s="10" t="n">
        <x:v>0.0649</x:v>
      </x:c>
      <x:c r="C17" s="10" t="n">
        <x:v>0.07</x:v>
      </x:c>
      <x:c r="D17" s="10" t="n">
        <x:v>0.0736</x:v>
      </x:c>
      <x:c r="E17" s="10" t="n">
        <x:v>0.0746</x:v>
      </x:c>
      <x:c r="F17" s="10" t="n">
        <x:v>0.0752</x:v>
      </x:c>
      <x:c r="G17" s="10" t="n">
        <x:v>0.0764</x:v>
      </x:c>
      <x:c r="H17" s="10" t="n">
        <x:v>0.0743</x:v>
      </x:c>
      <x:c r="I17" s="10" t="n">
        <x:v>0.0699</x:v>
      </x:c>
      <x:c r="J17" s="10" t="n">
        <x:v>0.0666</x:v>
      </x:c>
      <x:c r="K17" s="10" t="n">
        <x:v>0.0651</x:v>
      </x:c>
      <x:c r="L17" s="87" t="n">
        <x:f>IF(Balance!L17=0,"",'Net Interest Income'!L17*4/Balance!L17)</x:f>
        <x:v>0.06440172435379875</x:v>
      </x:c>
      <x:c r="M17" s="87" t="n">
        <x:f>IF(Balance!M17=0,"",'Net Interest Income'!M17*4/Balance!M17)</x:f>
        <x:v>0.06345622435379873</x:v>
      </x:c>
      <x:c r="N17" s="87" t="n">
        <x:f>IF(Balance!N17=0,"",'Net Interest Income'!N17*4/Balance!N17)</x:f>
        <x:v>0.06251072435379873</x:v>
      </x:c>
      <x:c r="O17" s="87" t="n">
        <x:f>IF(Balance!O17=0,"",'Net Interest Income'!O17*4/Balance!O17)</x:f>
        <x:v>0.061565224353798735</x:v>
      </x:c>
    </x:row>
    <x:row r="18" ht="15" hidden="0">
      <x:c r="A18" s="6" t="s">
        <x:v>24</x:v>
      </x:c>
      <x:c r="B18" s="10" t="n">
        <x:v>0.0208</x:v>
      </x:c>
      <x:c r="C18" s="10" t="n">
        <x:v>0.0195</x:v>
      </x:c>
      <x:c r="D18" s="10" t="n">
        <x:v>0.0179</x:v>
      </x:c>
      <x:c r="E18" s="10" t="n">
        <x:v>0.0171</x:v>
      </x:c>
      <x:c r="F18" s="10" t="n">
        <x:v>0.0178</x:v>
      </x:c>
      <x:c r="G18" s="10" t="n">
        <x:v>0.0173</x:v>
      </x:c>
      <x:c r="H18" s="10" t="n">
        <x:v>0.015</x:v>
      </x:c>
      <x:c r="I18" s="10" t="n">
        <x:v>0.0198</x:v>
      </x:c>
      <x:c r="J18" s="10" t="n">
        <x:v>0.0157</x:v>
      </x:c>
      <x:c r="K18" s="10" t="n">
        <x:v>0.0185</x:v>
      </x:c>
      <x:c r="L18" s="87" t="n">
        <x:f>IF(Balance!L18=0,"",'Net Interest Income'!L18*4/Balance!L18)</x:f>
        <x:v>0.015442304042512806</x:v>
      </x:c>
      <x:c r="M18" s="87" t="n">
        <x:f>IF(Balance!M18=0,"",'Net Interest Income'!M18*4/Balance!M18)</x:f>
        <x:v>0.014692304042512792</x:v>
      </x:c>
      <x:c r="N18" s="87" t="n">
        <x:f>IF(Balance!N18=0,"",'Net Interest Income'!N18*4/Balance!N18)</x:f>
        <x:v>0.013942304042512786</x:v>
      </x:c>
      <x:c r="O18" s="87" t="n">
        <x:f>IF(Balance!O18=0,"",'Net Interest Income'!O18*4/Balance!O18)</x:f>
        <x:v>0.013192304042512776</x:v>
      </x:c>
    </x:row>
    <x:row r="19" ht="15" hidden="0">
      <x:c r="A19" s="3" t="s">
        <x:v>25</x:v>
      </x:c>
      <x:c r="B19" s="11" t="n">
        <x:v>0.0287</x:v>
      </x:c>
      <x:c r="C19" s="11" t="n">
        <x:v>0.0336</x:v>
      </x:c>
      <x:c r="D19" s="11" t="n">
        <x:v>0.0375</x:v>
      </x:c>
      <x:c r="E19" s="11" t="n">
        <x:v>0.0392</x:v>
      </x:c>
      <x:c r="F19" s="11" t="n">
        <x:v>0.0398</x:v>
      </x:c>
      <x:c r="G19" s="11" t="n">
        <x:v>0.04</x:v>
      </x:c>
      <x:c r="H19" s="11" t="n">
        <x:v>0.0404</x:v>
      </x:c>
      <x:c r="I19" s="11" t="n">
        <x:v>0.0381</x:v>
      </x:c>
      <x:c r="J19" s="11" t="n">
        <x:v>0.0354</x:v>
      </x:c>
      <x:c r="K19" s="11" t="n">
        <x:v>0.0352</x:v>
      </x:c>
      <x:c r="L19" s="88" t="n">
        <x:f>IF(Balance!L19=0,"",'Net Interest Income'!L19*4/Balance!L19)</x:f>
        <x:v>0.034904362627623656</x:v>
      </x:c>
      <x:c r="M19" s="88" t="n">
        <x:f>IF(Balance!M19=0,"",'Net Interest Income'!M19*4/Balance!M19)</x:f>
        <x:v>0.03428061232621186</x:v>
      </x:c>
      <x:c r="N19" s="88" t="n">
        <x:f>IF(Balance!N19=0,"",'Net Interest Income'!N19*4/Balance!N19)</x:f>
        <x:v>0.0336577427300803</x:v>
      </x:c>
      <x:c r="O19" s="88" t="n">
        <x:f>IF(Balance!O19=0,"",'Net Interest Income'!O19*4/Balance!O19)</x:f>
        <x:v>0.03303573611400825</x:v>
      </x:c>
    </x:row>
    <x:row r="20">
      <x:c r="L20" s="65"/>
      <x:c r="M20" s="65"/>
      <x:c r="N20" s="65"/>
      <x:c r="O20" s="65"/>
    </x:row>
    <x:row r="21" ht="15" hidden="0">
      <x:c r="A21" s="3" t="s">
        <x:v>28</x:v>
      </x:c>
      <x:c r="B21" s="12" t="n">
        <x:f aca="0">B12-B19</x:f>
        <x:v>0.060899999999999996</x:v>
      </x:c>
      <x:c r="C21" s="12" t="n">
        <x:f aca="0">C12-C19</x:f>
        <x:v>0.059000000000000004</x:v>
      </x:c>
      <x:c r="D21" s="12" t="n">
        <x:f aca="0">D12-D19</x:f>
        <x:v>0.06060000000000001</x:v>
      </x:c>
      <x:c r="E21" s="12" t="n">
        <x:f aca="0">E12-E19</x:f>
        <x:v>0.0605</x:v>
      </x:c>
      <x:c r="F21" s="12" t="n">
        <x:f aca="0">F12-F19</x:f>
        <x:v>0.06</x:v>
      </x:c>
      <x:c r="G21" s="12" t="n">
        <x:f aca="0">G12-G19</x:f>
        <x:v>0.060099999999999994</x:v>
      </x:c>
      <x:c r="H21" s="12" t="n">
        <x:f aca="0">H12-H19</x:f>
        <x:v>0.064</x:v>
      </x:c>
      <x:c r="I21" s="12" t="n">
        <x:f aca="0">I12-I19</x:f>
        <x:v>0.06359999999999999</x:v>
      </x:c>
      <x:c r="J21" s="12" t="n">
        <x:f aca="0">J12-J19</x:f>
        <x:v>0.0633</x:v>
      </x:c>
      <x:c r="K21" s="12" t="n">
        <x:f aca="0">K12-K19</x:f>
        <x:v>0.07019999999999998</x:v>
      </x:c>
      <x:c r="L21" s="89" t="n">
        <x:f aca="0">L12-L19</x:f>
        <x:v>0.073865549771437</x:v>
      </x:c>
      <x:c r="M21" s="89" t="n">
        <x:f aca="0">M12-M19</x:f>
        <x:v>0.07370237726438766</x:v>
      </x:c>
      <x:c r="N21" s="89" t="n">
        <x:f aca="0">N12-N19</x:f>
        <x:v>0.07353817350377562</x:v>
      </x:c>
      <x:c r="O21" s="89" t="n">
        <x:f aca="0">O12-O19</x:f>
        <x:v>0.07337295633684746</x:v>
      </x:c>
    </x:row>
    <x:row r="22" ht="15" hidden="0">
      <x:c r="A22" s="3" t="s">
        <x:v>29</x:v>
      </x:c>
      <x:c r="B22" s="12" t="n">
        <x:f aca="0">IFERROR(('Net Interest Income'!B21*4)/Balance!B12,"")</x:f>
        <x:v>0.06604794588222859</x:v>
      </x:c>
      <x:c r="C22" s="12" t="n">
        <x:f aca="0">IFERROR(('Net Interest Income'!C21*4)/Balance!C12,"")</x:f>
        <x:v>0.0647904194343932</x:v>
      </x:c>
      <x:c r="D22" s="12" t="n">
        <x:f aca="0">IFERROR(('Net Interest Income'!D21*4)/Balance!D12,"")</x:f>
        <x:v>0.06694443692901526</x:v>
      </x:c>
      <x:c r="E22" s="12" t="n">
        <x:f aca="0">IFERROR(('Net Interest Income'!E21*4)/Balance!E12,"")</x:f>
        <x:v>0.067285772133095</x:v>
      </x:c>
      <x:c r="F22" s="12" t="n">
        <x:f aca="0">IFERROR(('Net Interest Income'!F21*4)/Balance!F12,"")</x:f>
        <x:v>0.06688655502531247</x:v>
      </x:c>
      <x:c r="G22" s="12" t="n">
        <x:f aca="0">IFERROR(('Net Interest Income'!G21*4)/Balance!G12,"")</x:f>
        <x:v>0.06694048453343032</x:v>
      </x:c>
      <x:c r="H22" s="12" t="n">
        <x:f aca="0">IFERROR(('Net Interest Income'!H21*4)/Balance!H12,"")</x:f>
        <x:v>0.07107840980100509</x:v>
      </x:c>
      <x:c r="I22" s="12" t="n">
        <x:f aca="0">IFERROR(('Net Interest Income'!I21*4)/Balance!I12,"")</x:f>
        <x:v>0.07031192341921899</x:v>
      </x:c>
      <x:c r="J22" s="12" t="n">
        <x:f aca="0">IFERROR(('Net Interest Income'!J21*4)/Balance!J12,"")</x:f>
        <x:v>0.06926103839696092</x:v>
      </x:c>
      <x:c r="K22" s="12" t="n">
        <x:f aca="0">IFERROR(('Net Interest Income'!K21*4)/Balance!K12,"")</x:f>
        <x:v>0.07616268104829416</x:v>
      </x:c>
      <x:c r="L22" s="89" t="n">
        <x:f aca="0">'Net Interest Income'!L21*4/Balance!L12</x:f>
        <x:v>0.07948509502955825</x:v>
      </x:c>
      <x:c r="M22" s="89" t="n">
        <x:f aca="0">'Net Interest Income'!M21*4/Balance!M12</x:f>
        <x:v>0.07922889554836489</x:v>
      </x:c>
      <x:c r="N22" s="89" t="n">
        <x:f aca="0">'Net Interest Income'!N21*4/Balance!N12</x:f>
        <x:v>0.07897134739926347</x:v>
      </x:c>
      <x:c r="O22" s="89" t="n">
        <x:f aca="0">'Net Interest Income'!O21*4/Balance!O12</x:f>
        <x:v>0.07871247957607866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ColWidth="8.6796875" defaultRowHeight="15"/>
  <x:cols>
    <x:col min="1" max="1" width="38" hidden="0" customWidth="1"/>
    <x:col min="2" max="15" width="13" hidden="0" customWidth="1"/>
  </x:cols>
  <x:sheetData>
    <x:row r="1" ht="15" hidden="0">
      <x:c r="A1" s="1" t="s">
        <x:v>30</x:v>
      </x:c>
    </x:row>
    <x:row r="2" ht="27.75" hidden="0" customHeight="1">
      <x:c r="A2" s="30" t="str">
        <x:v>Interest income on assets and interest expense on liabilities. Actuals through Q2:25; forecast quarters sum the macro-driven monthly schedule.</x:v>
      </x:c>
    </x:row>
    <x:row r="4" ht="15" hidden="0">
      <x:c r="A4" s="3" t="s">
        <x:v>1</x:v>
      </x:c>
      <x:c r="B4" s="4" t="s">
        <x:v>2</x:v>
      </x:c>
      <x:c r="C4" s="4" t="s">
        <x:v>3</x:v>
      </x:c>
      <x:c r="D4" s="4" t="s">
        <x:v>4</x:v>
      </x:c>
      <x:c r="E4" s="4" t="s">
        <x:v>5</x:v>
      </x:c>
      <x:c r="F4" s="4" t="s">
        <x:v>6</x:v>
      </x:c>
      <x:c r="G4" s="4" t="s">
        <x:v>7</x:v>
      </x:c>
      <x:c r="H4" s="4" t="s">
        <x:v>8</x:v>
      </x:c>
      <x:c r="I4" s="4" t="s">
        <x:v>9</x:v>
      </x:c>
      <x:c r="J4" s="4" t="s">
        <x:v>10</x:v>
      </x:c>
      <x:c r="K4" s="4" t="s">
        <x:v>11</x:v>
      </x:c>
      <x:c r="L4" s="77" t="str">
        <x:v>2025-09-30 (F)</x:v>
      </x:c>
      <x:c r="M4" s="77" t="str">
        <x:v>2025-12-31 (F)</x:v>
      </x:c>
      <x:c r="N4" s="77" t="str">
        <x:v>2026-03-31 (F)</x:v>
      </x:c>
      <x:c r="O4" s="77" t="str">
        <x:v>2026-06-30 (F)</x:v>
      </x:c>
    </x:row>
    <x:row r="5" ht="15" hidden="0">
      <x:c r="A5" s="5" t="s">
        <x:v>12</x:v>
      </x:c>
    </x:row>
    <x:row r="6" ht="15" hidden="0">
      <x:c r="A6" s="6" t="s">
        <x:v>13</x:v>
      </x:c>
      <x:c r="B6" s="7" t="n">
        <x:v>6053</x:v>
      </x:c>
      <x:c r="C6" s="7" t="n">
        <x:v>6302</x:v>
      </x:c>
      <x:c r="D6" s="7" t="n">
        <x:v>6850</x:v>
      </x:c>
      <x:c r="E6" s="7" t="n">
        <x:v>7062</x:v>
      </x:c>
      <x:c r="F6" s="7" t="n">
        <x:v>7067</x:v>
      </x:c>
      <x:c r="G6" s="7" t="n">
        <x:v>7088</x:v>
      </x:c>
      <x:c r="H6" s="7" t="n">
        <x:v>7578</x:v>
      </x:c>
      <x:c r="I6" s="7" t="n">
        <x:v>7493</x:v>
      </x:c>
      <x:c r="J6" s="7" t="n">
        <x:v>7248</x:v>
      </x:c>
      <x:c r="K6" s="7" t="n">
        <x:v>9407</x:v>
      </x:c>
      <x:c r="L6" s="81" t="n">
        <x:f>SUM('Monthly NII'!AF6:'Monthly NII'!AH6)</x:f>
        <x:v>10719.87550007646</x:v>
      </x:c>
      <x:c r="M6" s="81" t="n">
        <x:f>SUM('Monthly NII'!AI6:'Monthly NII'!AK6)</x:f>
        <x:v>10672.079229176981</x:v>
      </x:c>
      <x:c r="N6" s="81" t="n">
        <x:f>SUM('Monthly NII'!AL6:'Monthly NII'!AN6)</x:f>
        <x:v>10624.228542112807</x:v>
      </x:c>
      <x:c r="O6" s="81" t="n">
        <x:f>SUM('Monthly NII'!AO6:'Monthly NII'!AQ6)</x:f>
        <x:v>10576.323438883934</x:v>
      </x:c>
    </x:row>
    <x:row r="7" ht="15" hidden="0">
      <x:c r="A7" s="6" t="s">
        <x:v>14</x:v>
      </x:c>
      <x:c r="B7" s="7" t="n">
        <x:v>1461</x:v>
      </x:c>
      <x:c r="C7" s="7" t="n">
        <x:v>1486</x:v>
      </x:c>
      <x:c r="D7" s="7" t="n">
        <x:v>1537</x:v>
      </x:c>
      <x:c r="E7" s="7" t="n">
        <x:v>1557</x:v>
      </x:c>
      <x:c r="F7" s="7" t="n">
        <x:v>1564</x:v>
      </x:c>
      <x:c r="G7" s="7" t="n">
        <x:v>1611</x:v>
      </x:c>
      <x:c r="H7" s="7" t="n">
        <x:v>1692</x:v>
      </x:c>
      <x:c r="I7" s="7" t="n">
        <x:v>1745</x:v>
      </x:c>
      <x:c r="J7" s="7" t="n">
        <x:v>1773</x:v>
      </x:c>
      <x:c r="K7" s="7" t="n">
        <x:v>1861</x:v>
      </x:c>
      <x:c r="L7" s="81" t="n">
        <x:f>SUM('Monthly NII'!AF7:'Monthly NII'!AH7)</x:f>
        <x:v>2211.0269788798687</x:v>
      </x:c>
      <x:c r="M7" s="81" t="n">
        <x:f>SUM('Monthly NII'!AI7:'Monthly NII'!AK7)</x:f>
        <x:v>2208.6892321624464</x:v>
      </x:c>
      <x:c r="N7" s="81" t="n">
        <x:f>SUM('Monthly NII'!AL7:'Monthly NII'!AN7)</x:f>
        <x:v>2206.352721911092</x:v>
      </x:c>
      <x:c r="O7" s="81" t="n">
        <x:f>SUM('Monthly NII'!AO7:'Monthly NII'!AQ7)</x:f>
        <x:v>2204.0174481258045</x:v>
      </x:c>
    </x:row>
    <x:row r="8" ht="15" hidden="0">
      <x:c r="A8" s="6" t="s">
        <x:v>15</x:v>
      </x:c>
      <x:c r="B8" s="7" t="n">
        <x:v>1488</x:v>
      </x:c>
      <x:c r="C8" s="7" t="n">
        <x:v>1580</x:v>
      </x:c>
      <x:c r="D8" s="7" t="n">
        <x:v>1642</x:v>
      </x:c>
      <x:c r="E8" s="7" t="n">
        <x:v>1653</x:v>
      </x:c>
      <x:c r="F8" s="7" t="n">
        <x:v>1612</x:v>
      </x:c>
      <x:c r="G8" s="7" t="n">
        <x:v>1616</x:v>
      </x:c>
      <x:c r="H8" s="7" t="n">
        <x:v>1601</x:v>
      </x:c>
      <x:c r="I8" s="7" t="n">
        <x:v>1472</x:v>
      </x:c>
      <x:c r="J8" s="7" t="n">
        <x:v>1382</x:v>
      </x:c>
      <x:c r="K8" s="7" t="n">
        <x:v>1421</x:v>
      </x:c>
      <x:c r="L8" s="81" t="n">
        <x:f>SUM('Monthly NII'!AF8:'Monthly NII'!AH8)</x:f>
        <x:v>1679.8817765489011</x:v>
      </x:c>
      <x:c r="M8" s="81" t="n">
        <x:f>SUM('Monthly NII'!AI8:'Monthly NII'!AK8)</x:f>
        <x:v>1661.4139205181505</x:v>
      </x:c>
      <x:c r="N8" s="81" t="n">
        <x:f>SUM('Monthly NII'!AL8:'Monthly NII'!AN8)</x:f>
        <x:v>1642.9263238725794</x:v>
      </x:c>
      <x:c r="O8" s="81" t="n">
        <x:f>SUM('Monthly NII'!AO8:'Monthly NII'!AQ8)</x:f>
        <x:v>1624.4189866121874</x:v>
      </x:c>
    </x:row>
    <x:row r="9" ht="15" hidden="0">
      <x:c r="A9" s="6" t="s">
        <x:v>16</x:v>
      </x:c>
      <x:c r="B9" s="7" t="n">
        <x:v>8723</x:v>
      </x:c>
      <x:c r="C9" s="7" t="n">
        <x:v>9057</x:v>
      </x:c>
      <x:c r="D9" s="7" t="n">
        <x:v>9696</x:v>
      </x:c>
      <x:c r="E9" s="7" t="n">
        <x:v>9934</x:v>
      </x:c>
      <x:c r="F9" s="7" t="n">
        <x:v>9920</x:v>
      </x:c>
      <x:c r="G9" s="7" t="n">
        <x:v>9993</x:v>
      </x:c>
      <x:c r="H9" s="7" t="n">
        <x:v>10547</x:v>
      </x:c>
      <x:c r="I9" s="7" t="n">
        <x:v>10434</x:v>
      </x:c>
      <x:c r="J9" s="7" t="n">
        <x:v>10157</x:v>
      </x:c>
      <x:c r="K9" s="7" t="n">
        <x:v>12449</x:v>
      </x:c>
      <x:c r="L9" s="81" t="n">
        <x:f>SUM('Monthly NII'!AF9:'Monthly NII'!AH9)</x:f>
        <x:v>14610.78425550523</x:v>
      </x:c>
      <x:c r="M9" s="81" t="n">
        <x:f>SUM('Monthly NII'!AI9:'Monthly NII'!AK9)</x:f>
        <x:v>14542.182381857578</x:v>
      </x:c>
      <x:c r="N9" s="81" t="n">
        <x:f>SUM('Monthly NII'!AL9:'Monthly NII'!AN9)</x:f>
        <x:v>14473.507587896478</x:v>
      </x:c>
      <x:c r="O9" s="81" t="n">
        <x:f>SUM('Monthly NII'!AO9:'Monthly NII'!AQ9)</x:f>
        <x:v>14404.759873621924</x:v>
      </x:c>
    </x:row>
    <x:row r="10" ht="15" hidden="0">
      <x:c r="A10" s="6" t="s">
        <x:v>17</x:v>
      </x:c>
      <x:c r="B10" s="7" t="n">
        <x:v>615</x:v>
      </x:c>
      <x:c r="C10" s="7" t="n">
        <x:v>639</x:v>
      </x:c>
      <x:c r="D10" s="7" t="n">
        <x:v>627</x:v>
      </x:c>
      <x:c r="E10" s="7" t="n">
        <x:v>669</x:v>
      </x:c>
      <x:c r="F10" s="7" t="n">
        <x:v>687</x:v>
      </x:c>
      <x:c r="G10" s="7" t="n">
        <x:v>700</x:v>
      </x:c>
      <x:c r="H10" s="7" t="n">
        <x:v>733</x:v>
      </x:c>
      <x:c r="I10" s="7" t="n">
        <x:v>753</x:v>
      </x:c>
      <x:c r="J10" s="7" t="n">
        <x:v>770</x:v>
      </x:c>
      <x:c r="K10" s="7" t="n">
        <x:v>784</x:v>
      </x:c>
      <x:c r="L10" s="81" t="n">
        <x:f>SUM('Monthly NII'!AF10:'Monthly NII'!AH10)</x:f>
        <x:v>695.2140990339379</x:v>
      </x:c>
      <x:c r="M10" s="81" t="n">
        <x:f>SUM('Monthly NII'!AI10:'Monthly NII'!AK10)</x:f>
        <x:v>663.6055490339379</x:v>
      </x:c>
      <x:c r="N10" s="81" t="n">
        <x:f>SUM('Monthly NII'!AL10:'Monthly NII'!AN10)</x:f>
        <x:v>631.996999033938</x:v>
      </x:c>
      <x:c r="O10" s="81" t="n">
        <x:f>SUM('Monthly NII'!AO10:'Monthly NII'!AQ10)</x:f>
        <x:v>600.388449033938</x:v>
      </x:c>
    </x:row>
    <x:row r="11" ht="15" hidden="0">
      <x:c r="A11" s="6" t="s">
        <x:v>18</x:v>
      </x:c>
      <x:c r="B11" s="7" t="n">
        <x:v>416</x:v>
      </x:c>
      <x:c r="C11" s="7" t="n">
        <x:v>470</x:v>
      </x:c>
      <x:c r="D11" s="7" t="n">
        <x:v>550</x:v>
      </x:c>
      <x:c r="E11" s="7" t="n">
        <x:v>542</x:v>
      </x:c>
      <x:c r="F11" s="7" t="n">
        <x:v>570</x:v>
      </x:c>
      <x:c r="G11" s="7" t="n">
        <x:v>587</x:v>
      </x:c>
      <x:c r="H11" s="7" t="n">
        <x:v>580</x:v>
      </x:c>
      <x:c r="I11" s="7" t="n">
        <x:v>530</x:v>
      </x:c>
      <x:c r="J11" s="7" t="n">
        <x:v>491</x:v>
      </x:c>
      <x:c r="K11" s="7" t="n">
        <x:v>595</x:v>
      </x:c>
      <x:c r="L11" s="81" t="n">
        <x:f>SUM('Monthly NII'!AF11:'Monthly NII'!AH11)</x:f>
        <x:v>687.2717262708135</x:v>
      </x:c>
      <x:c r="M11" s="81" t="n">
        <x:f>SUM('Monthly NII'!AI11:'Monthly NII'!AK11)</x:f>
        <x:v>676.0681826890568</x:v>
      </x:c>
      <x:c r="N11" s="81" t="n">
        <x:f>SUM('Monthly NII'!AL11:'Monthly NII'!AN11)</x:f>
        <x:v>664.8528366378722</x:v>
      </x:c>
      <x:c r="O11" s="81" t="n">
        <x:f>SUM('Monthly NII'!AO11:'Monthly NII'!AQ11)</x:f>
        <x:v>653.6256881172598</x:v>
      </x:c>
    </x:row>
    <x:row r="12" ht="15" hidden="0">
      <x:c r="A12" s="3" t="s">
        <x:v>19</x:v>
      </x:c>
      <x:c r="B12" s="8" t="n">
        <x:v>9754</x:v>
      </x:c>
      <x:c r="C12" s="8" t="n">
        <x:v>10166</x:v>
      </x:c>
      <x:c r="D12" s="8" t="n">
        <x:v>10873</x:v>
      </x:c>
      <x:c r="E12" s="8" t="n">
        <x:v>11145</x:v>
      </x:c>
      <x:c r="F12" s="8" t="n">
        <x:v>11177</x:v>
      </x:c>
      <x:c r="G12" s="8" t="n">
        <x:v>11280</x:v>
      </x:c>
      <x:c r="H12" s="8" t="n">
        <x:v>11860</x:v>
      </x:c>
      <x:c r="I12" s="8" t="n">
        <x:v>11717</x:v>
      </x:c>
      <x:c r="J12" s="8" t="n">
        <x:v>11418</x:v>
      </x:c>
      <x:c r="K12" s="8" t="n">
        <x:v>13828</x:v>
      </x:c>
      <x:c r="L12" s="82" t="n">
        <x:f>SUM('Monthly NII'!AF12:'Monthly NII'!AH12)</x:f>
        <x:v>15993.270080809982</x:v>
      </x:c>
      <x:c r="M12" s="82" t="n">
        <x:f>SUM('Monthly NII'!AI12:'Monthly NII'!AK12)</x:f>
        <x:v>15881.856113580572</x:v>
      </x:c>
      <x:c r="N12" s="82" t="n">
        <x:f>SUM('Monthly NII'!AL12:'Monthly NII'!AN12)</x:f>
        <x:v>15770.357423568288</x:v>
      </x:c>
      <x:c r="O12" s="82" t="n">
        <x:f>SUM('Monthly NII'!AO12:'Monthly NII'!AQ12)</x:f>
        <x:v>15658.774010773122</x:v>
      </x:c>
    </x:row>
    <x:row r="13">
      <x:c r="L13" s="65"/>
      <x:c r="M13" s="65"/>
      <x:c r="N13" s="65"/>
      <x:c r="O13" s="65"/>
    </x:row>
    <x:row r="14" ht="15" hidden="0">
      <x:c r="A14" s="5" t="s">
        <x:v>20</x:v>
      </x:c>
      <x:c r="L14" s="65"/>
      <x:c r="M14" s="65"/>
      <x:c r="N14" s="65"/>
      <x:c r="O14" s="65"/>
    </x:row>
    <x:row r="15" ht="15" hidden="0">
      <x:c r="A15" s="6" t="s">
        <x:v>21</x:v>
      </x:c>
      <x:c r="B15" s="7" t="n">
        <x:v>1856</x:v>
      </x:c>
      <x:c r="C15" s="7" t="n">
        <x:v>2277</x:v>
      </x:c>
      <x:c r="D15" s="7" t="n">
        <x:v>2611</x:v>
      </x:c>
      <x:c r="E15" s="7" t="n">
        <x:v>2745</x:v>
      </x:c>
      <x:c r="F15" s="7" t="n">
        <x:v>2812</x:v>
      </x:c>
      <x:c r="G15" s="7" t="n">
        <x:v>2874</x:v>
      </x:c>
      <x:c r="H15" s="7" t="n">
        <x:v>2945</x:v>
      </x:c>
      <x:c r="I15" s="7" t="n">
        <x:v>2862</x:v>
      </x:c>
      <x:c r="J15" s="7" t="n">
        <x:v>2715</x:v>
      </x:c>
      <x:c r="K15" s="7" t="n">
        <x:v>3120</x:v>
      </x:c>
      <x:c r="L15" s="81" t="n">
        <x:f>SUM('Monthly NII'!AF15:'Monthly NII'!AH15)</x:f>
        <x:v>3518.2770221713026</x:v>
      </x:c>
      <x:c r="M15" s="81" t="n">
        <x:f>SUM('Monthly NII'!AI15:'Monthly NII'!AK15)</x:f>
        <x:v>3458.3912027858055</x:v>
      </x:c>
      <x:c r="N15" s="81" t="n">
        <x:f>SUM('Monthly NII'!AL15:'Monthly NII'!AN15)</x:f>
        <x:v>3398.442377260172</x:v>
      </x:c>
      <x:c r="O15" s="81" t="n">
        <x:f>SUM('Monthly NII'!AO15:'Monthly NII'!AQ15)</x:f>
        <x:v>3338.4305455944013</x:v>
      </x:c>
    </x:row>
    <x:row r="16" ht="15" hidden="0">
      <x:c r="A16" s="6" t="s">
        <x:v>22</x:v>
      </x:c>
      <x:c r="B16" s="7" t="n">
        <x:v>211</x:v>
      </x:c>
      <x:c r="C16" s="7" t="n">
        <x:v>236</x:v>
      </x:c>
      <x:c r="D16" s="7" t="n">
        <x:v>249</x:v>
      </x:c>
      <x:c r="E16" s="7" t="n">
        <x:v>263</x:v>
      </x:c>
      <x:c r="F16" s="7" t="n">
        <x:v>261</x:v>
      </x:c>
      <x:c r="G16" s="7" t="n">
        <x:v>258</x:v>
      </x:c>
      <x:c r="H16" s="7" t="n">
        <x:v>234</x:v>
      </x:c>
      <x:c r="I16" s="7" t="n">
        <x:v>205</x:v>
      </x:c>
      <x:c r="J16" s="7" t="n">
        <x:v>176</x:v>
      </x:c>
      <x:c r="K16" s="7" t="n">
        <x:v>164</x:v>
      </x:c>
      <x:c r="L16" s="81" t="n">
        <x:f>SUM('Monthly NII'!AF16:'Monthly NII'!AH16)</x:f>
        <x:v>184.14867683146292</x:v>
      </x:c>
      <x:c r="M16" s="81" t="n">
        <x:f>SUM('Monthly NII'!AI16:'Monthly NII'!AK16)</x:f>
        <x:v>176.1725677271051</x:v>
      </x:c>
      <x:c r="N16" s="81" t="n">
        <x:f>SUM('Monthly NII'!AL16:'Monthly NII'!AN16)</x:f>
        <x:v>168.39352663283148</x:v>
      </x:c>
      <x:c r="O16" s="81" t="n">
        <x:f>SUM('Monthly NII'!AO16:'Monthly NII'!AQ16)</x:f>
        <x:v>160.80744777220366</x:v>
      </x:c>
    </x:row>
    <x:row r="17" ht="15" hidden="0">
      <x:c r="A17" s="6" t="s">
        <x:v>23</x:v>
      </x:c>
      <x:c r="B17" s="7" t="n">
        <x:v>489</x:v>
      </x:c>
      <x:c r="C17" s="7" t="n">
        <x:v>528</x:v>
      </x:c>
      <x:c r="D17" s="7" t="n">
        <x:v>579</x:v>
      </x:c>
      <x:c r="E17" s="7" t="n">
        <x:v>608</x:v>
      </x:c>
      <x:c r="F17" s="7" t="n">
        <x:v>606</x:v>
      </x:c>
      <x:c r="G17" s="7" t="n">
        <x:v>591</x:v>
      </x:c>
      <x:c r="H17" s="7" t="n">
        <x:v>596</x:v>
      </x:c>
      <x:c r="I17" s="7" t="n">
        <x:v>540</x:v>
      </x:c>
      <x:c r="J17" s="7" t="n">
        <x:v>505</x:v>
      </x:c>
      <x:c r="K17" s="7" t="n">
        <x:v>535</x:v>
      </x:c>
      <x:c r="L17" s="81" t="n">
        <x:f>SUM('Monthly NII'!AF17:'Monthly NII'!AH17)</x:f>
        <x:v>598.5179575798484</x:v>
      </x:c>
      <x:c r="M17" s="81" t="n">
        <x:f>SUM('Monthly NII'!AI17:'Monthly NII'!AK17)</x:f>
        <x:v>589.7309455150329</x:v>
      </x:c>
      <x:c r="N17" s="81" t="n">
        <x:f>SUM('Monthly NII'!AL17:'Monthly NII'!AN17)</x:f>
        <x:v>580.9439334502174</x:v>
      </x:c>
      <x:c r="O17" s="81" t="n">
        <x:f>SUM('Monthly NII'!AO17:'Monthly NII'!AQ17)</x:f>
        <x:v>572.156921385402</x:v>
      </x:c>
    </x:row>
    <x:row r="18" ht="15" hidden="0">
      <x:c r="A18" s="6" t="s">
        <x:v>24</x:v>
      </x:c>
      <x:c r="B18" s="7" t="n">
        <x:v>12</x:v>
      </x:c>
      <x:c r="C18" s="7" t="n">
        <x:v>12</x:v>
      </x:c>
      <x:c r="D18" s="7" t="n">
        <x:v>11</x:v>
      </x:c>
      <x:c r="E18" s="7" t="n">
        <x:v>10</x:v>
      </x:c>
      <x:c r="F18" s="7" t="n">
        <x:v>10</x:v>
      </x:c>
      <x:c r="G18" s="7" t="n">
        <x:v>11</x:v>
      </x:c>
      <x:c r="H18" s="7" t="n">
        <x:v>9</x:v>
      </x:c>
      <x:c r="I18" s="7" t="n">
        <x:v>12</x:v>
      </x:c>
      <x:c r="J18" s="7" t="n">
        <x:v>9</x:v>
      </x:c>
      <x:c r="K18" s="7" t="n">
        <x:v>14</x:v>
      </x:c>
      <x:c r="L18" s="81" t="n">
        <x:f>SUM('Monthly NII'!AF18:'Monthly NII'!AH18)</x:f>
        <x:v>5.026469965837919</x:v>
      </x:c>
      <x:c r="M18" s="81" t="n">
        <x:f>SUM('Monthly NII'!AI18:'Monthly NII'!AK18)</x:f>
        <x:v>4.782344965837914</x:v>
      </x:c>
      <x:c r="N18" s="81" t="n">
        <x:f>SUM('Monthly NII'!AL18:'Monthly NII'!AN18)</x:f>
        <x:v>4.538219965837912</x:v>
      </x:c>
      <x:c r="O18" s="81" t="n">
        <x:f>SUM('Monthly NII'!AO18:'Monthly NII'!AQ18)</x:f>
        <x:v>4.294094965837909</x:v>
      </x:c>
    </x:row>
    <x:row r="19" ht="15" hidden="0">
      <x:c r="A19" s="3" t="s">
        <x:v>25</x:v>
      </x:c>
      <x:c r="B19" s="8" t="n">
        <x:v>2568</x:v>
      </x:c>
      <x:c r="C19" s="8" t="n">
        <x:v>3053</x:v>
      </x:c>
      <x:c r="D19" s="8" t="n">
        <x:v>3450</x:v>
      </x:c>
      <x:c r="E19" s="8" t="n">
        <x:v>3626</x:v>
      </x:c>
      <x:c r="F19" s="8" t="n">
        <x:v>3689</x:v>
      </x:c>
      <x:c r="G19" s="8" t="n">
        <x:v>3734</x:v>
      </x:c>
      <x:c r="H19" s="8" t="n">
        <x:v>3784</x:v>
      </x:c>
      <x:c r="I19" s="8" t="n">
        <x:v>3619</x:v>
      </x:c>
      <x:c r="J19" s="8" t="n">
        <x:v>3405</x:v>
      </x:c>
      <x:c r="K19" s="8" t="n">
        <x:v>3833</x:v>
      </x:c>
      <x:c r="L19" s="82" t="n">
        <x:f>SUM('Monthly NII'!AF19:'Monthly NII'!AH19)</x:f>
        <x:v>4305.970126548452</x:v>
      </x:c>
      <x:c r="M19" s="82" t="n">
        <x:f>SUM('Monthly NII'!AI19:'Monthly NII'!AK19)</x:f>
        <x:v>4229.077060993781</x:v>
      </x:c>
      <x:c r="N19" s="82" t="n">
        <x:f>SUM('Monthly NII'!AL19:'Monthly NII'!AN19)</x:f>
        <x:v>4152.318057309059</x:v>
      </x:c>
      <x:c r="O19" s="82" t="n">
        <x:f>SUM('Monthly NII'!AO19:'Monthly NII'!AQ19)</x:f>
        <x:v>4075.6890097178457</x:v>
      </x:c>
    </x:row>
    <x:row r="20">
      <x:c r="L20" s="65"/>
      <x:c r="M20" s="65"/>
      <x:c r="N20" s="65"/>
      <x:c r="O20" s="65"/>
    </x:row>
    <x:row r="21" ht="15" hidden="0">
      <x:c r="A21" s="3" t="s">
        <x:v>31</x:v>
      </x:c>
      <x:c r="B21" s="8" t="n">
        <x:f aca="0">B12-B19</x:f>
        <x:v>7186</x:v>
      </x:c>
      <x:c r="C21" s="8" t="n">
        <x:f aca="0">C12-C19</x:f>
        <x:v>7113</x:v>
      </x:c>
      <x:c r="D21" s="8" t="n">
        <x:f aca="0">D12-D19</x:f>
        <x:v>7423</x:v>
      </x:c>
      <x:c r="E21" s="8" t="n">
        <x:f aca="0">E12-E19</x:f>
        <x:v>7519</x:v>
      </x:c>
      <x:c r="F21" s="8" t="n">
        <x:f aca="0">F12-F19</x:f>
        <x:v>7488</x:v>
      </x:c>
      <x:c r="G21" s="8" t="n">
        <x:f aca="0">G12-G19</x:f>
        <x:v>7546</x:v>
      </x:c>
      <x:c r="H21" s="8" t="n">
        <x:f aca="0">H12-H19</x:f>
        <x:v>8076</x:v>
      </x:c>
      <x:c r="I21" s="8" t="n">
        <x:f aca="0">I12-I19</x:f>
        <x:v>8098</x:v>
      </x:c>
      <x:c r="J21" s="8" t="n">
        <x:f aca="0">J12-J19</x:f>
        <x:v>8013</x:v>
      </x:c>
      <x:c r="K21" s="8" t="n">
        <x:f aca="0">K12-K19</x:f>
        <x:v>9995</x:v>
      </x:c>
      <x:c r="L21" s="82" t="n">
        <x:f aca="0">SUM('Monthly NII'!AF21:'Monthly NII'!AH21)</x:f>
        <x:v>11687.299954261529</x:v>
      </x:c>
      <x:c r="M21" s="82" t="n">
        <x:f aca="0">SUM('Monthly NII'!AI21:'Monthly NII'!AK21)</x:f>
        <x:v>11652.779052586791</x:v>
      </x:c>
      <x:c r="N21" s="82" t="n">
        <x:f aca="0">SUM('Monthly NII'!AL21:'Monthly NII'!AN21)</x:f>
        <x:v>11618.039366259229</x:v>
      </x:c>
      <x:c r="O21" s="82" t="n">
        <x:f aca="0">SUM('Monthly NII'!AO21:'Monthly NII'!AQ21)</x:f>
        <x:v>11583.085001055277</x:v>
      </x:c>
    </x:row>
    <x:row r="22">
      <x:c r="L22" s="65"/>
      <x:c r="M22" s="65"/>
      <x:c r="N22" s="65"/>
      <x:c r="O22" s="65"/>
    </x:row>
    <x:row r="23" ht="15" hidden="0">
      <x:c r="A23" s="5" t="s">
        <x:v>32</x:v>
      </x:c>
      <x:c r="L23" s="65"/>
      <x:c r="M23" s="65"/>
      <x:c r="N23" s="65"/>
      <x:c r="O23" s="65"/>
    </x:row>
    <x:row r="24" ht="15" hidden="0">
      <x:c r="A24" s="6" t="s">
        <x:v>33</x:v>
      </x:c>
      <x:c r="B24" s="13" t="n">
        <x:v>7186</x:v>
      </x:c>
      <x:c r="C24" s="13" t="n">
        <x:v>7113</x:v>
      </x:c>
      <x:c r="D24" s="13" t="n">
        <x:v>7423</x:v>
      </x:c>
      <x:c r="E24" s="13" t="n">
        <x:v>7519</x:v>
      </x:c>
      <x:c r="F24" s="13" t="n">
        <x:v>7488</x:v>
      </x:c>
      <x:c r="G24" s="13" t="n">
        <x:v>7546</x:v>
      </x:c>
      <x:c r="H24" s="13" t="n">
        <x:v>8076</x:v>
      </x:c>
      <x:c r="I24" s="13" t="n">
        <x:v>8098</x:v>
      </x:c>
      <x:c r="J24" s="13" t="n">
        <x:v>8013</x:v>
      </x:c>
      <x:c r="K24" s="13" t="n">
        <x:v>9995</x:v>
      </x:c>
      <x:c r="L24" s="81"/>
      <x:c r="M24" s="81"/>
      <x:c r="N24" s="81"/>
      <x:c r="O24" s="81"/>
    </x:row>
    <x:row r="25" ht="15" hidden="0">
      <x:c r="A25" s="3" t="s">
        <x:v>34</x:v>
      </x:c>
      <x:c r="B25" s="14" t="n">
        <x:f aca="0">IF(B24="","",B21-B24)</x:f>
        <x:v>0</x:v>
      </x:c>
      <x:c r="C25" s="14" t="n">
        <x:f aca="0">IF(C24="","",C21-C24)</x:f>
        <x:v>0</x:v>
      </x:c>
      <x:c r="D25" s="14" t="n">
        <x:f aca="0">IF(D24="","",D21-D24)</x:f>
        <x:v>0</x:v>
      </x:c>
      <x:c r="E25" s="14" t="n">
        <x:f aca="0">IF(E24="","",E21-E24)</x:f>
        <x:v>0</x:v>
      </x:c>
      <x:c r="F25" s="14" t="n">
        <x:f aca="0">IF(F24="","",F21-F24)</x:f>
        <x:v>0</x:v>
      </x:c>
      <x:c r="G25" s="14" t="n">
        <x:f aca="0">IF(G24="","",G21-G24)</x:f>
        <x:v>0</x:v>
      </x:c>
      <x:c r="H25" s="14" t="n">
        <x:f aca="0">IF(H24="","",H21-H24)</x:f>
        <x:v>0</x:v>
      </x:c>
      <x:c r="I25" s="14" t="n">
        <x:f aca="0">IF(I24="","",I21-I24)</x:f>
        <x:v>0</x:v>
      </x:c>
      <x:c r="J25" s="14" t="n">
        <x:f aca="0">IF(J24="","",J21-J24)</x:f>
        <x:v>0</x:v>
      </x:c>
      <x:c r="K25" s="14" t="n">
        <x:f aca="0">IF(K24="","",K21-K24)</x:f>
        <x:v>0</x:v>
      </x:c>
      <x:c r="L25" s="92">
        <x:f aca="0"/>
      </x:c>
      <x:c r="M25" s="92">
        <x:f aca="0"/>
      </x:c>
      <x:c r="N25" s="92">
        <x:f aca="0"/>
      </x:c>
      <x:c r="O25" s="92">
        <x:f aca="0"/>
      </x:c>
    </x:row>
    <x:row r="27" ht="15" hidden="0">
      <x:c r="A27" s="15" t="s">
        <x:v>35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08" hidden="0" customWidth="1"/>
  </x:cols>
  <x:sheetData>
    <x:row r="1" ht="15" hidden="0">
      <x:c r="A1" s="16" t="s">
        <x:v>36</x:v>
      </x:c>
    </x:row>
    <x:row r="2" ht="15" hidden="0">
      <x:c r="A2" s="17"/>
    </x:row>
    <x:row r="3" ht="15" hidden="0">
      <x:c r="A3" s="18" t="s">
        <x:v>37</x:v>
      </x:c>
    </x:row>
    <x:row r="4" ht="23.850000381469727" hidden="0">
      <x:c r="A4" s="19" t="s">
        <x:v>38</x:v>
      </x:c>
    </x:row>
    <x:row r="5" ht="15" hidden="0">
      <x:c r="A5" s="17"/>
    </x:row>
    <x:row r="6" ht="15" hidden="0">
      <x:c r="A6" s="18" t="s">
        <x:v>39</x:v>
      </x:c>
    </x:row>
    <x:row r="7" ht="15" hidden="0">
      <x:c r="A7" s="19" t="s">
        <x:v>40</x:v>
      </x:c>
    </x:row>
    <x:row r="8" ht="15" hidden="0">
      <x:c r="A8" s="19" t="s">
        <x:v>41</x:v>
      </x:c>
    </x:row>
    <x:row r="9" ht="15" hidden="0">
      <x:c r="A9" s="19" t="s">
        <x:v>42</x:v>
      </x:c>
    </x:row>
    <x:row r="10" ht="15" hidden="0">
      <x:c r="A10" s="17"/>
    </x:row>
    <x:row r="11" ht="15" hidden="0">
      <x:c r="A11" s="18" t="s">
        <x:v>43</x:v>
      </x:c>
    </x:row>
    <x:row r="12" ht="23.850000381469727" hidden="0">
      <x:c r="A12" s="19" t="s">
        <x:v>44</x:v>
      </x:c>
    </x:row>
    <x:row r="13" ht="15" hidden="0">
      <x:c r="A13" s="17"/>
    </x:row>
    <x:row r="14" ht="15" hidden="0">
      <x:c r="A14" s="18" t="s">
        <x:v>45</x:v>
      </x:c>
    </x:row>
    <x:row r="15" ht="23.850000381469727" hidden="0">
      <x:c r="A15" s="19" t="s">
        <x:v>46</x:v>
      </x:c>
    </x:row>
    <x:row r="16" ht="23.850000381469727" hidden="0">
      <x:c r="A16" s="19" t="s">
        <x:v>47</x:v>
      </x:c>
    </x:row>
    <x:row r="17" ht="23.850000381469727" hidden="0">
      <x:c r="A17" s="19" t="s">
        <x:v>48</x:v>
      </x:c>
    </x:row>
    <x:row r="18" ht="15" hidden="0">
      <x:c r="A18" s="17"/>
    </x:row>
    <x:row r="19" ht="15" hidden="0">
      <x:c r="A19" s="18" t="s">
        <x:v>49</x:v>
      </x:c>
    </x:row>
    <x:row r="20" ht="23.850000381469727" hidden="0">
      <x:c r="A20" s="19" t="s">
        <x:v>50</x:v>
      </x:c>
    </x:row>
    <x:row r="21" ht="15" hidden="0">
      <x:c r="A21" s="17"/>
    </x:row>
    <x:row r="22" ht="15" hidden="0">
      <x:c r="A22" s="18" t="s">
        <x:v>51</x:v>
      </x:c>
    </x:row>
    <x:row r="23" ht="15" hidden="0">
      <x:c r="A23" s="19" t="s">
        <x:v>52</x:v>
      </x:c>
    </x:row>
    <x:row r="25">
      <x:c r="A25" s="25" t="str">
        <x:v>CONTROLLED MONTHLY IMPUTATION</x:v>
      </x:c>
    </x:row>
    <x:row r="26">
      <x:c r="A26" s="57" t="str">
        <x:v>Quarter-End Anchors contains reported filing controls from anchors.csv. Blank anchors mean no comparable control was available.</x:v>
      </x:c>
    </x:row>
    <x:row r="27">
      <x:c r="A27" s="57" t="str">
        <x:v>Total loans incl. HFS uses gross HFI loans as the closest balance-sheet control. Credit card, consumer banking, and commercial banking are allocated using their quarterly average-balance mix.</x:v>
      </x:c>
    </x:row>
    <x:row r="28">
      <x:c r="A28" s="57" t="str">
        <x:v>Investment securities uses AFS plus HTM securities. Cash equivalents and other uses reported cash and cash equivalents as the closest control.</x:v>
      </x:c>
    </x:row>
    <x:row r="29">
      <x:c r="A29" s="57" t="str">
        <x:v>Securitized debt and senior/subordinated notes divide reported long-term debt using their quarterly average-balance mix. Other borrowings uses short-term plus other borrowings.</x:v>
      </x:c>
    </x:row>
    <x:row r="30">
      <x:c r="A30" s="57" t="str">
        <x:v>Reported quarter-end controls are fixed. Month 1 and month 2 are adjusted around a straight-line path so the four-point quarterly average equals the disclosed quarterly average balance.</x:v>
      </x:c>
    </x:row>
    <x:row r="31">
      <x:c r="A31" s="57" t="str">
        <x:v>Monthly Avg Balance is the two-point average of prior and current month-end balances.</x:v>
      </x:c>
    </x:row>
    <x:row r="32">
      <x:c r="A32" s="57" t="str">
        <x:v>Monthly NII begins with disclosed quarterly rates and allocates any residual needed to match reported quarterly income in proportion to monthly average balance.</x:v>
      </x:c>
    </x:row>
    <x:row r="33">
      <x:c r="A33" s="57" t="str">
        <x:v>Monthly Rate is recalculated from monthly NII and monthly average balance. Disclosed-rate differences are shown in basis points on Monthly Checks.</x:v>
      </x:c>
    </x:row>
    <x:row r="34">
      <x:c r="A34" s="57" t="str">
        <x:v>Monthly Checks verifies quarter-end anchors, four-point averages, and quarterly NII totals.</x:v>
      </x:c>
    </x:row>
    <x:row r="36">
      <x:c r="A36" s="25" t="str">
        <x:v>MACRO-DRIVEN FORECAST</x:v>
      </x:c>
    </x:row>
    <x:row r="37">
      <x:c r="A37" s="57" t="str">
        <x:v>Actuals end June 2025. Forecast period is July 2025 through June 2026.</x:v>
      </x:c>
    </x:row>
    <x:row r="38">
      <x:c r="A38" s="57" t="str">
        <x:v>Credit card balances follow payroll growth adjusted for the employment-rate ratio. Consumer banking follows the adjusted Case-Shiller index. Commercial banking and interest-bearing deposits follow payroll growth.</x:v>
      </x:c>
    </x:row>
    <x:row r="39">
      <x:c r="A39" s="57" t="str">
        <x:v>Investment securities, senior notes and other borrowings remain flat. Cash holds its June 2025 share of deposits. Securitized debt runs off 0.5% per month; this is the only editable forecast assumption.</x:v>
      </x:c>
    </x:row>
    <x:row r="40">
      <x:c r="A40" s="57" t="str">
        <x:v>Forecast yields use the provided macro benchmark path plus June 2025 product spreads. Deposit cost retains the June 2025 beta to Fed funds.</x:v>
      </x:c>
    </x:row>
    <x:row r="41">
      <x:c r="A41" s="57" t="str">
        <x:v>Quarterly average balances use the established four-point convention. Quarterly NII sums monthly NII, and quarterly rates are recomputed from quarterly NII and average balance.</x:v>
      </x:c>
    </x:row>
    <x:row r="42">
      <x:c r="A42" s="57" t="str">
        <x:v>Macro inputs and calibration values are shown on Forecast Drivers.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RowHeight="15"/>
  <x:cols>
    <x:col min="1" max="1" width="4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28" t="str">
        <x:v>Quarter-End Balance Anchors ($mm)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</x:row>
    <x:row r="2" ht="31" customHeight="1">
      <x:c r="A2" s="30" t="str">
        <x:v>Reported balance-sheet controls through Jun-25. Forecast quarter ends thereafter link to the monthly balance forecast; filing source controls are intentionally blank.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</x:row>
    <x:row r="4">
      <x:c r="A4" s="26" t="str">
        <x:v>Line item / source control</x:v>
      </x:c>
      <x:c r="B4" s="31" t="n">
        <x:v>44926</x:v>
      </x:c>
      <x:c r="C4" s="31" t="n">
        <x:v>45016</x:v>
      </x:c>
      <x:c r="D4" s="31" t="n">
        <x:v>45107</x:v>
      </x:c>
      <x:c r="E4" s="31" t="n">
        <x:v>45199</x:v>
      </x:c>
      <x:c r="F4" s="31" t="n">
        <x:v>45291</x:v>
      </x:c>
      <x:c r="G4" s="31" t="n">
        <x:v>45382</x:v>
      </x:c>
      <x:c r="H4" s="31" t="n">
        <x:v>45473</x:v>
      </x:c>
      <x:c r="I4" s="31" t="n">
        <x:v>45565</x:v>
      </x:c>
      <x:c r="J4" s="31" t="n">
        <x:v>45657</x:v>
      </x:c>
      <x:c r="K4" s="31" t="n">
        <x:v>45747</x:v>
      </x:c>
      <x:c r="L4" s="31" t="n">
        <x:v>45838</x:v>
      </x:c>
      <x:c r="M4" s="93" t="n">
        <x:v>45930</x:v>
      </x:c>
      <x:c r="N4" s="93" t="n">
        <x:v>46022</x:v>
      </x:c>
      <x:c r="O4" s="93" t="n">
        <x:v>46112</x:v>
      </x:c>
      <x:c r="P4" s="93" t="n">
        <x:v>46203</x:v>
      </x:c>
    </x:row>
    <x:row r="5">
      <x:c r="A5" s="32" t="str">
        <x:v>INTEREST-EARNING ASSETS</x:v>
      </x:c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</x:row>
    <x:row r="6">
      <x:c r="A6" s="20" t="str">
        <x:v>  Credit card</x:v>
      </x:c>
      <x:c r="B6" s="38"/>
      <x:c r="C6" s="38" t="str">
        <x:f>IF(ISNUMBER(C9),C9*Balance!B6/Balance!B9,"")</x:f>
      </x:c>
      <x:c r="D6" s="38" t="str">
        <x:f>IF(ISNUMBER(D9),D9*Balance!C6/Balance!C9,"")</x:f>
      </x:c>
      <x:c r="E6" s="38" t="str">
        <x:f>IF(ISNUMBER(E9),E9*Balance!D6/Balance!D9,"")</x:f>
      </x:c>
      <x:c r="F6" s="38" t="n">
        <x:f>IF(ISNUMBER(F9),F9*Balance!E6/Balance!E9,"")</x:f>
        <x:v>150877.96787709056</x:v>
      </x:c>
      <x:c r="G6" s="38" t="n">
        <x:f>IF(ISNUMBER(G9),G9*Balance!F6/Balance!F9,"")</x:f>
        <x:v>149854.52206374003</x:v>
      </x:c>
      <x:c r="H6" s="38" t="n">
        <x:f>IF(ISNUMBER(H9),H9*Balance!G6/Balance!G9,"")</x:f>
        <x:v>151994.7852942946</x:v>
      </x:c>
      <x:c r="I6" s="38" t="n">
        <x:f>IF(ISNUMBER(I9),I9*Balance!H6/Balance!H9,"")</x:f>
        <x:v>154899.08187565694</x:v>
      </x:c>
      <x:c r="J6" s="38" t="n">
        <x:f>IF(ISNUMBER(J9),J9*Balance!I6/Balance!I9,"")</x:f>
        <x:v>160051.4921042751</x:v>
      </x:c>
      <x:c r="K6" s="38" t="n">
        <x:f>IF(ISNUMBER(K9),K9*Balance!J6/Balance!J9,"")</x:f>
        <x:v>156808.26089004002</x:v>
      </x:c>
      <x:c r="L6" s="38" t="n">
        <x:f>IF(ISNUMBER(L9),L9*Balance!K6/Balance!K9,"")</x:f>
        <x:v>243351.39186129757</x:v>
      </x:c>
      <x:c r="M6" s="94" t="n">
        <x:f>'Monthly EOP Balance'!AI6</x:f>
        <x:v>243475.7716663226</x:v>
      </x:c>
      <x:c r="N6" s="94" t="n">
        <x:f>'Monthly EOP Balance'!AL6</x:f>
        <x:v>243600.1514713477</x:v>
      </x:c>
      <x:c r="O6" s="94" t="n">
        <x:f>'Monthly EOP Balance'!AO6</x:f>
        <x:v>243724.53127637276</x:v>
      </x:c>
      <x:c r="P6" s="94" t="n">
        <x:f>'Monthly EOP Balance'!AR6</x:f>
        <x:v>243848.91108139785</x:v>
      </x:c>
    </x:row>
    <x:row r="7">
      <x:c r="A7" s="20" t="str">
        <x:v>  Consumer banking</x:v>
      </x:c>
      <x:c r="B7" s="38"/>
      <x:c r="C7" s="38" t="str">
        <x:f>IF(ISNUMBER(C9),C9*Balance!B7/Balance!B9,"")</x:f>
      </x:c>
      <x:c r="D7" s="38" t="str">
        <x:f>IF(ISNUMBER(D9),D9*Balance!C7/Balance!C9,"")</x:f>
      </x:c>
      <x:c r="E7" s="38" t="str">
        <x:f>IF(ISNUMBER(E9),E9*Balance!D7/Balance!D9,"")</x:f>
      </x:c>
      <x:c r="F7" s="38" t="n">
        <x:f>IF(ISNUMBER(F9),F9*Balance!E7/Balance!E9,"")</x:f>
        <x:v>77126.73844803471</x:v>
      </x:c>
      <x:c r="G7" s="38" t="n">
        <x:f>IF(ISNUMBER(G9),G9*Balance!F7/Balance!F9,"")</x:f>
        <x:v>74993.67484147381</x:v>
      </x:c>
      <x:c r="H7" s="38" t="n">
        <x:f>IF(ISNUMBER(H9),H9*Balance!G7/Balance!G9,"")</x:f>
        <x:v>75950.04099131476</x:v>
      </x:c>
      <x:c r="I7" s="38" t="n">
        <x:f>IF(ISNUMBER(I9),I9*Balance!H7/Balance!H9,"")</x:f>
        <x:v>76547.23569960623</x:v>
      </x:c>
      <x:c r="J7" s="38" t="n">
        <x:f>IF(ISNUMBER(J9),J9*Balance!I7/Balance!I9,"")</x:f>
        <x:v>78551.96229477166</x:v>
      </x:c>
      <x:c r="K7" s="38" t="n">
        <x:f>IF(ISNUMBER(K9),K9*Balance!J7/Balance!J9,"")</x:f>
        <x:v>78680.83675163893</x:v>
      </x:c>
      <x:c r="L7" s="38" t="n">
        <x:f>IF(ISNUMBER(L9),L9*Balance!K7/Balance!K9,"")</x:f>
        <x:v>92951.2655698122</x:v>
      </x:c>
      <x:c r="M7" s="94" t="n">
        <x:f>'Monthly EOP Balance'!AI7</x:f>
        <x:v>92901.8069271086</x:v>
      </x:c>
      <x:c r="N7" s="94" t="n">
        <x:f>'Monthly EOP Balance'!AL7</x:f>
        <x:v>92852.348284405</x:v>
      </x:c>
      <x:c r="O7" s="94" t="n">
        <x:f>'Monthly EOP Balance'!AO7</x:f>
        <x:v>92802.88964170142</x:v>
      </x:c>
      <x:c r="P7" s="94" t="n">
        <x:f>'Monthly EOP Balance'!AR7</x:f>
        <x:v>92753.4309989978</x:v>
      </x:c>
    </x:row>
    <x:row r="8">
      <x:c r="A8" s="20" t="str">
        <x:v>  Commercial banking</x:v>
      </x:c>
      <x:c r="B8" s="38"/>
      <x:c r="C8" s="38" t="str">
        <x:f>IF(ISNUMBER(C9),C9*Balance!B8/Balance!B9,"")</x:f>
      </x:c>
      <x:c r="D8" s="38" t="str">
        <x:f>IF(ISNUMBER(D9),D9*Balance!C8/Balance!C9,"")</x:f>
      </x:c>
      <x:c r="E8" s="38" t="str">
        <x:f>IF(ISNUMBER(E9),E9*Balance!D8/Balance!D9,"")</x:f>
      </x:c>
      <x:c r="F8" s="38" t="n">
        <x:f>IF(ISNUMBER(F9),F9*Balance!E8/Balance!E9,"")</x:f>
        <x:v>92467.29367487473</x:v>
      </x:c>
      <x:c r="G8" s="38" t="n">
        <x:f>IF(ISNUMBER(G9),G9*Balance!F8/Balance!F9,"")</x:f>
        <x:v>90305.80309478614</x:v>
      </x:c>
      <x:c r="H8" s="38" t="n">
        <x:f>IF(ISNUMBER(H9),H9*Balance!G8/Balance!G9,"")</x:f>
        <x:v>90241.17371439065</x:v>
      </x:c>
      <x:c r="I8" s="38" t="n">
        <x:f>IF(ISNUMBER(I9),I9*Balance!H8/Balance!H9,"")</x:f>
        <x:v>88796.68242473683</x:v>
      </x:c>
      <x:c r="J8" s="38" t="n">
        <x:f>IF(ISNUMBER(J9),J9*Balance!I8/Balance!I9,"")</x:f>
        <x:v>89171.54560095326</x:v>
      </x:c>
      <x:c r="K8" s="38" t="n">
        <x:f>IF(ISNUMBER(K9),K9*Balance!J8/Balance!J9,"")</x:f>
        <x:v>88108.90235832105</x:v>
      </x:c>
      <x:c r="L8" s="38" t="n">
        <x:f>IF(ISNUMBER(L9),L9*Balance!K8/Balance!K9,"")</x:f>
        <x:v>102994.34256889022</x:v>
      </x:c>
      <x:c r="M8" s="94" t="n">
        <x:f>'Monthly EOP Balance'!AI8</x:f>
        <x:v>103046.98420841164</x:v>
      </x:c>
      <x:c r="N8" s="94" t="n">
        <x:f>'Monthly EOP Balance'!AL8</x:f>
        <x:v>103099.62584793309</x:v>
      </x:c>
      <x:c r="O8" s="94" t="n">
        <x:f>'Monthly EOP Balance'!AO8</x:f>
        <x:v>103152.26748745453</x:v>
      </x:c>
      <x:c r="P8" s="94" t="n">
        <x:f>'Monthly EOP Balance'!AR8</x:f>
        <x:v>103204.90912697598</x:v>
      </x:c>
    </x:row>
    <x:row r="9">
      <x:c r="A9" s="26" t="str">
        <x:v>  Total loans (incl. HFS)</x:v>
      </x:c>
      <x:c r="B9" s="35" t="str">
        <x:f>IF(ISNUMBER(B24),B24,"")</x:f>
      </x:c>
      <x:c r="C9" s="35" t="str">
        <x:f>IF(ISNUMBER(C24),C24,"")</x:f>
      </x:c>
      <x:c r="D9" s="35" t="str">
        <x:f>IF(ISNUMBER(D24),D24,"")</x:f>
      </x:c>
      <x:c r="E9" s="35" t="str">
        <x:f>IF(ISNUMBER(E24),E24,"")</x:f>
      </x:c>
      <x:c r="F9" s="35" t="n">
        <x:f>IF(ISNUMBER(F24),F24,"")</x:f>
        <x:v>320472</x:v>
      </x:c>
      <x:c r="G9" s="35" t="n">
        <x:f>IF(ISNUMBER(G24),G24,"")</x:f>
        <x:v>315154</x:v>
      </x:c>
      <x:c r="H9" s="35" t="n">
        <x:f>IF(ISNUMBER(H24),H24,"")</x:f>
        <x:v>318186</x:v>
      </x:c>
      <x:c r="I9" s="35" t="n">
        <x:f>IF(ISNUMBER(I24),I24,"")</x:f>
        <x:v>320243</x:v>
      </x:c>
      <x:c r="J9" s="35" t="n">
        <x:f>IF(ISNUMBER(J24),J24,"")</x:f>
        <x:v>327775</x:v>
      </x:c>
      <x:c r="K9" s="35" t="n">
        <x:f>IF(ISNUMBER(K24),K24,"")</x:f>
        <x:v>323598</x:v>
      </x:c>
      <x:c r="L9" s="35" t="n">
        <x:f>IF(ISNUMBER(L24),L24,"")</x:f>
        <x:v>439297</x:v>
      </x:c>
      <x:c r="M9" s="99" t="n">
        <x:f>'Monthly EOP Balance'!AI9</x:f>
        <x:v>439424.56280184287</x:v>
      </x:c>
      <x:c r="N9" s="99" t="n">
        <x:f>'Monthly EOP Balance'!AL9</x:f>
        <x:v>439552.12560368574</x:v>
      </x:c>
      <x:c r="O9" s="99" t="n">
        <x:f>'Monthly EOP Balance'!AO9</x:f>
        <x:v>439679.6884055287</x:v>
      </x:c>
      <x:c r="P9" s="99" t="n">
        <x:f>'Monthly EOP Balance'!AR9</x:f>
        <x:v>439807.25120737165</x:v>
      </x:c>
    </x:row>
    <x:row r="10">
      <x:c r="A10" s="20" t="str">
        <x:v>  Investment securities</x:v>
      </x:c>
      <x:c r="B10" s="38" t="str">
        <x:f>IF(COUNT(B25:B26)=0,"",SUM(B25:B26))</x:f>
      </x:c>
      <x:c r="C10" s="38" t="str">
        <x:f>IF(COUNT(C25:C26)=0,"",SUM(C25:C26))</x:f>
      </x:c>
      <x:c r="D10" s="38" t="str">
        <x:f>IF(COUNT(D25:D26)=0,"",SUM(D25:D26))</x:f>
      </x:c>
      <x:c r="E10" s="38" t="str">
        <x:f>IF(COUNT(E25:E26)=0,"",SUM(E25:E26))</x:f>
      </x:c>
      <x:c r="F10" s="38" t="n">
        <x:f>IF(COUNT(F25:F26)=0,"",SUM(F25:F26))</x:f>
        <x:v>79117</x:v>
      </x:c>
      <x:c r="G10" s="38" t="n">
        <x:f>IF(COUNT(G25:G26)=0,"",SUM(G25:G26))</x:f>
        <x:v>78398</x:v>
      </x:c>
      <x:c r="H10" s="38" t="n">
        <x:f>IF(COUNT(H25:H26)=0,"",SUM(H25:H26))</x:f>
        <x:v>79250</x:v>
      </x:c>
      <x:c r="I10" s="38" t="n">
        <x:f>IF(COUNT(I25:I26)=0,"",SUM(I25:I26))</x:f>
        <x:v>83500</x:v>
      </x:c>
      <x:c r="J10" s="38" t="n">
        <x:f>IF(COUNT(J25:J26)=0,"",SUM(J25:J26))</x:f>
        <x:v>83013</x:v>
      </x:c>
      <x:c r="K10" s="38" t="n">
        <x:f>IF(COUNT(K25:K26)=0,"",SUM(K25:K26))</x:f>
        <x:v>84362</x:v>
      </x:c>
      <x:c r="L10" s="38" t="n">
        <x:f>IF(COUNT(L25:L26)=0,"",SUM(L25:L26))</x:f>
        <x:v>87196</x:v>
      </x:c>
      <x:c r="M10" s="94" t="n">
        <x:f>'Monthly EOP Balance'!AI10</x:f>
        <x:v>87196</x:v>
      </x:c>
      <x:c r="N10" s="94" t="n">
        <x:f>'Monthly EOP Balance'!AL10</x:f>
        <x:v>87196</x:v>
      </x:c>
      <x:c r="O10" s="94" t="n">
        <x:f>'Monthly EOP Balance'!AO10</x:f>
        <x:v>87196</x:v>
      </x:c>
      <x:c r="P10" s="94" t="n">
        <x:f>'Monthly EOP Balance'!AR10</x:f>
        <x:v>87196</x:v>
      </x:c>
    </x:row>
    <x:row r="11">
      <x:c r="A11" s="20" t="str">
        <x:v>  Cash equivalents and other</x:v>
      </x:c>
      <x:c r="B11" s="38" t="n">
        <x:f>IF(ISNUMBER(B27),B27,"")</x:f>
        <x:v>31256</x:v>
      </x:c>
      <x:c r="C11" s="38" t="n">
        <x:f>IF(ISNUMBER(C27),C27,"")</x:f>
        <x:v>46973</x:v>
      </x:c>
      <x:c r="D11" s="38" t="n">
        <x:f>IF(ISNUMBER(D27),D27,"")</x:f>
        <x:v>42048</x:v>
      </x:c>
      <x:c r="E11" s="38" t="n">
        <x:f>IF(ISNUMBER(E27),E27,"")</x:f>
        <x:v>45304</x:v>
      </x:c>
      <x:c r="F11" s="38" t="n">
        <x:f>IF(ISNUMBER(F27),F27,"")</x:f>
        <x:v>43755</x:v>
      </x:c>
      <x:c r="G11" s="38" t="n">
        <x:f>IF(ISNUMBER(G27),G27,"")</x:f>
        <x:v>51502</x:v>
      </x:c>
      <x:c r="H11" s="38" t="n">
        <x:f>IF(ISNUMBER(H27),H27,"")</x:f>
        <x:v>47829</x:v>
      </x:c>
      <x:c r="I11" s="38" t="n">
        <x:f>IF(ISNUMBER(I27),I27,"")</x:f>
        <x:v>49719</x:v>
      </x:c>
      <x:c r="J11" s="38" t="n">
        <x:f>IF(ISNUMBER(J27),J27,"")</x:f>
        <x:v>43671</x:v>
      </x:c>
      <x:c r="K11" s="38" t="n">
        <x:f>IF(ISNUMBER(K27),K27,"")</x:f>
        <x:v>48965</x:v>
      </x:c>
      <x:c r="L11" s="38" t="n">
        <x:f>IF(ISNUMBER(L27),L27,"")</x:f>
        <x:v>61578</x:v>
      </x:c>
      <x:c r="M11" s="94" t="n">
        <x:f>'Monthly EOP Balance'!AI11</x:f>
        <x:v>61609.473251807816</x:v>
      </x:c>
      <x:c r="N11" s="94" t="n">
        <x:f>'Monthly EOP Balance'!AL11</x:f>
        <x:v>61640.94650361563</x:v>
      </x:c>
      <x:c r="O11" s="94" t="n">
        <x:f>'Monthly EOP Balance'!AO11</x:f>
        <x:v>61672.419755423456</x:v>
      </x:c>
      <x:c r="P11" s="94" t="n">
        <x:f>'Monthly EOP Balance'!AR11</x:f>
        <x:v>61703.89300723129</x:v>
      </x:c>
    </x:row>
    <x:row r="12">
      <x:c r="A12" s="26" t="str">
        <x:v>  Total interest-earning assets</x:v>
      </x:c>
      <x:c r="B12" s="35" t="str">
        <x:f>IF(COUNT(B9:B11)&lt;3,"",SUM(B9:B11))</x:f>
      </x:c>
      <x:c r="C12" s="35" t="str">
        <x:f>IF(COUNT(C9:C11)&lt;3,"",SUM(C9:C11))</x:f>
      </x:c>
      <x:c r="D12" s="35" t="str">
        <x:f>IF(COUNT(D9:D11)&lt;3,"",SUM(D9:D11))</x:f>
      </x:c>
      <x:c r="E12" s="35" t="str">
        <x:f>IF(COUNT(E9:E11)&lt;3,"",SUM(E9:E11))</x:f>
      </x:c>
      <x:c r="F12" s="35" t="n">
        <x:f>IF(COUNT(F9:F11)&lt;3,"",SUM(F9:F11))</x:f>
        <x:v>443344</x:v>
      </x:c>
      <x:c r="G12" s="35" t="n">
        <x:f>IF(COUNT(G9:G11)&lt;3,"",SUM(G9:G11))</x:f>
        <x:v>445054</x:v>
      </x:c>
      <x:c r="H12" s="35" t="n">
        <x:f>IF(COUNT(H9:H11)&lt;3,"",SUM(H9:H11))</x:f>
        <x:v>445265</x:v>
      </x:c>
      <x:c r="I12" s="35" t="n">
        <x:f>IF(COUNT(I9:I11)&lt;3,"",SUM(I9:I11))</x:f>
        <x:v>453462</x:v>
      </x:c>
      <x:c r="J12" s="35" t="n">
        <x:f>IF(COUNT(J9:J11)&lt;3,"",SUM(J9:J11))</x:f>
        <x:v>454459</x:v>
      </x:c>
      <x:c r="K12" s="35" t="n">
        <x:f>IF(COUNT(K9:K11)&lt;3,"",SUM(K9:K11))</x:f>
        <x:v>456925</x:v>
      </x:c>
      <x:c r="L12" s="35" t="n">
        <x:f>IF(COUNT(L9:L11)&lt;3,"",SUM(L9:L11))</x:f>
        <x:v>588071</x:v>
      </x:c>
      <x:c r="M12" s="99" t="n">
        <x:f>'Monthly EOP Balance'!AI12</x:f>
        <x:v>588230.0360536507</x:v>
      </x:c>
      <x:c r="N12" s="99" t="n">
        <x:f>'Monthly EOP Balance'!AL12</x:f>
        <x:v>588389.0721073013</x:v>
      </x:c>
      <x:c r="O12" s="99" t="n">
        <x:f>'Monthly EOP Balance'!AO12</x:f>
        <x:v>588548.1081609521</x:v>
      </x:c>
      <x:c r="P12" s="99" t="n">
        <x:f>'Monthly EOP Balance'!AR12</x:f>
        <x:v>588707.144214603</x:v>
      </x:c>
    </x:row>
    <x:row r="13">
      <x:c r="A13" s="20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94"/>
      <x:c r="N13" s="94"/>
      <x:c r="O13" s="94"/>
      <x:c r="P13" s="94"/>
    </x:row>
    <x:row r="14">
      <x:c r="A14" s="32" t="str">
        <x:v>INTEREST-BEARING LIABILITIES</x:v>
      </x:c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96"/>
      <x:c r="N14" s="96"/>
      <x:c r="O14" s="96"/>
      <x:c r="P14" s="96"/>
    </x:row>
    <x:row r="15">
      <x:c r="A15" s="20" t="str">
        <x:v>  Interest-bearing deposits</x:v>
      </x:c>
      <x:c r="B15" s="38" t="str">
        <x:f>IF(ISNUMBER(B28),B28,"")</x:f>
      </x:c>
      <x:c r="C15" s="38" t="str">
        <x:f>IF(ISNUMBER(C28),C28,"")</x:f>
      </x:c>
      <x:c r="D15" s="38" t="str">
        <x:f>IF(ISNUMBER(D28),D28,"")</x:f>
      </x:c>
      <x:c r="E15" s="38" t="str">
        <x:f>IF(ISNUMBER(E28),E28,"")</x:f>
      </x:c>
      <x:c r="F15" s="38" t="n">
        <x:f>IF(ISNUMBER(F28),F28,"")</x:f>
        <x:v>320389</x:v>
      </x:c>
      <x:c r="G15" s="38" t="n">
        <x:f>IF(ISNUMBER(G28),G28,"")</x:f>
        <x:v>323352</x:v>
      </x:c>
      <x:c r="H15" s="38" t="n">
        <x:f>IF(ISNUMBER(H28),H28,"")</x:f>
        <x:v>324437</x:v>
      </x:c>
      <x:c r="I15" s="38" t="n">
        <x:f>IF(ISNUMBER(I28),I28,"")</x:f>
        <x:v>327253</x:v>
      </x:c>
      <x:c r="J15" s="38" t="n">
        <x:f>IF(ISNUMBER(J28),J28,"")</x:f>
        <x:v>336585</x:v>
      </x:c>
      <x:c r="K15" s="38" t="n">
        <x:f>IF(ISNUMBER(K28),K28,"")</x:f>
        <x:v>340964</x:v>
      </x:c>
      <x:c r="L15" s="38" t="n">
        <x:f>IF(ISNUMBER(L28),L28,"")</x:f>
        <x:v>440231</x:v>
      </x:c>
      <x:c r="M15" s="94" t="n">
        <x:f>'Monthly EOP Balance'!AI15</x:f>
        <x:v>440456.0073259379</x:v>
      </x:c>
      <x:c r="N15" s="94" t="n">
        <x:f>'Monthly EOP Balance'!AL15</x:f>
        <x:v>440681.0146518759</x:v>
      </x:c>
      <x:c r="O15" s="94" t="n">
        <x:f>'Monthly EOP Balance'!AO15</x:f>
        <x:v>440906.02197781386</x:v>
      </x:c>
      <x:c r="P15" s="94" t="n">
        <x:f>'Monthly EOP Balance'!AR15</x:f>
        <x:v>441131.0293037519</x:v>
      </x:c>
    </x:row>
    <x:row r="16">
      <x:c r="A16" s="20" t="str">
        <x:v>  Securitized debt obligations</x:v>
      </x:c>
      <x:c r="B16" s="38"/>
      <x:c r="C16" s="38" t="str">
        <x:f>IF(ISNUMBER(C29),C29*Balance!B16/SUM(Balance!B16:Balance!B17),"")</x:f>
      </x:c>
      <x:c r="D16" s="38" t="str">
        <x:f>IF(ISNUMBER(D29),D29*Balance!C16/SUM(Balance!C16:Balance!C17),"")</x:f>
      </x:c>
      <x:c r="E16" s="38" t="str">
        <x:f>IF(ISNUMBER(E29),E29*Balance!D16/SUM(Balance!D16:Balance!D17),"")</x:f>
      </x:c>
      <x:c r="F16" s="38" t="n">
        <x:f>IF(ISNUMBER(F29),F29*Balance!E16/SUM(Balance!E16:Balance!E17),"")</x:f>
        <x:v>17559.230243536313</x:v>
      </x:c>
      <x:c r="G16" s="38" t="n">
        <x:f>IF(ISNUMBER(G29),G29*Balance!F16/SUM(Balance!F16:Balance!F17),"")</x:f>
        <x:v>17745.478210482146</x:v>
      </x:c>
      <x:c r="H16" s="38" t="n">
        <x:f>IF(ISNUMBER(H29),H29*Balance!G16/SUM(Balance!G16:Balance!G17),"")</x:f>
        <x:v>17023.537724550897</x:v>
      </x:c>
      <x:c r="I16" s="38" t="n">
        <x:f>IF(ISNUMBER(I29),I29*Balance!H16/SUM(Balance!H16:Balance!H17),"")</x:f>
        <x:v>16144.540418598823</x:v>
      </x:c>
      <x:c r="J16" s="38" t="n">
        <x:f>IF(ISNUMBER(J29),J29*Balance!I16/SUM(Balance!I16:Balance!I17),"")</x:f>
        <x:v>14654.52536896341</x:v>
      </x:c>
      <x:c r="K16" s="38" t="n">
        <x:f>IF(ISNUMBER(K29),K29*Balance!J16/SUM(Balance!J16:Balance!J17),"")</x:f>
        <x:v>12839.117607008306</x:v>
      </x:c>
      <x:c r="L16" s="38" t="n">
        <x:f>IF(ISNUMBER(L29),L29*Balance!K16/SUM(Balance!K16:Balance!K17),"")</x:f>
        <x:v>14749.966938908854</x:v>
      </x:c>
      <x:c r="M16" s="94" t="n">
        <x:f>'Monthly EOP Balance'!AI16</x:f>
        <x:v>14529.82183859977</x:v>
      </x:c>
      <x:c r="N16" s="94" t="n">
        <x:f>'Monthly EOP Balance'!AL16</x:f>
        <x:v>14312.962431430939</x:v>
      </x:c>
      <x:c r="O16" s="94" t="n">
        <x:f>'Monthly EOP Balance'!AO16</x:f>
        <x:v>14099.33967802153</x:v>
      </x:c>
      <x:c r="P16" s="94" t="n">
        <x:f>'Monthly EOP Balance'!AR16</x:f>
        <x:v>13888.905270909598</x:v>
      </x:c>
    </x:row>
    <x:row r="17">
      <x:c r="A17" s="20" t="str">
        <x:v>  Senior and subordinated notes</x:v>
      </x:c>
      <x:c r="B17" s="38"/>
      <x:c r="C17" s="38" t="str">
        <x:f>IF(ISNUMBER(C29),C29*Balance!B17/SUM(Balance!B16:Balance!B17),"")</x:f>
      </x:c>
      <x:c r="D17" s="38" t="str">
        <x:f>IF(ISNUMBER(D29),D29*Balance!C17/SUM(Balance!C16:Balance!C17),"")</x:f>
      </x:c>
      <x:c r="E17" s="38" t="str">
        <x:f>IF(ISNUMBER(E29),E29*Balance!D17/SUM(Balance!D16:Balance!D17),"")</x:f>
      </x:c>
      <x:c r="F17" s="38" t="n">
        <x:f>IF(ISNUMBER(F29),F29*Balance!E17/SUM(Balance!E16:Balance!E17),"")</x:f>
        <x:v>31758.769756463687</x:v>
      </x:c>
      <x:c r="G17" s="38" t="n">
        <x:f>IF(ISNUMBER(G29),G29*Balance!F17/SUM(Balance!F16:Balance!F17),"")</x:f>
        <x:v>32047.521789517854</x:v>
      </x:c>
      <x:c r="H17" s="38" t="n">
        <x:f>IF(ISNUMBER(H29),H29*Balance!G17/SUM(Balance!G16:Balance!G17),"")</x:f>
        <x:v>30217.462275449103</x:v>
      </x:c>
      <x:c r="I17" s="38" t="n">
        <x:f>IF(ISNUMBER(I29),I29*Balance!H17/SUM(Balance!H16:Balance!H17),"")</x:f>
        <x:v>32671.459581401177</x:v>
      </x:c>
      <x:c r="J17" s="38" t="n">
        <x:f>IF(ISNUMBER(J29),J29*Balance!I17/SUM(Balance!I16:Balance!I17),"")</x:f>
        <x:v>30334.47463103659</x:v>
      </x:c>
      <x:c r="K17" s="38" t="n">
        <x:f>IF(ISNUMBER(K29),K29*Balance!J17/SUM(Balance!J16:Balance!J17),"")</x:f>
        <x:v>28360.882392991694</x:v>
      </x:c>
      <x:c r="L17" s="38" t="n">
        <x:f>IF(ISNUMBER(L29),L29*Balance!K17/SUM(Balance!K16:Balance!K17),"")</x:f>
        <x:v>37174.03306109115</x:v>
      </x:c>
      <x:c r="M17" s="94" t="n">
        <x:f>'Monthly EOP Balance'!AI17</x:f>
        <x:v>37174.03306109115</x:v>
      </x:c>
      <x:c r="N17" s="94" t="n">
        <x:f>'Monthly EOP Balance'!AL17</x:f>
        <x:v>37174.03306109115</x:v>
      </x:c>
      <x:c r="O17" s="94" t="n">
        <x:f>'Monthly EOP Balance'!AO17</x:f>
        <x:v>37174.03306109115</x:v>
      </x:c>
      <x:c r="P17" s="94" t="n">
        <x:f>'Monthly EOP Balance'!AR17</x:f>
        <x:v>37174.03306109115</x:v>
      </x:c>
    </x:row>
    <x:row r="18">
      <x:c r="A18" s="20" t="str">
        <x:v>  Other borrowings</x:v>
      </x:c>
      <x:c r="B18" s="38" t="str">
        <x:f>IF(COUNT(B30:B31)&lt;2,"",SUM(B30:B31))</x:f>
      </x:c>
      <x:c r="C18" s="38" t="str">
        <x:f>IF(COUNT(C30:C31)&lt;2,"",SUM(C30:C31))</x:f>
      </x:c>
      <x:c r="D18" s="38" t="str">
        <x:f>IF(COUNT(D30:D31)&lt;2,"",SUM(D30:D31))</x:f>
      </x:c>
      <x:c r="E18" s="38" t="str">
        <x:f>IF(COUNT(E30:E31)&lt;2,"",SUM(E30:E31))</x:f>
      </x:c>
      <x:c r="F18" s="38" t="n">
        <x:f>IF(COUNT(F30:F31)&lt;2,"",SUM(F30:F31))</x:f>
        <x:v>565</x:v>
      </x:c>
      <x:c r="G18" s="38" t="n">
        <x:f>IF(COUNT(G30:G31)&lt;2,"",SUM(G30:G31))</x:f>
        <x:v>592</x:v>
      </x:c>
      <x:c r="H18" s="38" t="n">
        <x:f>IF(COUNT(H30:H31)&lt;2,"",SUM(H30:H31))</x:f>
        <x:v>740</x:v>
      </x:c>
      <x:c r="I18" s="38" t="n">
        <x:f>IF(COUNT(I30:I31)&lt;2,"",SUM(I30:I31))</x:f>
        <x:v>544</x:v>
      </x:c>
      <x:c r="J18" s="38" t="n">
        <x:f>IF(COUNT(J30:J31)&lt;2,"",SUM(J30:J31))</x:f>
        <x:v>591</x:v>
      </x:c>
      <x:c r="K18" s="38" t="n">
        <x:f>IF(COUNT(K30:K31)&lt;2,"",SUM(K30:K31))</x:f>
        <x:v>598</x:v>
      </x:c>
      <x:c r="L18" s="38" t="n">
        <x:f>IF(COUNT(L30:L31)&lt;2,"",SUM(L30:L31))</x:f>
        <x:v>1302</x:v>
      </x:c>
      <x:c r="M18" s="94" t="n">
        <x:f>'Monthly EOP Balance'!AI18</x:f>
        <x:v>1302</x:v>
      </x:c>
      <x:c r="N18" s="94" t="n">
        <x:f>'Monthly EOP Balance'!AL18</x:f>
        <x:v>1302</x:v>
      </x:c>
      <x:c r="O18" s="94" t="n">
        <x:f>'Monthly EOP Balance'!AO18</x:f>
        <x:v>1302</x:v>
      </x:c>
      <x:c r="P18" s="94" t="n">
        <x:f>'Monthly EOP Balance'!AR18</x:f>
        <x:v>1302</x:v>
      </x:c>
    </x:row>
    <x:row r="19">
      <x:c r="A19" s="26" t="str">
        <x:v>  Total interest-bearing liabilities</x:v>
      </x:c>
      <x:c r="B19" s="35" t="str">
        <x:f>IF(COUNT(B15:B18)&lt;4,"",SUM(B15:B18))</x:f>
      </x:c>
      <x:c r="C19" s="35" t="str">
        <x:f>IF(COUNT(C15:C18)&lt;4,"",SUM(C15:C18))</x:f>
      </x:c>
      <x:c r="D19" s="35" t="str">
        <x:f>IF(COUNT(D15:D18)&lt;4,"",SUM(D15:D18))</x:f>
      </x:c>
      <x:c r="E19" s="35" t="str">
        <x:f>IF(COUNT(E15:E18)&lt;4,"",SUM(E15:E18))</x:f>
      </x:c>
      <x:c r="F19" s="35" t="n">
        <x:f>IF(COUNT(F15:F18)&lt;4,"",SUM(F15:F18))</x:f>
        <x:v>370272</x:v>
      </x:c>
      <x:c r="G19" s="35" t="n">
        <x:f>IF(COUNT(G15:G18)&lt;4,"",SUM(G15:G18))</x:f>
        <x:v>373737</x:v>
      </x:c>
      <x:c r="H19" s="35" t="n">
        <x:f>IF(COUNT(H15:H18)&lt;4,"",SUM(H15:H18))</x:f>
        <x:v>372418</x:v>
      </x:c>
      <x:c r="I19" s="35" t="n">
        <x:f>IF(COUNT(I15:I18)&lt;4,"",SUM(I15:I18))</x:f>
        <x:v>376613</x:v>
      </x:c>
      <x:c r="J19" s="35" t="n">
        <x:f>IF(COUNT(J15:J18)&lt;4,"",SUM(J15:J18))</x:f>
        <x:v>382165</x:v>
      </x:c>
      <x:c r="K19" s="35" t="n">
        <x:f>IF(COUNT(K15:K18)&lt;4,"",SUM(K15:K18))</x:f>
        <x:v>382762</x:v>
      </x:c>
      <x:c r="L19" s="35" t="n">
        <x:f>IF(COUNT(L15:L18)&lt;4,"",SUM(L15:L18))</x:f>
        <x:v>493457</x:v>
      </x:c>
      <x:c r="M19" s="99" t="n">
        <x:f>'Monthly EOP Balance'!AI19</x:f>
        <x:v>493461.8622256288</x:v>
      </x:c>
      <x:c r="N19" s="99" t="n">
        <x:f>'Monthly EOP Balance'!AL19</x:f>
        <x:v>493470.01014439797</x:v>
      </x:c>
      <x:c r="O19" s="99" t="n">
        <x:f>'Monthly EOP Balance'!AO19</x:f>
        <x:v>493481.39471692656</x:v>
      </x:c>
      <x:c r="P19" s="99" t="n">
        <x:f>'Monthly EOP Balance'!AR19</x:f>
        <x:v>493495.96763575263</x:v>
      </x:c>
    </x:row>
    <x:row r="20">
      <x:c r="A20" s="20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94"/>
      <x:c r="N20" s="94"/>
      <x:c r="O20" s="94"/>
      <x:c r="P20" s="94"/>
    </x:row>
    <x:row r="21">
      <x:c r="A21" s="26" t="str">
        <x:v>Net earning assets (assets − liabilities)</x:v>
      </x:c>
      <x:c r="B21" s="35" t="str">
        <x:f>IF(COUNT(B12,B19)&lt;2,"",B12-B19)</x:f>
      </x:c>
      <x:c r="C21" s="35" t="str">
        <x:f>IF(COUNT(C12,C19)&lt;2,"",C12-C19)</x:f>
      </x:c>
      <x:c r="D21" s="35" t="str">
        <x:f>IF(COUNT(D12,D19)&lt;2,"",D12-D19)</x:f>
      </x:c>
      <x:c r="E21" s="35" t="str">
        <x:f>IF(COUNT(E12,E19)&lt;2,"",E12-E19)</x:f>
      </x:c>
      <x:c r="F21" s="35" t="n">
        <x:f>IF(COUNT(F12,F19)&lt;2,"",F12-F19)</x:f>
        <x:v>73072</x:v>
      </x:c>
      <x:c r="G21" s="35" t="n">
        <x:f>IF(COUNT(G12,G19)&lt;2,"",G12-G19)</x:f>
        <x:v>71317</x:v>
      </x:c>
      <x:c r="H21" s="35" t="n">
        <x:f>IF(COUNT(H12,H19)&lt;2,"",H12-H19)</x:f>
        <x:v>72847</x:v>
      </x:c>
      <x:c r="I21" s="35" t="n">
        <x:f>IF(COUNT(I12,I19)&lt;2,"",I12-I19)</x:f>
        <x:v>76849</x:v>
      </x:c>
      <x:c r="J21" s="35" t="n">
        <x:f>IF(COUNT(J12,J19)&lt;2,"",J12-J19)</x:f>
        <x:v>72294</x:v>
      </x:c>
      <x:c r="K21" s="35" t="n">
        <x:f>IF(COUNT(K12,K19)&lt;2,"",K12-K19)</x:f>
        <x:v>74163</x:v>
      </x:c>
      <x:c r="L21" s="35" t="n">
        <x:f>IF(COUNT(L12,L19)&lt;2,"",L12-L19)</x:f>
        <x:v>94614</x:v>
      </x:c>
      <x:c r="M21" s="99" t="n">
        <x:f>'Monthly EOP Balance'!AI21</x:f>
        <x:v>94768.17382802186</x:v>
      </x:c>
      <x:c r="N21" s="99" t="n">
        <x:f>'Monthly EOP Balance'!AL21</x:f>
        <x:v>94919.06196290336</x:v>
      </x:c>
      <x:c r="O21" s="99" t="n">
        <x:f>'Monthly EOP Balance'!AO21</x:f>
        <x:v>95066.71344402555</x:v>
      </x:c>
      <x:c r="P21" s="99" t="n">
        <x:f>'Monthly EOP Balance'!AR21</x:f>
        <x:v>95211.17657885037</x:v>
      </x:c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100"/>
      <x:c r="N22" s="100"/>
      <x:c r="O22" s="100"/>
      <x:c r="P22" s="100"/>
    </x:row>
    <x:row r="23">
      <x:c r="A23" s="32" t="str">
        <x:v>SOURCE CONTROLS</x:v>
      </x:c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101"/>
      <x:c r="N23" s="101"/>
      <x:c r="O23" s="101"/>
      <x:c r="P23" s="101"/>
    </x:row>
    <x:row r="24">
      <x:c r="A24" s="20" t="str">
        <x:v>  Loans HFI, gross</x:v>
      </x:c>
      <x:c r="B24" s="37"/>
      <x:c r="C24" s="37"/>
      <x:c r="D24" s="37"/>
      <x:c r="E24" s="37"/>
      <x:c r="F24" s="37" t="n">
        <x:v>320472</x:v>
      </x:c>
      <x:c r="G24" s="37" t="n">
        <x:v>315154</x:v>
      </x:c>
      <x:c r="H24" s="37" t="n">
        <x:v>318186</x:v>
      </x:c>
      <x:c r="I24" s="37" t="n">
        <x:v>320243</x:v>
      </x:c>
      <x:c r="J24" s="37" t="n">
        <x:v>327775</x:v>
      </x:c>
      <x:c r="K24" s="37" t="n">
        <x:v>323598</x:v>
      </x:c>
      <x:c r="L24" s="37" t="n">
        <x:v>439297</x:v>
      </x:c>
      <x:c r="M24" s="94"/>
      <x:c r="N24" s="94"/>
      <x:c r="O24" s="94"/>
      <x:c r="P24" s="94"/>
    </x:row>
    <x:row r="25">
      <x:c r="A25" s="20" t="str">
        <x:v>  Securities AFS</x:v>
      </x:c>
      <x:c r="B25" s="37"/>
      <x:c r="C25" s="37"/>
      <x:c r="D25" s="37"/>
      <x:c r="E25" s="37"/>
      <x:c r="F25" s="37" t="n">
        <x:v>79117</x:v>
      </x:c>
      <x:c r="G25" s="37" t="n">
        <x:v>78398</x:v>
      </x:c>
      <x:c r="H25" s="37" t="n">
        <x:v>79250</x:v>
      </x:c>
      <x:c r="I25" s="37" t="n">
        <x:v>83500</x:v>
      </x:c>
      <x:c r="J25" s="37" t="n">
        <x:v>83013</x:v>
      </x:c>
      <x:c r="K25" s="37" t="n">
        <x:v>84362</x:v>
      </x:c>
      <x:c r="L25" s="37" t="n">
        <x:v>87196</x:v>
      </x:c>
      <x:c r="M25" s="94"/>
      <x:c r="N25" s="94"/>
      <x:c r="O25" s="94"/>
      <x:c r="P25" s="94"/>
    </x:row>
    <x:row r="26">
      <x:c r="A26" s="20" t="str">
        <x:v>  Securities HTM</x:v>
      </x:c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94"/>
      <x:c r="N26" s="94"/>
      <x:c r="O26" s="94"/>
      <x:c r="P26" s="94"/>
    </x:row>
    <x:row r="27">
      <x:c r="A27" s="20" t="str">
        <x:v>  Cash and cash equivalents</x:v>
      </x:c>
      <x:c r="B27" s="37" t="n">
        <x:v>31256</x:v>
      </x:c>
      <x:c r="C27" s="37" t="n">
        <x:v>46973</x:v>
      </x:c>
      <x:c r="D27" s="37" t="n">
        <x:v>42048</x:v>
      </x:c>
      <x:c r="E27" s="37" t="n">
        <x:v>45304</x:v>
      </x:c>
      <x:c r="F27" s="37" t="n">
        <x:v>43755</x:v>
      </x:c>
      <x:c r="G27" s="37" t="n">
        <x:v>51502</x:v>
      </x:c>
      <x:c r="H27" s="37" t="n">
        <x:v>47829</x:v>
      </x:c>
      <x:c r="I27" s="37" t="n">
        <x:v>49719</x:v>
      </x:c>
      <x:c r="J27" s="37" t="n">
        <x:v>43671</x:v>
      </x:c>
      <x:c r="K27" s="37" t="n">
        <x:v>48965</x:v>
      </x:c>
      <x:c r="L27" s="37" t="n">
        <x:v>61578</x:v>
      </x:c>
      <x:c r="M27" s="94"/>
      <x:c r="N27" s="94"/>
      <x:c r="O27" s="94"/>
      <x:c r="P27" s="94"/>
    </x:row>
    <x:row r="28">
      <x:c r="A28" s="20" t="str">
        <x:v>  Interest-bearing deposits</x:v>
      </x:c>
      <x:c r="B28" s="37"/>
      <x:c r="C28" s="37"/>
      <x:c r="D28" s="37"/>
      <x:c r="E28" s="37"/>
      <x:c r="F28" s="37" t="n">
        <x:v>320389</x:v>
      </x:c>
      <x:c r="G28" s="37" t="n">
        <x:v>323352</x:v>
      </x:c>
      <x:c r="H28" s="37" t="n">
        <x:v>324437</x:v>
      </x:c>
      <x:c r="I28" s="37" t="n">
        <x:v>327253</x:v>
      </x:c>
      <x:c r="J28" s="37" t="n">
        <x:v>336585</x:v>
      </x:c>
      <x:c r="K28" s="37" t="n">
        <x:v>340964</x:v>
      </x:c>
      <x:c r="L28" s="37" t="n">
        <x:v>440231</x:v>
      </x:c>
      <x:c r="M28" s="94"/>
      <x:c r="N28" s="94"/>
      <x:c r="O28" s="94"/>
      <x:c r="P28" s="94"/>
    </x:row>
    <x:row r="29">
      <x:c r="A29" s="20" t="str">
        <x:v>  Long-term debt</x:v>
      </x:c>
      <x:c r="B29" s="37"/>
      <x:c r="C29" s="37"/>
      <x:c r="D29" s="37"/>
      <x:c r="E29" s="37"/>
      <x:c r="F29" s="37" t="n">
        <x:v>49318</x:v>
      </x:c>
      <x:c r="G29" s="37" t="n">
        <x:v>49793</x:v>
      </x:c>
      <x:c r="H29" s="37" t="n">
        <x:v>47241</x:v>
      </x:c>
      <x:c r="I29" s="37" t="n">
        <x:v>48816</x:v>
      </x:c>
      <x:c r="J29" s="37" t="n">
        <x:v>44989</x:v>
      </x:c>
      <x:c r="K29" s="37" t="n">
        <x:v>41200</x:v>
      </x:c>
      <x:c r="L29" s="37" t="n">
        <x:v>51924</x:v>
      </x:c>
      <x:c r="M29" s="94"/>
      <x:c r="N29" s="94"/>
      <x:c r="O29" s="94"/>
      <x:c r="P29" s="94"/>
    </x:row>
    <x:row r="30">
      <x:c r="A30" s="20" t="str">
        <x:v>  Short-term borrowings</x:v>
      </x:c>
      <x:c r="B30" s="37"/>
      <x:c r="C30" s="37"/>
      <x:c r="D30" s="37"/>
      <x:c r="E30" s="37"/>
      <x:c r="F30" s="37" t="n">
        <x:v>538</x:v>
      </x:c>
      <x:c r="G30" s="37" t="n">
        <x:v>568</x:v>
      </x:c>
      <x:c r="H30" s="37" t="n">
        <x:v>715</x:v>
      </x:c>
      <x:c r="I30" s="37" t="n">
        <x:v>520</x:v>
      </x:c>
      <x:c r="J30" s="37" t="n">
        <x:v>562</x:v>
      </x:c>
      <x:c r="K30" s="37" t="n">
        <x:v>573</x:v>
      </x:c>
      <x:c r="L30" s="37" t="n">
        <x:v>742</x:v>
      </x:c>
      <x:c r="M30" s="94"/>
      <x:c r="N30" s="94"/>
      <x:c r="O30" s="94"/>
      <x:c r="P30" s="94"/>
    </x:row>
    <x:row r="31">
      <x:c r="A31" s="20" t="str">
        <x:v>  Other borrowings</x:v>
      </x:c>
      <x:c r="B31" s="37"/>
      <x:c r="C31" s="37"/>
      <x:c r="D31" s="37"/>
      <x:c r="E31" s="37"/>
      <x:c r="F31" s="37" t="n">
        <x:v>27</x:v>
      </x:c>
      <x:c r="G31" s="37" t="n">
        <x:v>24</x:v>
      </x:c>
      <x:c r="H31" s="37" t="n">
        <x:v>25</x:v>
      </x:c>
      <x:c r="I31" s="37" t="n">
        <x:v>24</x:v>
      </x:c>
      <x:c r="J31" s="37" t="n">
        <x:v>29</x:v>
      </x:c>
      <x:c r="K31" s="37" t="n">
        <x:v>25</x:v>
      </x:c>
      <x:c r="L31" s="37" t="n">
        <x:v>560</x:v>
      </x:c>
      <x:c r="M31" s="94"/>
      <x:c r="N31" s="94"/>
      <x:c r="O31" s="94"/>
      <x:c r="P31" s="9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RowHeight="15"/>
  <x:cols>
    <x:col min="1" max="1" width="4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</x:cols>
  <x:sheetData>
    <x:row r="1">
      <x:c r="A1" s="28" t="str">
        <x:v>Capital One - Imputed Monthly End-of-Period Balance by line item ($mm)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  <x:c r="AA1" s="20"/>
      <x:c r="AB1" s="20"/>
      <x:c r="AC1" s="20"/>
      <x:c r="AD1" s="20"/>
      <x:c r="AE1" s="20"/>
      <x:c r="AF1" s="20"/>
      <x:c r="AG1" s="20"/>
      <x:c r="AH1" s="20"/>
      <x:c r="AI1" s="20"/>
      <x:c r="AJ1" s="20"/>
      <x:c r="AK1" s="20"/>
      <x:c r="AL1" s="20"/>
      <x:c r="AM1" s="20"/>
      <x:c r="AN1" s="20"/>
      <x:c r="AO1" s="20"/>
      <x:c r="AP1" s="20"/>
      <x:c r="AQ1" s="20"/>
      <x:c r="AR1" s="20"/>
    </x:row>
    <x:row r="2" ht="31" customHeight="1">
      <x:c r="A2" s="30" t="str">
        <x:v>Reported and controlled month ends through Jun-25. Jul-25 through Jun-26 is a macro-driven balance forecast.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0"/>
      <x:c r="AB2" s="30"/>
      <x:c r="AC2" s="30"/>
      <x:c r="AD2" s="30"/>
      <x:c r="AE2" s="30"/>
      <x:c r="AF2" s="30"/>
      <x:c r="AG2" s="30"/>
      <x:c r="AH2" s="30"/>
      <x:c r="AI2" s="30"/>
      <x:c r="AJ2" s="30"/>
      <x:c r="AK2" s="30"/>
      <x:c r="AL2" s="30"/>
      <x:c r="AM2" s="30"/>
      <x:c r="AN2" s="30"/>
      <x:c r="AO2" s="30"/>
      <x:c r="AP2" s="30"/>
      <x:c r="AQ2" s="30"/>
      <x:c r="AR2" s="3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R3" s="20"/>
    </x:row>
    <x:row r="4">
      <x:c r="A4" s="26" t="str">
        <x:v>Line item (as disclosed)</x:v>
      </x:c>
      <x:c r="B4" s="31" t="n">
        <x:v>44926</x:v>
      </x:c>
      <x:c r="C4" s="31" t="n">
        <x:v>44957</x:v>
      </x:c>
      <x:c r="D4" s="31" t="n">
        <x:v>44985</x:v>
      </x:c>
      <x:c r="E4" s="31" t="n">
        <x:v>45016</x:v>
      </x:c>
      <x:c r="F4" s="31" t="n">
        <x:v>45046</x:v>
      </x:c>
      <x:c r="G4" s="31" t="n">
        <x:v>45077</x:v>
      </x:c>
      <x:c r="H4" s="31" t="n">
        <x:v>45107</x:v>
      </x:c>
      <x:c r="I4" s="31" t="n">
        <x:v>45138</x:v>
      </x:c>
      <x:c r="J4" s="31" t="n">
        <x:v>45169</x:v>
      </x:c>
      <x:c r="K4" s="31" t="n">
        <x:v>45199</x:v>
      </x:c>
      <x:c r="L4" s="31" t="n">
        <x:v>45230</x:v>
      </x:c>
      <x:c r="M4" s="31" t="n">
        <x:v>45260</x:v>
      </x:c>
      <x:c r="N4" s="31" t="n">
        <x:v>45291</x:v>
      </x:c>
      <x:c r="O4" s="31" t="n">
        <x:v>45322</x:v>
      </x:c>
      <x:c r="P4" s="31" t="n">
        <x:v>45351</x:v>
      </x:c>
      <x:c r="Q4" s="31" t="n">
        <x:v>45382</x:v>
      </x:c>
      <x:c r="R4" s="31" t="n">
        <x:v>45412</x:v>
      </x:c>
      <x:c r="S4" s="31" t="n">
        <x:v>45443</x:v>
      </x:c>
      <x:c r="T4" s="31" t="n">
        <x:v>45473</x:v>
      </x:c>
      <x:c r="U4" s="31" t="n">
        <x:v>45504</x:v>
      </x:c>
      <x:c r="V4" s="31" t="n">
        <x:v>45535</x:v>
      </x:c>
      <x:c r="W4" s="31" t="n">
        <x:v>45565</x:v>
      </x:c>
      <x:c r="X4" s="31" t="n">
        <x:v>45596</x:v>
      </x:c>
      <x:c r="Y4" s="31" t="n">
        <x:v>45626</x:v>
      </x:c>
      <x:c r="Z4" s="31" t="n">
        <x:v>45657</x:v>
      </x:c>
      <x:c r="AA4" s="31" t="n">
        <x:v>45688</x:v>
      </x:c>
      <x:c r="AB4" s="31" t="n">
        <x:v>45716</x:v>
      </x:c>
      <x:c r="AC4" s="31" t="n">
        <x:v>45747</x:v>
      </x:c>
      <x:c r="AD4" s="31" t="n">
        <x:v>45777</x:v>
      </x:c>
      <x:c r="AE4" s="31" t="n">
        <x:v>45808</x:v>
      </x:c>
      <x:c r="AF4" s="31" t="n">
        <x:v>45838</x:v>
      </x:c>
      <x:c r="AG4" s="93" t="n">
        <x:v>45869</x:v>
      </x:c>
      <x:c r="AH4" s="93" t="n">
        <x:v>45900</x:v>
      </x:c>
      <x:c r="AI4" s="93" t="n">
        <x:v>45930</x:v>
      </x:c>
      <x:c r="AJ4" s="93" t="n">
        <x:v>45961</x:v>
      </x:c>
      <x:c r="AK4" s="93" t="n">
        <x:v>45991</x:v>
      </x:c>
      <x:c r="AL4" s="93" t="n">
        <x:v>46022</x:v>
      </x:c>
      <x:c r="AM4" s="93" t="n">
        <x:v>46053</x:v>
      </x:c>
      <x:c r="AN4" s="93" t="n">
        <x:v>46081</x:v>
      </x:c>
      <x:c r="AO4" s="93" t="n">
        <x:v>46112</x:v>
      </x:c>
      <x:c r="AP4" s="93" t="n">
        <x:v>46142</x:v>
      </x:c>
      <x:c r="AQ4" s="93" t="n">
        <x:v>46173</x:v>
      </x:c>
      <x:c r="AR4" s="93" t="n">
        <x:v>46203</x:v>
      </x:c>
    </x:row>
    <x:row r="5">
      <x:c r="A5" s="32" t="str">
        <x:v>INTEREST-EARNING ASSETS</x:v>
      </x:c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  <x:c r="S5" s="32"/>
      <x:c r="T5" s="32"/>
      <x:c r="U5" s="32"/>
      <x:c r="V5" s="32"/>
      <x:c r="W5" s="32"/>
      <x:c r="X5" s="32"/>
      <x:c r="Y5" s="32"/>
      <x:c r="Z5" s="32"/>
      <x:c r="AA5" s="32"/>
      <x:c r="AB5" s="32"/>
      <x:c r="AC5" s="32"/>
      <x:c r="AD5" s="32"/>
      <x:c r="AE5" s="32"/>
      <x:c r="AF5" s="32"/>
      <x:c r="AG5" s="32"/>
      <x:c r="AH5" s="32"/>
      <x:c r="AI5" s="32"/>
      <x:c r="AJ5" s="32"/>
      <x:c r="AK5" s="32"/>
      <x:c r="AL5" s="32"/>
      <x:c r="AM5" s="32"/>
      <x:c r="AN5" s="32"/>
      <x:c r="AO5" s="32"/>
      <x:c r="AP5" s="32"/>
      <x:c r="AQ5" s="32"/>
      <x:c r="AR5" s="32"/>
    </x:row>
    <x:row r="6">
      <x:c r="A6" s="20" t="str">
        <x:v>  Credit card</x:v>
      </x:c>
      <x:c r="B6" s="38" t="n">
        <x:f>IF(ISNUMBER('Quarter-End Anchors'!B6),'Quarter-End Anchors'!B6,Balance!B6)</x:f>
        <x:v>134669</x:v>
      </x:c>
      <x:c r="C6" s="38" t="n">
        <x:f>B6+(E6-B6)/3+(2*Balance!B6-B6-E6)</x:f>
        <x:v>134669</x:v>
      </x:c>
      <x:c r="D6" s="38" t="n">
        <x:f>B6+2*(E6-B6)/3+(2*Balance!B6-B6-E6)</x:f>
        <x:v>134669</x:v>
      </x:c>
      <x:c r="E6" s="38" t="n">
        <x:f>IF(ISNUMBER('Quarter-End Anchors'!C6),'Quarter-End Anchors'!C6,2*Balance!B6-B6)</x:f>
        <x:v>134669</x:v>
      </x:c>
      <x:c r="F6" s="38" t="n">
        <x:f>E6+(H6-E6)/3+(2*Balance!C6-E6-H6)</x:f>
        <x:v>137397.66666666666</x:v>
      </x:c>
      <x:c r="G6" s="38" t="n">
        <x:f>E6+2*(H6-E6)/3+(2*Balance!C6-E6-H6)</x:f>
        <x:v>140126.33333333334</x:v>
      </x:c>
      <x:c r="H6" s="38" t="n">
        <x:f>IF(ISNUMBER('Quarter-End Anchors'!D6),'Quarter-End Anchors'!D6,2*Balance!C6-E6)</x:f>
        <x:v>142855</x:v>
      </x:c>
      <x:c r="I6" s="38" t="n">
        <x:f>H6+(K6-H6)/3+(2*Balance!D6-H6-K6)</x:f>
        <x:v>143653.66666666666</x:v>
      </x:c>
      <x:c r="J6" s="38" t="n">
        <x:f>H6+2*(K6-H6)/3+(2*Balance!D6-H6-K6)</x:f>
        <x:v>144452.33333333334</x:v>
      </x:c>
      <x:c r="K6" s="38" t="n">
        <x:f>IF(ISNUMBER('Quarter-End Anchors'!E6),'Quarter-End Anchors'!E6,2*Balance!D6-H6)</x:f>
        <x:v>145251</x:v>
      </x:c>
      <x:c r="L6" s="38" t="n">
        <x:f>K6+(N6-K6)/3+(2*Balance!E6-K6-N6)</x:f>
        <x:v>149221.68808193962</x:v>
      </x:c>
      <x:c r="M6" s="38" t="n">
        <x:f>K6+2*(N6-K6)/3+(2*Balance!E6-K6-N6)</x:f>
        <x:v>151097.34404096982</x:v>
      </x:c>
      <x:c r="N6" s="38" t="n">
        <x:f>IF(ISNUMBER('Quarter-End Anchors'!F6),'Quarter-End Anchors'!F6,2*Balance!E6-K6)</x:f>
        <x:v>150877.96787709056</x:v>
      </x:c>
      <x:c r="O6" s="38" t="n">
        <x:f>N6+(Q6-N6)/3+(2*Balance!F6-N6-Q6)</x:f>
        <x:v>149902.3293318098</x:v>
      </x:c>
      <x:c r="P6" s="38" t="n">
        <x:f>N6+2*(Q6-N6)/3+(2*Balance!F6-N6-Q6)</x:f>
        <x:v>149561.1807273596</x:v>
      </x:c>
      <x:c r="Q6" s="38" t="n">
        <x:f>IF(ISNUMBER('Quarter-End Anchors'!G6),'Quarter-End Anchors'!G6,2*Balance!F6-N6)</x:f>
        <x:v>149854.52206374003</x:v>
      </x:c>
      <x:c r="R6" s="38" t="n">
        <x:f>Q6+(T6-Q6)/3+(2*Balance!G6-Q6-T6)</x:f>
        <x:v>150450.63578255693</x:v>
      </x:c>
      <x:c r="S6" s="38" t="n">
        <x:f>Q6+2*(T6-Q6)/3+(2*Balance!G6-Q6-T6)</x:f>
        <x:v>151164.05685940845</x:v>
      </x:c>
      <x:c r="T6" s="38" t="n">
        <x:f>IF(ISNUMBER('Quarter-End Anchors'!H6),'Quarter-End Anchors'!H6,2*Balance!G6-Q6)</x:f>
        <x:v>151994.7852942946</x:v>
      </x:c>
      <x:c r="U6" s="38" t="n">
        <x:f>T6+(W6-T6)/3+(2*Balance!H6-T6-W6)</x:f>
        <x:v>154389.01698479717</x:v>
      </x:c>
      <x:c r="V6" s="38" t="n">
        <x:f>T6+2*(W6-T6)/3+(2*Balance!H6-T6-W6)</x:f>
        <x:v>155357.1158452513</x:v>
      </x:c>
      <x:c r="W6" s="38" t="n">
        <x:f>IF(ISNUMBER('Quarter-End Anchors'!I6),'Quarter-End Anchors'!I6,2*Balance!H6-T6)</x:f>
        <x:v>154899.08187565694</x:v>
      </x:c>
      <x:c r="X6" s="38" t="n">
        <x:f>W6+(Z6-W6)/3+(2*Balance!I6-W6-Z6)</x:f>
        <x:v>156385.97797193096</x:v>
      </x:c>
      <x:c r="Y6" s="38" t="n">
        <x:f>W6+2*(Z6-W6)/3+(2*Balance!I6-W6-Z6)</x:f>
        <x:v>158103.448048137</x:v>
      </x:c>
      <x:c r="Z6" s="38" t="n">
        <x:f>IF(ISNUMBER('Quarter-End Anchors'!J6),'Quarter-End Anchors'!J6,2*Balance!I6-W6)</x:f>
        <x:v>160051.4921042751</x:v>
      </x:c>
      <x:c r="AA6" s="38" t="n">
        <x:f>Z6+(AC6-Z6)/3+(2*Balance!J6-Z6-AC6)</x:f>
        <x:v>154926.6620385483</x:v>
      </x:c>
      <x:c r="AB6" s="38" t="n">
        <x:f>Z6+2*(AC6-Z6)/3+(2*Balance!J6-Z6-AC6)</x:f>
        <x:v>153845.5849671366</x:v>
      </x:c>
      <x:c r="AC6" s="38" t="n">
        <x:f>IF(ISNUMBER('Quarter-End Anchors'!K6),'Quarter-End Anchors'!K6,2*Balance!J6-Z6)</x:f>
        <x:v>156808.26089004002</x:v>
      </x:c>
      <x:c r="AD6" s="38" t="n">
        <x:f>AC6+(AF6-AC6)/3+(2*Balance!K6-AC6-AF6)</x:f>
        <x:v>204882.31846245495</x:v>
      </x:c>
      <x:c r="AE6" s="38" t="n">
        <x:f>AC6+2*(AF6-AC6)/3+(2*Balance!K6-AC6-AF6)</x:f>
        <x:v>233730.02878620746</x:v>
      </x:c>
      <x:c r="AF6" s="38" t="n">
        <x:f>IF(ISNUMBER('Quarter-End Anchors'!L6),'Quarter-End Anchors'!L6,2*Balance!K6-AC6)</x:f>
        <x:v>243351.39186129757</x:v>
      </x:c>
      <x:c r="AG6" s="94" t="n">
        <x:f>AF6*('Forecast Drivers'!C12/'Forecast Drivers'!B12)*((1-'Forecast Drivers'!C11/100)/(1-'Forecast Drivers'!B11/100))</x:f>
        <x:v>243392.8517963059</x:v>
      </x:c>
      <x:c r="AH6" s="94" t="n">
        <x:f>AG6*('Forecast Drivers'!D12/'Forecast Drivers'!C12)*((1-'Forecast Drivers'!D11/100)/(1-'Forecast Drivers'!C11/100))</x:f>
        <x:v>243434.31173131426</x:v>
      </x:c>
      <x:c r="AI6" s="94" t="n">
        <x:f>AH6*('Forecast Drivers'!E12/'Forecast Drivers'!D12)*((1-'Forecast Drivers'!E11/100)/(1-'Forecast Drivers'!D11/100))</x:f>
        <x:v>243475.7716663226</x:v>
      </x:c>
      <x:c r="AJ6" s="94" t="n">
        <x:f>AI6*('Forecast Drivers'!F12/'Forecast Drivers'!E12)*((1-'Forecast Drivers'!F11/100)/(1-'Forecast Drivers'!E11/100))</x:f>
        <x:v>243517.23160133098</x:v>
      </x:c>
      <x:c r="AK6" s="94" t="n">
        <x:f>AJ6*('Forecast Drivers'!G12/'Forecast Drivers'!F12)*((1-'Forecast Drivers'!G11/100)/(1-'Forecast Drivers'!F11/100))</x:f>
        <x:v>243558.69153633935</x:v>
      </x:c>
      <x:c r="AL6" s="94" t="n">
        <x:f>AK6*('Forecast Drivers'!H12/'Forecast Drivers'!G12)*((1-'Forecast Drivers'!H11/100)/(1-'Forecast Drivers'!G11/100))</x:f>
        <x:v>243600.1514713477</x:v>
      </x:c>
      <x:c r="AM6" s="94" t="n">
        <x:f>AL6*('Forecast Drivers'!I12/'Forecast Drivers'!H12)*((1-'Forecast Drivers'!I11/100)/(1-'Forecast Drivers'!H11/100))</x:f>
        <x:v>243641.61140635607</x:v>
      </x:c>
      <x:c r="AN6" s="94" t="n">
        <x:f>AM6*('Forecast Drivers'!J12/'Forecast Drivers'!I12)*((1-'Forecast Drivers'!J11/100)/(1-'Forecast Drivers'!I11/100))</x:f>
        <x:v>243683.0713413644</x:v>
      </x:c>
      <x:c r="AO6" s="94" t="n">
        <x:f>AN6*('Forecast Drivers'!K12/'Forecast Drivers'!J12)*((1-'Forecast Drivers'!K11/100)/(1-'Forecast Drivers'!J11/100))</x:f>
        <x:v>243724.53127637276</x:v>
      </x:c>
      <x:c r="AP6" s="94" t="n">
        <x:f>AO6*('Forecast Drivers'!L12/'Forecast Drivers'!K12)*((1-'Forecast Drivers'!L11/100)/(1-'Forecast Drivers'!K11/100))</x:f>
        <x:v>243765.99121138113</x:v>
      </x:c>
      <x:c r="AQ6" s="94" t="n">
        <x:f>AP6*('Forecast Drivers'!M12/'Forecast Drivers'!L12)*((1-'Forecast Drivers'!M11/100)/(1-'Forecast Drivers'!L11/100))</x:f>
        <x:v>243807.4511463895</x:v>
      </x:c>
      <x:c r="AR6" s="94" t="n">
        <x:f>AQ6*('Forecast Drivers'!N12/'Forecast Drivers'!M12)*((1-'Forecast Drivers'!N11/100)/(1-'Forecast Drivers'!M11/100))</x:f>
        <x:v>243848.91108139785</x:v>
      </x:c>
    </x:row>
    <x:row r="7">
      <x:c r="A7" s="20" t="str">
        <x:v>  Consumer banking</x:v>
      </x:c>
      <x:c r="B7" s="38" t="n">
        <x:f>IF(ISNUMBER('Quarter-End Anchors'!B7),'Quarter-End Anchors'!B7,Balance!B7)</x:f>
        <x:v>79000</x:v>
      </x:c>
      <x:c r="C7" s="38" t="n">
        <x:f>B7+(E7-B7)/3+(2*Balance!B7-B7-E7)</x:f>
        <x:v>79000</x:v>
      </x:c>
      <x:c r="D7" s="38" t="n">
        <x:f>B7+2*(E7-B7)/3+(2*Balance!B7-B7-E7)</x:f>
        <x:v>79000</x:v>
      </x:c>
      <x:c r="E7" s="38" t="n">
        <x:f>IF(ISNUMBER('Quarter-End Anchors'!C7),'Quarter-End Anchors'!C7,2*Balance!B7-B7)</x:f>
        <x:v>79000</x:v>
      </x:c>
      <x:c r="F7" s="38" t="n">
        <x:f>E7+(H7-E7)/3+(2*Balance!C7-E7-H7)</x:f>
        <x:v>78132.66666666667</x:v>
      </x:c>
      <x:c r="G7" s="38" t="n">
        <x:f>E7+2*(H7-E7)/3+(2*Balance!C7-E7-H7)</x:f>
        <x:v>77265.33333333333</x:v>
      </x:c>
      <x:c r="H7" s="38" t="n">
        <x:f>IF(ISNUMBER('Quarter-End Anchors'!D7),'Quarter-End Anchors'!D7,2*Balance!C7-E7)</x:f>
        <x:v>76398</x:v>
      </x:c>
      <x:c r="I7" s="38" t="n">
        <x:f>H7+(K7-H7)/3+(2*Balance!D7-H7-K7)</x:f>
        <x:v>76902</x:v>
      </x:c>
      <x:c r="J7" s="38" t="n">
        <x:f>H7+2*(K7-H7)/3+(2*Balance!D7-H7-K7)</x:f>
        <x:v>77406</x:v>
      </x:c>
      <x:c r="K7" s="38" t="n">
        <x:f>IF(ISNUMBER('Quarter-End Anchors'!E7),'Quarter-End Anchors'!E7,2*Balance!D7-H7)</x:f>
        <x:v>77910</x:v>
      </x:c>
      <x:c r="L7" s="38" t="n">
        <x:f>K7+(N7-K7)/3+(2*Balance!E7-K7-N7)</x:f>
        <x:v>75060.17436797686</x:v>
      </x:c>
      <x:c r="M7" s="38" t="n">
        <x:f>K7+2*(N7-K7)/3+(2*Balance!E7-K7-N7)</x:f>
        <x:v>74799.08718398843</x:v>
      </x:c>
      <x:c r="N7" s="38" t="n">
        <x:f>IF(ISNUMBER('Quarter-End Anchors'!F7),'Quarter-End Anchors'!F7,2*Balance!E7-K7)</x:f>
        <x:v>77126.73844803471</x:v>
      </x:c>
      <x:c r="O7" s="38" t="n">
        <x:f>N7+(Q7-N7)/3+(2*Balance!F7-N7-Q7)</x:f>
        <x:v>74477.30395633922</x:v>
      </x:c>
      <x:c r="P7" s="38" t="n">
        <x:f>N7+2*(Q7-N7)/3+(2*Balance!F7-N7-Q7)</x:f>
        <x:v>73766.28275415226</x:v>
      </x:c>
      <x:c r="Q7" s="38" t="n">
        <x:f>IF(ISNUMBER('Quarter-End Anchors'!G7),'Quarter-End Anchors'!G7,2*Balance!F7-N7)</x:f>
        <x:v>74993.67484147381</x:v>
      </x:c>
      <x:c r="R7" s="38" t="n">
        <x:f>Q7+(T7-Q7)/3+(2*Balance!G7-Q7-T7)</x:f>
        <x:v>75140.74772529889</x:v>
      </x:c>
      <x:c r="S7" s="38" t="n">
        <x:f>Q7+2*(T7-Q7)/3+(2*Balance!G7-Q7-T7)</x:f>
        <x:v>75459.53644191254</x:v>
      </x:c>
      <x:c r="T7" s="38" t="n">
        <x:f>IF(ISNUMBER('Quarter-End Anchors'!H7),'Quarter-End Anchors'!H7,2*Balance!G7-Q7)</x:f>
        <x:v>75950.04099131476</x:v>
      </x:c>
      <x:c r="U7" s="38" t="n">
        <x:f>T7+(W7-T7)/3+(2*Balance!H7-T7-W7)</x:f>
        <x:v>76015.8292031576</x:v>
      </x:c>
      <x:c r="V7" s="38" t="n">
        <x:f>T7+2*(W7-T7)/3+(2*Balance!H7-T7-W7)</x:f>
        <x:v>76214.89410592141</x:v>
      </x:c>
      <x:c r="W7" s="38" t="n">
        <x:f>IF(ISNUMBER('Quarter-End Anchors'!I7),'Quarter-End Anchors'!I7,2*Balance!H7-T7)</x:f>
        <x:v>76547.23569960623</x:v>
      </x:c>
      <x:c r="X7" s="38" t="n">
        <x:f>W7+(Z7-W7)/3+(2*Balance!I7-W7-Z7)</x:f>
        <x:v>76578.27990361681</x:v>
      </x:c>
      <x:c r="Y7" s="38" t="n">
        <x:f>W7+2*(Z7-W7)/3+(2*Balance!I7-W7-Z7)</x:f>
        <x:v>77246.5221020053</x:v>
      </x:c>
      <x:c r="Z7" s="38" t="n">
        <x:f>IF(ISNUMBER('Quarter-End Anchors'!J7),'Quarter-End Anchors'!J7,2*Balance!I7-W7)</x:f>
        <x:v>78551.96229477166</x:v>
      </x:c>
      <x:c r="AA7" s="38" t="n">
        <x:f>Z7+(AC7-Z7)/3+(2*Balance!J7-Z7-AC7)</x:f>
        <x:v>78322.12140065017</x:v>
      </x:c>
      <x:c r="AB7" s="38" t="n">
        <x:f>Z7+2*(AC7-Z7)/3+(2*Balance!J7-Z7-AC7)</x:f>
        <x:v>78365.07955293925</x:v>
      </x:c>
      <x:c r="AC7" s="38" t="n">
        <x:f>IF(ISNUMBER('Quarter-End Anchors'!K7),'Quarter-End Anchors'!K7,2*Balance!J7-Z7)</x:f>
        <x:v>78680.83675163893</x:v>
      </x:c>
      <x:c r="AD7" s="38" t="n">
        <x:f>AC7+(AF7-AC7)/3+(2*Balance!K7-AC7-AF7)</x:f>
        <x:v>71995.54403624556</x:v>
      </x:c>
      <x:c r="AE7" s="38" t="n">
        <x:f>AC7+2*(AF7-AC7)/3+(2*Balance!K7-AC7-AF7)</x:f>
        <x:v>76752.35364230332</x:v>
      </x:c>
      <x:c r="AF7" s="38" t="n">
        <x:f>IF(ISNUMBER('Quarter-End Anchors'!L7),'Quarter-End Anchors'!L7,2*Balance!K7-AC7)</x:f>
        <x:v>92951.2655698122</x:v>
      </x:c>
      <x:c r="AG7" s="94" t="n">
        <x:f>AF7*('Forecast Drivers'!C9/'Forecast Drivers'!B9)</x:f>
        <x:v>92934.77935557766</x:v>
      </x:c>
      <x:c r="AH7" s="94" t="n">
        <x:f>AG7*('Forecast Drivers'!D9/'Forecast Drivers'!C9)</x:f>
        <x:v>92918.29314134314</x:v>
      </x:c>
      <x:c r="AI7" s="94" t="n">
        <x:f>AH7*('Forecast Drivers'!E9/'Forecast Drivers'!D9)</x:f>
        <x:v>92901.8069271086</x:v>
      </x:c>
      <x:c r="AJ7" s="94" t="n">
        <x:f>AI7*('Forecast Drivers'!F9/'Forecast Drivers'!E9)</x:f>
        <x:v>92885.32071287406</x:v>
      </x:c>
      <x:c r="AK7" s="94" t="n">
        <x:f>AJ7*('Forecast Drivers'!G9/'Forecast Drivers'!F9)</x:f>
        <x:v>92868.83449863954</x:v>
      </x:c>
      <x:c r="AL7" s="94" t="n">
        <x:f>AK7*('Forecast Drivers'!H9/'Forecast Drivers'!G9)</x:f>
        <x:v>92852.348284405</x:v>
      </x:c>
      <x:c r="AM7" s="94" t="n">
        <x:f>AL7*('Forecast Drivers'!I9/'Forecast Drivers'!H9)</x:f>
        <x:v>92835.86207017048</x:v>
      </x:c>
      <x:c r="AN7" s="94" t="n">
        <x:f>AM7*('Forecast Drivers'!J9/'Forecast Drivers'!I9)</x:f>
        <x:v>92819.37585593594</x:v>
      </x:c>
      <x:c r="AO7" s="94" t="n">
        <x:f>AN7*('Forecast Drivers'!K9/'Forecast Drivers'!J9)</x:f>
        <x:v>92802.88964170142</x:v>
      </x:c>
      <x:c r="AP7" s="94" t="n">
        <x:f>AO7*('Forecast Drivers'!L9/'Forecast Drivers'!K9)</x:f>
        <x:v>92786.40342746688</x:v>
      </x:c>
      <x:c r="AQ7" s="94" t="n">
        <x:f>AP7*('Forecast Drivers'!M9/'Forecast Drivers'!L9)</x:f>
        <x:v>92769.91721323234</x:v>
      </x:c>
      <x:c r="AR7" s="94" t="n">
        <x:f>AQ7*('Forecast Drivers'!N9/'Forecast Drivers'!M9)</x:f>
        <x:v>92753.4309989978</x:v>
      </x:c>
    </x:row>
    <x:row r="8">
      <x:c r="A8" s="20" t="str">
        <x:v>  Commercial banking</x:v>
      </x:c>
      <x:c r="B8" s="38" t="n">
        <x:f>IF(ISNUMBER('Quarter-End Anchors'!B8),'Quarter-End Anchors'!B8,Balance!B8)</x:f>
        <x:v>94446</x:v>
      </x:c>
      <x:c r="C8" s="38" t="n">
        <x:f>B8+(E8-B8)/3+(2*Balance!B8-B8-E8)</x:f>
        <x:v>94446</x:v>
      </x:c>
      <x:c r="D8" s="38" t="n">
        <x:f>B8+2*(E8-B8)/3+(2*Balance!B8-B8-E8)</x:f>
        <x:v>94446</x:v>
      </x:c>
      <x:c r="E8" s="38" t="n">
        <x:f>IF(ISNUMBER('Quarter-End Anchors'!C8),'Quarter-End Anchors'!C8,2*Balance!B8-B8)</x:f>
        <x:v>94446</x:v>
      </x:c>
      <x:c r="F8" s="38" t="n">
        <x:f>E8+(H8-E8)/3+(2*Balance!C8-E8-H8)</x:f>
        <x:v>94064.66666666667</x:v>
      </x:c>
      <x:c r="G8" s="38" t="n">
        <x:f>E8+2*(H8-E8)/3+(2*Balance!C8-E8-H8)</x:f>
        <x:v>93683.33333333333</x:v>
      </x:c>
      <x:c r="H8" s="38" t="n">
        <x:f>IF(ISNUMBER('Quarter-End Anchors'!D8),'Quarter-End Anchors'!D8,2*Balance!C8-E8)</x:f>
        <x:v>93302</x:v>
      </x:c>
      <x:c r="I8" s="38" t="n">
        <x:f>H8+(K8-H8)/3+(2*Balance!D8-H8-K8)</x:f>
        <x:v>92603.33333333333</x:v>
      </x:c>
      <x:c r="J8" s="38" t="n">
        <x:f>H8+2*(K8-H8)/3+(2*Balance!D8-H8-K8)</x:f>
        <x:v>91904.66666666667</x:v>
      </x:c>
      <x:c r="K8" s="38" t="n">
        <x:f>IF(ISNUMBER('Quarter-End Anchors'!E8),'Quarter-End Anchors'!E8,2*Balance!D8-H8)</x:f>
        <x:v>91206</x:v>
      </x:c>
      <x:c r="L8" s="38" t="n">
        <x:f>K8+(N8-K8)/3+(2*Balance!E8-K8-N8)</x:f>
        <x:v>90723.13755008351</x:v>
      </x:c>
      <x:c r="M8" s="38" t="n">
        <x:f>K8+2*(N8-K8)/3+(2*Balance!E8-K8-N8)</x:f>
        <x:v>91143.56877504176</x:v>
      </x:c>
      <x:c r="N8" s="38" t="n">
        <x:f>IF(ISNUMBER('Quarter-End Anchors'!F8),'Quarter-End Anchors'!F8,2*Balance!E8-K8)</x:f>
        <x:v>92467.29367487473</x:v>
      </x:c>
      <x:c r="O8" s="38" t="n">
        <x:f>N8+(Q8-N8)/3+(2*Balance!F8-N8-Q8)</x:f>
        <x:v>89819.70004518433</x:v>
      </x:c>
      <x:c r="P8" s="38" t="n">
        <x:f>N8+2*(Q8-N8)/3+(2*Balance!F8-N8-Q8)</x:f>
        <x:v>89099.2031851548</x:v>
      </x:c>
      <x:c r="Q8" s="38" t="n">
        <x:f>IF(ISNUMBER('Quarter-End Anchors'!G8),'Quarter-End Anchors'!G8,2*Balance!F8-N8)</x:f>
        <x:v>90305.80309478614</x:v>
      </x:c>
      <x:c r="R8" s="38" t="n">
        <x:f>Q8+(T8-Q8)/3+(2*Balance!G8-Q8-T8)</x:f>
        <x:v>88879.28315881085</x:v>
      </x:c>
      <x:c r="S8" s="38" t="n">
        <x:f>Q8+2*(T8-Q8)/3+(2*Balance!G8-Q8-T8)</x:f>
        <x:v>88857.74003201236</x:v>
      </x:c>
      <x:c r="T8" s="38" t="n">
        <x:f>IF(ISNUMBER('Quarter-End Anchors'!H8),'Quarter-End Anchors'!H8,2*Balance!G8-Q8)</x:f>
        <x:v>90241.17371439065</x:v>
      </x:c>
      <x:c r="U8" s="38" t="n">
        <x:f>T8+(W8-T8)/3+(2*Balance!H8-T8-W8)</x:f>
        <x:v>87467.82047871189</x:v>
      </x:c>
      <x:c r="V8" s="38" t="n">
        <x:f>T8+2*(W8-T8)/3+(2*Balance!H8-T8-W8)</x:f>
        <x:v>86986.32338216063</x:v>
      </x:c>
      <x:c r="W8" s="38" t="n">
        <x:f>IF(ISNUMBER('Quarter-End Anchors'!I8),'Quarter-End Anchors'!I8,2*Balance!H8-T8)</x:f>
        <x:v>88796.68242473683</x:v>
      </x:c>
      <x:c r="X8" s="38" t="n">
        <x:f>W8+(Z8-W8)/3+(2*Balance!I8-W8-Z8)</x:f>
        <x:v>86297.40879111888</x:v>
      </x:c>
      <x:c r="Y8" s="38" t="n">
        <x:f>W8+2*(Z8-W8)/3+(2*Balance!I8-W8-Z8)</x:f>
        <x:v>86422.36318319102</x:v>
      </x:c>
      <x:c r="Z8" s="38" t="n">
        <x:f>IF(ISNUMBER('Quarter-End Anchors'!J8),'Quarter-End Anchors'!J8,2*Balance!I8-W8)</x:f>
        <x:v>89171.54560095326</x:v>
      </x:c>
      <x:c r="AA8" s="38" t="n">
        <x:f>Z8+(AC8-Z8)/3+(2*Balance!J8-Z8-AC8)</x:f>
        <x:v>87304.8832274682</x:v>
      </x:c>
      <x:c r="AB8" s="38" t="n">
        <x:f>Z8+2*(AC8-Z8)/3+(2*Balance!J8-Z8-AC8)</x:f>
        <x:v>86950.66881325748</x:v>
      </x:c>
      <x:c r="AC8" s="38" t="n">
        <x:f>IF(ISNUMBER('Quarter-End Anchors'!K8),'Quarter-End Anchors'!K8,2*Balance!J8-Z8)</x:f>
        <x:v>88108.90235832105</x:v>
      </x:c>
      <x:c r="AD8" s="38" t="n">
        <x:f>AC8+(AF8-AC8)/3+(2*Balance!K8-AC8-AF8)</x:f>
        <x:v>79465.47083463284</x:v>
      </x:c>
      <x:c r="AE8" s="38" t="n">
        <x:f>AC8+2*(AF8-AC8)/3+(2*Balance!K8-AC8-AF8)</x:f>
        <x:v>84427.28423815589</x:v>
      </x:c>
      <x:c r="AF8" s="38" t="n">
        <x:f>IF(ISNUMBER('Quarter-End Anchors'!L8),'Quarter-End Anchors'!L8,2*Balance!K8-AC8)</x:f>
        <x:v>102994.34256889022</x:v>
      </x:c>
      <x:c r="AG8" s="94" t="n">
        <x:f>AF8*('Forecast Drivers'!C12/'Forecast Drivers'!B12)</x:f>
        <x:v>103011.88978206403</x:v>
      </x:c>
      <x:c r="AH8" s="94" t="n">
        <x:f>AG8*('Forecast Drivers'!D12/'Forecast Drivers'!C12)</x:f>
        <x:v>103029.43699523783</x:v>
      </x:c>
      <x:c r="AI8" s="94" t="n">
        <x:f>AH8*('Forecast Drivers'!E12/'Forecast Drivers'!D12)</x:f>
        <x:v>103046.98420841164</x:v>
      </x:c>
      <x:c r="AJ8" s="94" t="n">
        <x:f>AI8*('Forecast Drivers'!F12/'Forecast Drivers'!E12)</x:f>
        <x:v>103064.53142158546</x:v>
      </x:c>
      <x:c r="AK8" s="94" t="n">
        <x:f>AJ8*('Forecast Drivers'!G12/'Forecast Drivers'!F12)</x:f>
        <x:v>103082.07863475928</x:v>
      </x:c>
      <x:c r="AL8" s="94" t="n">
        <x:f>AK8*('Forecast Drivers'!H12/'Forecast Drivers'!G12)</x:f>
        <x:v>103099.62584793309</x:v>
      </x:c>
      <x:c r="AM8" s="94" t="n">
        <x:f>AL8*('Forecast Drivers'!I12/'Forecast Drivers'!H12)</x:f>
        <x:v>103117.1730611069</x:v>
      </x:c>
      <x:c r="AN8" s="94" t="n">
        <x:f>AM8*('Forecast Drivers'!J12/'Forecast Drivers'!I12)</x:f>
        <x:v>103134.72027428071</x:v>
      </x:c>
      <x:c r="AO8" s="94" t="n">
        <x:f>AN8*('Forecast Drivers'!K12/'Forecast Drivers'!J12)</x:f>
        <x:v>103152.26748745453</x:v>
      </x:c>
      <x:c r="AP8" s="94" t="n">
        <x:f>AO8*('Forecast Drivers'!L12/'Forecast Drivers'!K12)</x:f>
        <x:v>103169.81470062835</x:v>
      </x:c>
      <x:c r="AQ8" s="94" t="n">
        <x:f>AP8*('Forecast Drivers'!M12/'Forecast Drivers'!L12)</x:f>
        <x:v>103187.36191380217</x:v>
      </x:c>
      <x:c r="AR8" s="94" t="n">
        <x:f>AQ8*('Forecast Drivers'!N12/'Forecast Drivers'!M12)</x:f>
        <x:v>103204.90912697598</x:v>
      </x:c>
    </x:row>
    <x:row r="9">
      <x:c r="A9" s="26" t="str">
        <x:v>  Total loans (incl. HFS)</x:v>
      </x:c>
      <x:c r="B9" s="35" t="n">
        <x:f>SUM(B6:B8)</x:f>
        <x:v>308115</x:v>
      </x:c>
      <x:c r="C9" s="35" t="n">
        <x:f>SUM(C6:C8)</x:f>
        <x:v>308115</x:v>
      </x:c>
      <x:c r="D9" s="35" t="n">
        <x:f>SUM(D6:D8)</x:f>
        <x:v>308115</x:v>
      </x:c>
      <x:c r="E9" s="35" t="n">
        <x:f>SUM(E6:E8)</x:f>
        <x:v>308115</x:v>
      </x:c>
      <x:c r="F9" s="35" t="n">
        <x:f>SUM(F6:F8)</x:f>
        <x:v>309595</x:v>
      </x:c>
      <x:c r="G9" s="35" t="n">
        <x:f>SUM(G6:G8)</x:f>
        <x:v>311075</x:v>
      </x:c>
      <x:c r="H9" s="35" t="n">
        <x:f>SUM(H6:H8)</x:f>
        <x:v>312555</x:v>
      </x:c>
      <x:c r="I9" s="35" t="n">
        <x:f>SUM(I6:I8)</x:f>
        <x:v>313159</x:v>
      </x:c>
      <x:c r="J9" s="35" t="n">
        <x:f>SUM(J6:J8)</x:f>
        <x:v>313763</x:v>
      </x:c>
      <x:c r="K9" s="35" t="n">
        <x:f>SUM(K6:K8)</x:f>
        <x:v>314367</x:v>
      </x:c>
      <x:c r="L9" s="35" t="n">
        <x:f>SUM(L6:L8)</x:f>
        <x:v>315005</x:v>
      </x:c>
      <x:c r="M9" s="35" t="n">
        <x:f>SUM(M6:M8)</x:f>
        <x:v>317040</x:v>
      </x:c>
      <x:c r="N9" s="35" t="n">
        <x:f>SUM(N6:N8)</x:f>
        <x:v>320472</x:v>
      </x:c>
      <x:c r="O9" s="35" t="n">
        <x:f>SUM(O6:O8)</x:f>
        <x:v>314199.3333333334</x:v>
      </x:c>
      <x:c r="P9" s="35" t="n">
        <x:f>SUM(P6:P8)</x:f>
        <x:v>312426.6666666666</x:v>
      </x:c>
      <x:c r="Q9" s="35" t="n">
        <x:f>SUM(Q6:Q8)</x:f>
        <x:v>315154</x:v>
      </x:c>
      <x:c r="R9" s="35" t="n">
        <x:f>SUM(R6:R8)</x:f>
        <x:v>314470.6666666667</x:v>
      </x:c>
      <x:c r="S9" s="35" t="n">
        <x:f>SUM(S6:S8)</x:f>
        <x:v>315481.3333333333</x:v>
      </x:c>
      <x:c r="T9" s="35" t="n">
        <x:f>SUM(T6:T8)</x:f>
        <x:v>318186</x:v>
      </x:c>
      <x:c r="U9" s="35" t="n">
        <x:f>SUM(U6:U8)</x:f>
        <x:v>317872.6666666666</x:v>
      </x:c>
      <x:c r="V9" s="35" t="n">
        <x:f>SUM(V6:V8)</x:f>
        <x:v>318558.3333333334</x:v>
      </x:c>
      <x:c r="W9" s="35" t="n">
        <x:f>SUM(W6:W8)</x:f>
        <x:v>320243</x:v>
      </x:c>
      <x:c r="X9" s="35" t="n">
        <x:f>SUM(X6:X8)</x:f>
        <x:v>319261.6666666666</x:v>
      </x:c>
      <x:c r="Y9" s="35" t="n">
        <x:f>SUM(Y6:Y8)</x:f>
        <x:v>321772.3333333334</x:v>
      </x:c>
      <x:c r="Z9" s="35" t="n">
        <x:f>SUM(Z6:Z8)</x:f>
        <x:v>327775</x:v>
      </x:c>
      <x:c r="AA9" s="35" t="n">
        <x:f>SUM(AA6:AA8)</x:f>
        <x:v>320553.6666666666</x:v>
      </x:c>
      <x:c r="AB9" s="35" t="n">
        <x:f>SUM(AB6:AB8)</x:f>
        <x:v>319161.3333333333</x:v>
      </x:c>
      <x:c r="AC9" s="35" t="n">
        <x:f>SUM(AC6:AC8)</x:f>
        <x:v>323598</x:v>
      </x:c>
      <x:c r="AD9" s="35" t="n">
        <x:f>SUM(AD6:AD8)</x:f>
        <x:v>356343.3333333334</x:v>
      </x:c>
      <x:c r="AE9" s="35" t="n">
        <x:f>SUM(AE6:AE8)</x:f>
        <x:v>394909.6666666667</x:v>
      </x:c>
      <x:c r="AF9" s="35" t="n">
        <x:f>SUM(AF6:AF8)</x:f>
        <x:v>439297</x:v>
      </x:c>
      <x:c r="AG9" s="99" t="n">
        <x:f>SUM(AG6:AG8)</x:f>
        <x:v>439339.5209339476</x:v>
      </x:c>
      <x:c r="AH9" s="99" t="n">
        <x:f>SUM(AH6:AH8)</x:f>
        <x:v>439382.0418678952</x:v>
      </x:c>
      <x:c r="AI9" s="99" t="n">
        <x:f>SUM(AI6:AI8)</x:f>
        <x:v>439424.56280184287</x:v>
      </x:c>
      <x:c r="AJ9" s="99" t="n">
        <x:f>SUM(AJ6:AJ8)</x:f>
        <x:v>439467.0837357905</x:v>
      </x:c>
      <x:c r="AK9" s="99" t="n">
        <x:f>SUM(AK6:AK8)</x:f>
        <x:v>439509.6046697382</x:v>
      </x:c>
      <x:c r="AL9" s="99" t="n">
        <x:f>SUM(AL6:AL8)</x:f>
        <x:v>439552.12560368574</x:v>
      </x:c>
      <x:c r="AM9" s="99" t="n">
        <x:f>SUM(AM6:AM8)</x:f>
        <x:v>439594.6465376335</x:v>
      </x:c>
      <x:c r="AN9" s="99" t="n">
        <x:f>SUM(AN6:AN8)</x:f>
        <x:v>439637.1674715811</x:v>
      </x:c>
      <x:c r="AO9" s="99" t="n">
        <x:f>SUM(AO6:AO8)</x:f>
        <x:v>439679.6884055287</x:v>
      </x:c>
      <x:c r="AP9" s="99" t="n">
        <x:f>SUM(AP6:AP8)</x:f>
        <x:v>439722.20933947637</x:v>
      </x:c>
      <x:c r="AQ9" s="99" t="n">
        <x:f>SUM(AQ6:AQ8)</x:f>
        <x:v>439764.730273424</x:v>
      </x:c>
      <x:c r="AR9" s="99" t="n">
        <x:f>SUM(AR6:AR8)</x:f>
        <x:v>439807.25120737165</x:v>
      </x:c>
    </x:row>
    <x:row r="10">
      <x:c r="A10" s="20" t="str">
        <x:v>  Investment securities</x:v>
      </x:c>
      <x:c r="B10" s="38" t="n">
        <x:f>IF(ISNUMBER('Quarter-End Anchors'!B10),'Quarter-End Anchors'!B10,Balance!B10)</x:f>
        <x:v>89960</x:v>
      </x:c>
      <x:c r="C10" s="38" t="n">
        <x:f>B10+(E10-B10)/3+(2*Balance!B10-B10-E10)</x:f>
        <x:v>89960</x:v>
      </x:c>
      <x:c r="D10" s="38" t="n">
        <x:f>B10+2*(E10-B10)/3+(2*Balance!B10-B10-E10)</x:f>
        <x:v>89960</x:v>
      </x:c>
      <x:c r="E10" s="38" t="n">
        <x:f>IF(ISNUMBER('Quarter-End Anchors'!C10),'Quarter-End Anchors'!C10,2*Balance!B10-B10)</x:f>
        <x:v>89960</x:v>
      </x:c>
      <x:c r="F10" s="38" t="n">
        <x:f>E10+(H10-E10)/3+(2*Balance!C10-E10-H10)</x:f>
        <x:v>89982.66666666667</x:v>
      </x:c>
      <x:c r="G10" s="38" t="n">
        <x:f>E10+2*(H10-E10)/3+(2*Balance!C10-E10-H10)</x:f>
        <x:v>90005.33333333333</x:v>
      </x:c>
      <x:c r="H10" s="38" t="n">
        <x:f>IF(ISNUMBER('Quarter-End Anchors'!D10),'Quarter-End Anchors'!D10,2*Balance!C10-E10)</x:f>
        <x:v>90028</x:v>
      </x:c>
      <x:c r="I10" s="38" t="n">
        <x:f>H10+(K10-H10)/3+(2*Balance!D10-H10-K10)</x:f>
        <x:v>88572.66666666667</x:v>
      </x:c>
      <x:c r="J10" s="38" t="n">
        <x:f>H10+2*(K10-H10)/3+(2*Balance!D10-H10-K10)</x:f>
        <x:v>87117.33333333333</x:v>
      </x:c>
      <x:c r="K10" s="38" t="n">
        <x:f>IF(ISNUMBER('Quarter-End Anchors'!E10),'Quarter-End Anchors'!E10,2*Balance!D10-H10)</x:f>
        <x:v>85662</x:v>
      </x:c>
      <x:c r="L10" s="38" t="n">
        <x:f>K10+(N10-K10)/3+(2*Balance!E10-K10-N10)</x:f>
        <x:v>95987.33333333333</x:v>
      </x:c>
      <x:c r="M10" s="38" t="n">
        <x:f>K10+2*(N10-K10)/3+(2*Balance!E10-K10-N10)</x:f>
        <x:v>93805.66666666667</x:v>
      </x:c>
      <x:c r="N10" s="38" t="n">
        <x:f>IF(ISNUMBER('Quarter-End Anchors'!F10),'Quarter-End Anchors'!F10,2*Balance!E10-K10)</x:f>
        <x:v>79117</x:v>
      </x:c>
      <x:c r="O10" s="38" t="n">
        <x:f>N10+(Q10-N10)/3+(2*Balance!F10-N10-Q10)</x:f>
        <x:v>98524.33333333333</x:v>
      </x:c>
      <x:c r="P10" s="38" t="n">
        <x:f>N10+2*(Q10-N10)/3+(2*Balance!F10-N10-Q10)</x:f>
        <x:v>98284.66666666667</x:v>
      </x:c>
      <x:c r="Q10" s="38" t="n">
        <x:f>IF(ISNUMBER('Quarter-End Anchors'!G10),'Quarter-End Anchors'!G10,2*Balance!F10-N10)</x:f>
        <x:v>78398</x:v>
      </x:c>
      <x:c r="R10" s="38" t="n">
        <x:f>Q10+(T10-Q10)/3+(2*Balance!G10-Q10-T10)</x:f>
        <x:v>100036</x:v>
      </x:c>
      <x:c r="S10" s="38" t="n">
        <x:f>Q10+2*(T10-Q10)/3+(2*Balance!G10-Q10-T10)</x:f>
        <x:v>100320</x:v>
      </x:c>
      <x:c r="T10" s="38" t="n">
        <x:f>IF(ISNUMBER('Quarter-End Anchors'!H10),'Quarter-End Anchors'!H10,2*Balance!G10-Q10)</x:f>
        <x:v>79250</x:v>
      </x:c>
      <x:c r="U10" s="38" t="n">
        <x:f>T10+(W10-T10)/3+(2*Balance!H10-T10-W10)</x:f>
        <x:v>99204.66666666667</x:v>
      </x:c>
      <x:c r="V10" s="38" t="n">
        <x:f>T10+2*(W10-T10)/3+(2*Balance!H10-T10-W10)</x:f>
        <x:v>100621.33333333333</x:v>
      </x:c>
      <x:c r="W10" s="38" t="n">
        <x:f>IF(ISNUMBER('Quarter-End Anchors'!I10),'Quarter-End Anchors'!I10,2*Balance!H10-T10)</x:f>
        <x:v>83500</x:v>
      </x:c>
      <x:c r="X10" s="38" t="n">
        <x:f>W10+(Z10-W10)/3+(2*Balance!I10-W10-Z10)</x:f>
        <x:v>101344.66666666667</x:v>
      </x:c>
      <x:c r="Y10" s="38" t="n">
        <x:f>W10+2*(Z10-W10)/3+(2*Balance!I10-W10-Z10)</x:f>
        <x:v>101182.33333333333</x:v>
      </x:c>
      <x:c r="Z10" s="38" t="n">
        <x:f>IF(ISNUMBER('Quarter-End Anchors'!J10),'Quarter-End Anchors'!J10,2*Balance!I10-W10)</x:f>
        <x:v>83013</x:v>
      </x:c>
      <x:c r="AA10" s="38" t="n">
        <x:f>Z10+(AC10-Z10)/3+(2*Balance!J10-Z10-AC10)</x:f>
        <x:v>101405.66666666667</x:v>
      </x:c>
      <x:c r="AB10" s="38" t="n">
        <x:f>Z10+2*(AC10-Z10)/3+(2*Balance!J10-Z10-AC10)</x:f>
        <x:v>101855.33333333333</x:v>
      </x:c>
      <x:c r="AC10" s="38" t="n">
        <x:f>IF(ISNUMBER('Quarter-End Anchors'!K10),'Quarter-End Anchors'!K10,2*Balance!J10-Z10)</x:f>
        <x:v>84362</x:v>
      </x:c>
      <x:c r="AD10" s="38" t="n">
        <x:f>AC10+(AF10-AC10)/3+(2*Balance!K10-AC10-AF10)</x:f>
        <x:v>99796.66666666667</x:v>
      </x:c>
      <x:c r="AE10" s="38" t="n">
        <x:f>AC10+2*(AF10-AC10)/3+(2*Balance!K10-AC10-AF10)</x:f>
        <x:v>100741.33333333333</x:v>
      </x:c>
      <x:c r="AF10" s="38" t="n">
        <x:f>IF(ISNUMBER('Quarter-End Anchors'!L10),'Quarter-End Anchors'!L10,2*Balance!K10-AC10)</x:f>
        <x:v>87196</x:v>
      </x:c>
      <x:c r="AG10" s="94" t="n">
        <x:f>AF10</x:f>
        <x:v>87196</x:v>
      </x:c>
      <x:c r="AH10" s="94" t="n">
        <x:f>AG10</x:f>
        <x:v>87196</x:v>
      </x:c>
      <x:c r="AI10" s="94" t="n">
        <x:f>AH10</x:f>
        <x:v>87196</x:v>
      </x:c>
      <x:c r="AJ10" s="94" t="n">
        <x:f>AI10</x:f>
        <x:v>87196</x:v>
      </x:c>
      <x:c r="AK10" s="94" t="n">
        <x:f>AJ10</x:f>
        <x:v>87196</x:v>
      </x:c>
      <x:c r="AL10" s="94" t="n">
        <x:f>AK10</x:f>
        <x:v>87196</x:v>
      </x:c>
      <x:c r="AM10" s="94" t="n">
        <x:f>AL10</x:f>
        <x:v>87196</x:v>
      </x:c>
      <x:c r="AN10" s="94" t="n">
        <x:f>AM10</x:f>
        <x:v>87196</x:v>
      </x:c>
      <x:c r="AO10" s="94" t="n">
        <x:f>AN10</x:f>
        <x:v>87196</x:v>
      </x:c>
      <x:c r="AP10" s="94" t="n">
        <x:f>AO10</x:f>
        <x:v>87196</x:v>
      </x:c>
      <x:c r="AQ10" s="94" t="n">
        <x:f>AP10</x:f>
        <x:v>87196</x:v>
      </x:c>
      <x:c r="AR10" s="94" t="n">
        <x:f>AQ10</x:f>
        <x:v>87196</x:v>
      </x:c>
    </x:row>
    <x:row r="11">
      <x:c r="A11" s="20" t="str">
        <x:v>  Cash equivalents and other</x:v>
      </x:c>
      <x:c r="B11" s="38" t="n">
        <x:f>IF(ISNUMBER('Quarter-End Anchors'!B11),'Quarter-End Anchors'!B11,Balance!B11)</x:f>
        <x:v>31256</x:v>
      </x:c>
      <x:c r="C11" s="38" t="n">
        <x:f>B11+(E11-B11)/3+(2*Balance!B11-B11-E11)</x:f>
        <x:v>32514</x:v>
      </x:c>
      <x:c r="D11" s="38" t="n">
        <x:f>B11+2*(E11-B11)/3+(2*Balance!B11-B11-E11)</x:f>
        <x:v>37753</x:v>
      </x:c>
      <x:c r="E11" s="38" t="n">
        <x:f>IF(ISNUMBER('Quarter-End Anchors'!C11),'Quarter-End Anchors'!C11,2*Balance!B11-B11)</x:f>
        <x:v>46973</x:v>
      </x:c>
      <x:c r="F11" s="38" t="n">
        <x:f>E11+(H11-E11)/3+(2*Balance!C11-E11-H11)</x:f>
        <x:v>33930.333333333336</x:v>
      </x:c>
      <x:c r="G11" s="38" t="n">
        <x:f>E11+2*(H11-E11)/3+(2*Balance!C11-E11-H11)</x:f>
        <x:v>32288.666666666664</x:v>
      </x:c>
      <x:c r="H11" s="38" t="n">
        <x:f>IF(ISNUMBER('Quarter-End Anchors'!D11),'Quarter-End Anchors'!D11,2*Balance!C11-E11)</x:f>
        <x:v>42048</x:v>
      </x:c>
      <x:c r="I11" s="38" t="n">
        <x:f>H11+(K11-H11)/3+(2*Balance!D11-H11-K11)</x:f>
        <x:v>40233.333333333336</x:v>
      </x:c>
      <x:c r="J11" s="38" t="n">
        <x:f>H11+2*(K11-H11)/3+(2*Balance!D11-H11-K11)</x:f>
        <x:v>41318.666666666664</x:v>
      </x:c>
      <x:c r="K11" s="38" t="n">
        <x:f>IF(ISNUMBER('Quarter-End Anchors'!E11),'Quarter-End Anchors'!E11,2*Balance!D11-H11)</x:f>
        <x:v>45304</x:v>
      </x:c>
      <x:c r="L11" s="38" t="n">
        <x:f>K11+(N11-K11)/3+(2*Balance!E11-K11-N11)</x:f>
        <x:v>38978.666666666664</x:v>
      </x:c>
      <x:c r="M11" s="38" t="n">
        <x:f>K11+2*(N11-K11)/3+(2*Balance!E11-K11-N11)</x:f>
        <x:v>38462.333333333336</x:v>
      </x:c>
      <x:c r="N11" s="38" t="n">
        <x:f>IF(ISNUMBER('Quarter-End Anchors'!F11),'Quarter-End Anchors'!F11,2*Balance!E11-K11)</x:f>
        <x:v>43755</x:v>
      </x:c>
      <x:c r="O11" s="38" t="n">
        <x:f>N11+(Q11-N11)/3+(2*Balance!F11-N11-Q11)</x:f>
        <x:v>38398.333333333336</x:v>
      </x:c>
      <x:c r="P11" s="38" t="n">
        <x:f>N11+2*(Q11-N11)/3+(2*Balance!F11-N11-Q11)</x:f>
        <x:v>40980.666666666664</x:v>
      </x:c>
      <x:c r="Q11" s="38" t="n">
        <x:f>IF(ISNUMBER('Quarter-End Anchors'!G11),'Quarter-End Anchors'!G11,2*Balance!F11-N11)</x:f>
        <x:v>51502</x:v>
      </x:c>
      <x:c r="R11" s="38" t="n">
        <x:f>Q11+(T11-Q11)/3+(2*Balance!G11-Q11-T11)</x:f>
        <x:v>42114.666666666664</x:v>
      </x:c>
      <x:c r="S11" s="38" t="n">
        <x:f>Q11+2*(T11-Q11)/3+(2*Balance!G11-Q11-T11)</x:f>
        <x:v>40890.333333333336</x:v>
      </x:c>
      <x:c r="T11" s="38" t="n">
        <x:f>IF(ISNUMBER('Quarter-End Anchors'!H11),'Quarter-End Anchors'!H11,2*Balance!G11-Q11)</x:f>
        <x:v>47829</x:v>
      </x:c>
      <x:c r="U11" s="38" t="n">
        <x:f>T11+(W11-T11)/3+(2*Balance!H11-T11-W11)</x:f>
        <x:v>41161</x:v>
      </x:c>
      <x:c r="V11" s="38" t="n">
        <x:f>T11+2*(W11-T11)/3+(2*Balance!H11-T11-W11)</x:f>
        <x:v>41791</x:v>
      </x:c>
      <x:c r="W11" s="38" t="n">
        <x:f>IF(ISNUMBER('Quarter-End Anchors'!I11),'Quarter-End Anchors'!I11,2*Balance!H11-T11)</x:f>
        <x:v>49719</x:v>
      </x:c>
      <x:c r="X11" s="38" t="n">
        <x:f>W11+(Z11-W11)/3+(2*Balance!I11-W11-Z11)</x:f>
        <x:v>46647</x:v>
      </x:c>
      <x:c r="Y11" s="38" t="n">
        <x:f>W11+2*(Z11-W11)/3+(2*Balance!I11-W11-Z11)</x:f>
        <x:v>44631</x:v>
      </x:c>
      <x:c r="Z11" s="38" t="n">
        <x:f>IF(ISNUMBER('Quarter-End Anchors'!J11),'Quarter-End Anchors'!J11,2*Balance!I11-W11)</x:f>
        <x:v>43671</x:v>
      </x:c>
      <x:c r="AA11" s="38" t="n">
        <x:f>Z11+(AC11-Z11)/3+(2*Balance!J11-Z11-AC11)</x:f>
        <x:v>47479.666666666664</x:v>
      </x:c>
      <x:c r="AB11" s="38" t="n">
        <x:f>Z11+2*(AC11-Z11)/3+(2*Balance!J11-Z11-AC11)</x:f>
        <x:v>49244.333333333336</x:v>
      </x:c>
      <x:c r="AC11" s="38" t="n">
        <x:f>IF(ISNUMBER('Quarter-End Anchors'!K11),'Quarter-End Anchors'!K11,2*Balance!J11-Z11)</x:f>
        <x:v>48965</x:v>
      </x:c>
      <x:c r="AD11" s="38" t="n">
        <x:f>AC11+(AF11-AC11)/3+(2*Balance!K11-AC11-AF11)</x:f>
        <x:v>49362.333333333336</x:v>
      </x:c>
      <x:c r="AE11" s="38" t="n">
        <x:f>AC11+2*(AF11-AC11)/3+(2*Balance!K11-AC11-AF11)</x:f>
        <x:v>53566.666666666664</x:v>
      </x:c>
      <x:c r="AF11" s="38" t="n">
        <x:f>IF(ISNUMBER('Quarter-End Anchors'!L11),'Quarter-End Anchors'!L11,2*Balance!K11-AC11)</x:f>
        <x:v>61578</x:v>
      </x:c>
      <x:c r="AG11" s="94" t="n">
        <x:f>AG15*'Forecast Drivers'!$B$18</x:f>
        <x:v>61588.49108393594</x:v>
      </x:c>
      <x:c r="AH11" s="94" t="n">
        <x:f>AH15*'Forecast Drivers'!$B$18</x:f>
        <x:v>61598.98216787188</x:v>
      </x:c>
      <x:c r="AI11" s="94" t="n">
        <x:f>AI15*'Forecast Drivers'!$B$18</x:f>
        <x:v>61609.473251807816</x:v>
      </x:c>
      <x:c r="AJ11" s="94" t="n">
        <x:f>AJ15*'Forecast Drivers'!$B$18</x:f>
        <x:v>61619.96433574375</x:v>
      </x:c>
      <x:c r="AK11" s="94" t="n">
        <x:f>AK15*'Forecast Drivers'!$B$18</x:f>
        <x:v>61630.455419679696</x:v>
      </x:c>
      <x:c r="AL11" s="94" t="n">
        <x:f>AL15*'Forecast Drivers'!$B$18</x:f>
        <x:v>61640.94650361563</x:v>
      </x:c>
      <x:c r="AM11" s="94" t="n">
        <x:f>AM15*'Forecast Drivers'!$B$18</x:f>
        <x:v>61651.43758755158</x:v>
      </x:c>
      <x:c r="AN11" s="94" t="n">
        <x:f>AN15*'Forecast Drivers'!$B$18</x:f>
        <x:v>61661.92867148752</x:v>
      </x:c>
      <x:c r="AO11" s="94" t="n">
        <x:f>AO15*'Forecast Drivers'!$B$18</x:f>
        <x:v>61672.419755423456</x:v>
      </x:c>
      <x:c r="AP11" s="94" t="n">
        <x:f>AP15*'Forecast Drivers'!$B$18</x:f>
        <x:v>61682.9108393594</x:v>
      </x:c>
      <x:c r="AQ11" s="94" t="n">
        <x:f>AQ15*'Forecast Drivers'!$B$18</x:f>
        <x:v>61693.40192329534</x:v>
      </x:c>
      <x:c r="AR11" s="94" t="n">
        <x:f>AR15*'Forecast Drivers'!$B$18</x:f>
        <x:v>61703.89300723129</x:v>
      </x:c>
    </x:row>
    <x:row r="12">
      <x:c r="A12" s="26" t="str">
        <x:v>  Total interest-earning assets</x:v>
      </x:c>
      <x:c r="B12" s="35" t="n">
        <x:f>SUM(B9:B11)</x:f>
        <x:v>429331</x:v>
      </x:c>
      <x:c r="C12" s="35" t="n">
        <x:f>SUM(C9:C11)</x:f>
        <x:v>430589</x:v>
      </x:c>
      <x:c r="D12" s="35" t="n">
        <x:f>SUM(D9:D11)</x:f>
        <x:v>435828</x:v>
      </x:c>
      <x:c r="E12" s="35" t="n">
        <x:f>SUM(E9:E11)</x:f>
        <x:v>445048</x:v>
      </x:c>
      <x:c r="F12" s="35" t="n">
        <x:f>SUM(F9:F11)</x:f>
        <x:v>433508</x:v>
      </x:c>
      <x:c r="G12" s="35" t="n">
        <x:f>SUM(G9:G11)</x:f>
        <x:v>433369</x:v>
      </x:c>
      <x:c r="H12" s="35" t="n">
        <x:f>SUM(H9:H11)</x:f>
        <x:v>444631</x:v>
      </x:c>
      <x:c r="I12" s="35" t="n">
        <x:f>SUM(I9:I11)</x:f>
        <x:v>441965</x:v>
      </x:c>
      <x:c r="J12" s="35" t="n">
        <x:f>SUM(J9:J11)</x:f>
        <x:v>442199</x:v>
      </x:c>
      <x:c r="K12" s="35" t="n">
        <x:f>SUM(K9:K11)</x:f>
        <x:v>445333</x:v>
      </x:c>
      <x:c r="L12" s="35" t="n">
        <x:f>SUM(L9:L11)</x:f>
        <x:v>449971</x:v>
      </x:c>
      <x:c r="M12" s="35" t="n">
        <x:f>SUM(M9:M11)</x:f>
        <x:v>449308</x:v>
      </x:c>
      <x:c r="N12" s="35" t="n">
        <x:f>SUM(N9:N11)</x:f>
        <x:v>443344</x:v>
      </x:c>
      <x:c r="O12" s="35" t="n">
        <x:f>SUM(O9:O11)</x:f>
        <x:v>451122</x:v>
      </x:c>
      <x:c r="P12" s="35" t="n">
        <x:f>SUM(P9:P11)</x:f>
        <x:v>451692</x:v>
      </x:c>
      <x:c r="Q12" s="35" t="n">
        <x:f>SUM(Q9:Q11)</x:f>
        <x:v>445054</x:v>
      </x:c>
      <x:c r="R12" s="35" t="n">
        <x:f>SUM(R9:R11)</x:f>
        <x:v>456621.3333333334</x:v>
      </x:c>
      <x:c r="S12" s="35" t="n">
        <x:f>SUM(S9:S11)</x:f>
        <x:v>456691.6666666666</x:v>
      </x:c>
      <x:c r="T12" s="35" t="n">
        <x:f>SUM(T9:T11)</x:f>
        <x:v>445265</x:v>
      </x:c>
      <x:c r="U12" s="35" t="n">
        <x:f>SUM(U9:U11)</x:f>
        <x:v>458238.3333333333</x:v>
      </x:c>
      <x:c r="V12" s="35" t="n">
        <x:f>SUM(V9:V11)</x:f>
        <x:v>460970.6666666667</x:v>
      </x:c>
      <x:c r="W12" s="35" t="n">
        <x:f>SUM(W9:W11)</x:f>
        <x:v>453462</x:v>
      </x:c>
      <x:c r="X12" s="35" t="n">
        <x:f>SUM(X9:X11)</x:f>
        <x:v>467253.3333333333</x:v>
      </x:c>
      <x:c r="Y12" s="35" t="n">
        <x:f>SUM(Y9:Y11)</x:f>
        <x:v>467585.6666666667</x:v>
      </x:c>
      <x:c r="Z12" s="35" t="n">
        <x:f>SUM(Z9:Z11)</x:f>
        <x:v>454459</x:v>
      </x:c>
      <x:c r="AA12" s="35" t="n">
        <x:f>SUM(AA9:AA11)</x:f>
        <x:v>469439</x:v>
      </x:c>
      <x:c r="AB12" s="35" t="n">
        <x:f>SUM(AB9:AB11)</x:f>
        <x:v>470260.99999999994</x:v>
      </x:c>
      <x:c r="AC12" s="35" t="n">
        <x:f>SUM(AC9:AC11)</x:f>
        <x:v>456925</x:v>
      </x:c>
      <x:c r="AD12" s="35" t="n">
        <x:f>SUM(AD9:AD11)</x:f>
        <x:v>505502.3333333334</x:v>
      </x:c>
      <x:c r="AE12" s="35" t="n">
        <x:f>SUM(AE9:AE11)</x:f>
        <x:v>549217.6666666666</x:v>
      </x:c>
      <x:c r="AF12" s="35" t="n">
        <x:f>SUM(AF9:AF11)</x:f>
        <x:v>588071</x:v>
      </x:c>
      <x:c r="AG12" s="99" t="n">
        <x:f>SUM(AG9:AG11)</x:f>
        <x:v>588124.0120178835</x:v>
      </x:c>
      <x:c r="AH12" s="99" t="n">
        <x:f>SUM(AH9:AH11)</x:f>
        <x:v>588177.0240357672</x:v>
      </x:c>
      <x:c r="AI12" s="99" t="n">
        <x:f>SUM(AI9:AI11)</x:f>
        <x:v>588230.0360536507</x:v>
      </x:c>
      <x:c r="AJ12" s="99" t="n">
        <x:f>SUM(AJ9:AJ11)</x:f>
        <x:v>588283.0480715344</x:v>
      </x:c>
      <x:c r="AK12" s="99" t="n">
        <x:f>SUM(AK9:AK11)</x:f>
        <x:v>588336.060089418</x:v>
      </x:c>
      <x:c r="AL12" s="99" t="n">
        <x:f>SUM(AL9:AL11)</x:f>
        <x:v>588389.0721073013</x:v>
      </x:c>
      <x:c r="AM12" s="99" t="n">
        <x:f>SUM(AM9:AM11)</x:f>
        <x:v>588442.084125185</x:v>
      </x:c>
      <x:c r="AN12" s="99" t="n">
        <x:f>SUM(AN9:AN11)</x:f>
        <x:v>588495.0961430686</x:v>
      </x:c>
      <x:c r="AO12" s="99" t="n">
        <x:f>SUM(AO9:AO11)</x:f>
        <x:v>588548.1081609521</x:v>
      </x:c>
      <x:c r="AP12" s="99" t="n">
        <x:f>SUM(AP9:AP11)</x:f>
        <x:v>588601.1201788358</x:v>
      </x:c>
      <x:c r="AQ12" s="99" t="n">
        <x:f>SUM(AQ9:AQ11)</x:f>
        <x:v>588654.1321967193</x:v>
      </x:c>
      <x:c r="AR12" s="99" t="n">
        <x:f>SUM(AR9:AR11)</x:f>
        <x:v>588707.144214603</x:v>
      </x:c>
    </x:row>
    <x:row r="13">
      <x:c r="A13" s="20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  <x:c r="AA13" s="38"/>
      <x:c r="AB13" s="38"/>
      <x:c r="AC13" s="38"/>
      <x:c r="AD13" s="38"/>
      <x:c r="AE13" s="38"/>
      <x:c r="AF13" s="38"/>
      <x:c r="AG13" s="94"/>
      <x:c r="AH13" s="94"/>
      <x:c r="AI13" s="94"/>
      <x:c r="AJ13" s="94"/>
      <x:c r="AK13" s="94"/>
      <x:c r="AL13" s="94"/>
      <x:c r="AM13" s="94"/>
      <x:c r="AN13" s="94"/>
      <x:c r="AO13" s="94"/>
      <x:c r="AP13" s="94"/>
      <x:c r="AQ13" s="94"/>
      <x:c r="AR13" s="94"/>
    </x:row>
    <x:row r="14">
      <x:c r="A14" s="32" t="str">
        <x:v>INTEREST-BEARING LIABILITIES</x:v>
      </x:c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36"/>
      <x:c r="Z14" s="36"/>
      <x:c r="AA14" s="36"/>
      <x:c r="AB14" s="36"/>
      <x:c r="AC14" s="36"/>
      <x:c r="AD14" s="36"/>
      <x:c r="AE14" s="36"/>
      <x:c r="AF14" s="36"/>
      <x:c r="AG14" s="96"/>
      <x:c r="AH14" s="96"/>
      <x:c r="AI14" s="96"/>
      <x:c r="AJ14" s="96"/>
      <x:c r="AK14" s="96"/>
      <x:c r="AL14" s="96"/>
      <x:c r="AM14" s="96"/>
      <x:c r="AN14" s="96"/>
      <x:c r="AO14" s="96"/>
      <x:c r="AP14" s="96"/>
      <x:c r="AQ14" s="96"/>
      <x:c r="AR14" s="96"/>
    </x:row>
    <x:row r="15">
      <x:c r="A15" s="20" t="str">
        <x:v>  Interest-bearing deposits</x:v>
      </x:c>
      <x:c r="B15" s="38" t="n">
        <x:f>IF(ISNUMBER('Quarter-End Anchors'!B15),'Quarter-End Anchors'!B15,Balance!B15)</x:f>
        <x:v>308788</x:v>
      </x:c>
      <x:c r="C15" s="38" t="n">
        <x:f>B15+(E15-B15)/3+(2*Balance!B15-B15-E15)</x:f>
        <x:v>308788</x:v>
      </x:c>
      <x:c r="D15" s="38" t="n">
        <x:f>B15+2*(E15-B15)/3+(2*Balance!B15-B15-E15)</x:f>
        <x:v>308788</x:v>
      </x:c>
      <x:c r="E15" s="38" t="n">
        <x:f>IF(ISNUMBER('Quarter-End Anchors'!C15),'Quarter-End Anchors'!C15,2*Balance!B15-B15)</x:f>
        <x:v>308788</x:v>
      </x:c>
      <x:c r="F15" s="38" t="n">
        <x:f>E15+(H15-E15)/3+(2*Balance!C15-E15-H15)</x:f>
        <x:v>311734</x:v>
      </x:c>
      <x:c r="G15" s="38" t="n">
        <x:f>E15+2*(H15-E15)/3+(2*Balance!C15-E15-H15)</x:f>
        <x:v>314680</x:v>
      </x:c>
      <x:c r="H15" s="38" t="n">
        <x:f>IF(ISNUMBER('Quarter-End Anchors'!D15),'Quarter-End Anchors'!D15,2*Balance!C15-E15)</x:f>
        <x:v>317626</x:v>
      </x:c>
      <x:c r="I15" s="38" t="n">
        <x:f>H15+(K15-H15)/3+(2*Balance!D15-H15-K15)</x:f>
        <x:v>316563.3333333333</x:v>
      </x:c>
      <x:c r="J15" s="38" t="n">
        <x:f>H15+2*(K15-H15)/3+(2*Balance!D15-H15-K15)</x:f>
        <x:v>315500.6666666667</x:v>
      </x:c>
      <x:c r="K15" s="38" t="n">
        <x:f>IF(ISNUMBER('Quarter-End Anchors'!E15),'Quarter-End Anchors'!E15,2*Balance!D15-H15)</x:f>
        <x:v>314438</x:v>
      </x:c>
      <x:c r="L15" s="38" t="n">
        <x:f>K15+(N15-K15)/3+(2*Balance!E15-K15-N15)</x:f>
        <x:v>315278.6666666667</x:v>
      </x:c>
      <x:c r="M15" s="38" t="n">
        <x:f>K15+2*(N15-K15)/3+(2*Balance!E15-K15-N15)</x:f>
        <x:v>317262.3333333333</x:v>
      </x:c>
      <x:c r="N15" s="38" t="n">
        <x:f>IF(ISNUMBER('Quarter-End Anchors'!F15),'Quarter-End Anchors'!F15,2*Balance!E15-K15)</x:f>
        <x:v>320389</x:v>
      </x:c>
      <x:c r="O15" s="38" t="n">
        <x:f>N15+(Q15-N15)/3+(2*Balance!F15-N15-Q15)</x:f>
        <x:v>314535.6666666667</x:v>
      </x:c>
      <x:c r="P15" s="38" t="n">
        <x:f>N15+2*(Q15-N15)/3+(2*Balance!F15-N15-Q15)</x:f>
        <x:v>315523.3333333333</x:v>
      </x:c>
      <x:c r="Q15" s="38" t="n">
        <x:f>IF(ISNUMBER('Quarter-End Anchors'!G15),'Quarter-End Anchors'!G15,2*Balance!F15-N15)</x:f>
        <x:v>323352</x:v>
      </x:c>
      <x:c r="R15" s="38" t="n">
        <x:f>Q15+(T15-Q15)/3+(2*Balance!G15-Q15-T15)</x:f>
        <x:v>321086.6666666667</x:v>
      </x:c>
      <x:c r="S15" s="38" t="n">
        <x:f>Q15+2*(T15-Q15)/3+(2*Balance!G15-Q15-T15)</x:f>
        <x:v>321448.3333333333</x:v>
      </x:c>
      <x:c r="T15" s="38" t="n">
        <x:f>IF(ISNUMBER('Quarter-End Anchors'!H15),'Quarter-End Anchors'!H15,2*Balance!G15-Q15)</x:f>
        <x:v>324437</x:v>
      </x:c>
      <x:c r="U15" s="38" t="n">
        <x:f>T15+(W15-T15)/3+(2*Balance!H15-T15-W15)</x:f>
        <x:v>322703.6666666667</x:v>
      </x:c>
      <x:c r="V15" s="38" t="n">
        <x:f>T15+2*(W15-T15)/3+(2*Balance!H15-T15-W15)</x:f>
        <x:v>323642.3333333333</x:v>
      </x:c>
      <x:c r="W15" s="38" t="n">
        <x:f>IF(ISNUMBER('Quarter-End Anchors'!I15),'Quarter-End Anchors'!I15,2*Balance!H15-T15)</x:f>
        <x:v>327253</x:v>
      </x:c>
      <x:c r="X15" s="38" t="n">
        <x:f>W15+(Z15-W15)/3+(2*Balance!I15-W15-Z15)</x:f>
        <x:v>329765.6666666667</x:v>
      </x:c>
      <x:c r="Y15" s="38" t="n">
        <x:f>W15+2*(Z15-W15)/3+(2*Balance!I15-W15-Z15)</x:f>
        <x:v>332876.3333333333</x:v>
      </x:c>
      <x:c r="Z15" s="38" t="n">
        <x:f>IF(ISNUMBER('Quarter-End Anchors'!J15),'Quarter-End Anchors'!J15,2*Balance!I15-W15)</x:f>
        <x:v>336585</x:v>
      </x:c>
      <x:c r="AA15" s="38" t="n">
        <x:f>Z15+(AC15-Z15)/3+(2*Balance!J15-Z15-AC15)</x:f>
        <x:v>336175.6666666667</x:v>
      </x:c>
      <x:c r="AB15" s="38" t="n">
        <x:f>Z15+2*(AC15-Z15)/3+(2*Balance!J15-Z15-AC15)</x:f>
        <x:v>337635.3333333333</x:v>
      </x:c>
      <x:c r="AC15" s="38" t="n">
        <x:f>IF(ISNUMBER('Quarter-End Anchors'!K15),'Quarter-End Anchors'!K15,2*Balance!J15-Z15)</x:f>
        <x:v>340964</x:v>
      </x:c>
      <x:c r="AD15" s="38" t="n">
        <x:f>AC15+(AF15-AC15)/3+(2*Balance!K15-AC15-AF15)</x:f>
        <x:v>367136</x:v>
      </x:c>
      <x:c r="AE15" s="38" t="n">
        <x:f>AC15+2*(AF15-AC15)/3+(2*Balance!K15-AC15-AF15)</x:f>
        <x:v>400225</x:v>
      </x:c>
      <x:c r="AF15" s="38" t="n">
        <x:f>IF(ISNUMBER('Quarter-End Anchors'!L15),'Quarter-End Anchors'!L15,2*Balance!K15-AC15)</x:f>
        <x:v>440231</x:v>
      </x:c>
      <x:c r="AG15" s="94" t="n">
        <x:f>AF15*('Forecast Drivers'!C12/'Forecast Drivers'!B12)</x:f>
        <x:v>440306.0024419793</x:v>
      </x:c>
      <x:c r="AH15" s="94" t="n">
        <x:f>AG15*('Forecast Drivers'!D12/'Forecast Drivers'!C12)</x:f>
        <x:v>440381.0048839586</x:v>
      </x:c>
      <x:c r="AI15" s="94" t="n">
        <x:f>AH15*('Forecast Drivers'!E12/'Forecast Drivers'!D12)</x:f>
        <x:v>440456.0073259379</x:v>
      </x:c>
      <x:c r="AJ15" s="94" t="n">
        <x:f>AI15*('Forecast Drivers'!F12/'Forecast Drivers'!E12)</x:f>
        <x:v>440531.0097679172</x:v>
      </x:c>
      <x:c r="AK15" s="94" t="n">
        <x:f>AJ15*('Forecast Drivers'!G12/'Forecast Drivers'!F12)</x:f>
        <x:v>440606.0122098966</x:v>
      </x:c>
      <x:c r="AL15" s="94" t="n">
        <x:f>AK15*('Forecast Drivers'!H12/'Forecast Drivers'!G12)</x:f>
        <x:v>440681.0146518759</x:v>
      </x:c>
      <x:c r="AM15" s="94" t="n">
        <x:f>AL15*('Forecast Drivers'!I12/'Forecast Drivers'!H12)</x:f>
        <x:v>440756.01709385525</x:v>
      </x:c>
      <x:c r="AN15" s="94" t="n">
        <x:f>AM15*('Forecast Drivers'!J12/'Forecast Drivers'!I12)</x:f>
        <x:v>440831.01953583455</x:v>
      </x:c>
      <x:c r="AO15" s="94" t="n">
        <x:f>AN15*('Forecast Drivers'!K12/'Forecast Drivers'!J12)</x:f>
        <x:v>440906.02197781386</x:v>
      </x:c>
      <x:c r="AP15" s="94" t="n">
        <x:f>AO15*('Forecast Drivers'!L12/'Forecast Drivers'!K12)</x:f>
        <x:v>440981.0244197932</x:v>
      </x:c>
      <x:c r="AQ15" s="94" t="n">
        <x:f>AP15*('Forecast Drivers'!M12/'Forecast Drivers'!L12)</x:f>
        <x:v>441056.0268617726</x:v>
      </x:c>
      <x:c r="AR15" s="94" t="n">
        <x:f>AQ15*('Forecast Drivers'!N12/'Forecast Drivers'!M12)</x:f>
        <x:v>441131.0293037519</x:v>
      </x:c>
    </x:row>
    <x:row r="16">
      <x:c r="A16" s="20" t="str">
        <x:v>  Securitized debt obligations</x:v>
      </x:c>
      <x:c r="B16" s="38" t="n">
        <x:f>IF(ISNUMBER('Quarter-End Anchors'!B16),'Quarter-End Anchors'!B16,Balance!B16)</x:f>
        <x:v>17251</x:v>
      </x:c>
      <x:c r="C16" s="38" t="n">
        <x:f>B16+(E16-B16)/3+(2*Balance!B16-B16-E16)</x:f>
        <x:v>17251</x:v>
      </x:c>
      <x:c r="D16" s="38" t="n">
        <x:f>B16+2*(E16-B16)/3+(2*Balance!B16-B16-E16)</x:f>
        <x:v>17251</x:v>
      </x:c>
      <x:c r="E16" s="38" t="n">
        <x:f>IF(ISNUMBER('Quarter-End Anchors'!C16),'Quarter-End Anchors'!C16,2*Balance!B16-B16)</x:f>
        <x:v>17251</x:v>
      </x:c>
      <x:c r="F16" s="38" t="n">
        <x:f>E16+(H16-E16)/3+(2*Balance!C16-E16-H16)</x:f>
        <x:v>17597.666666666668</x:v>
      </x:c>
      <x:c r="G16" s="38" t="n">
        <x:f>E16+2*(H16-E16)/3+(2*Balance!C16-E16-H16)</x:f>
        <x:v>17944.333333333332</x:v>
      </x:c>
      <x:c r="H16" s="38" t="n">
        <x:f>IF(ISNUMBER('Quarter-End Anchors'!D16),'Quarter-End Anchors'!D16,2*Balance!C16-E16)</x:f>
        <x:v>18291</x:v>
      </x:c>
      <x:c r="I16" s="38" t="n">
        <x:f>H16+(K16-H16)/3+(2*Balance!D16-H16-K16)</x:f>
        <x:v>17863</x:v>
      </x:c>
      <x:c r="J16" s="38" t="n">
        <x:f>H16+2*(K16-H16)/3+(2*Balance!D16-H16-K16)</x:f>
        <x:v>17435</x:v>
      </x:c>
      <x:c r="K16" s="38" t="n">
        <x:f>IF(ISNUMBER('Quarter-End Anchors'!E16),'Quarter-End Anchors'!E16,2*Balance!D16-H16)</x:f>
        <x:v>17007</x:v>
      </x:c>
      <x:c r="L16" s="38" t="n">
        <x:f>K16+(N16-K16)/3+(2*Balance!E16-K16-N16)</x:f>
        <x:v>18676.846504309124</x:v>
      </x:c>
      <x:c r="M16" s="38" t="n">
        <x:f>K16+2*(N16-K16)/3+(2*Balance!E16-K16-N16)</x:f>
        <x:v>18860.923252154564</x:v>
      </x:c>
      <x:c r="N16" s="38" t="n">
        <x:f>IF(ISNUMBER('Quarter-End Anchors'!F16),'Quarter-End Anchors'!F16,2*Balance!E16-K16)</x:f>
        <x:v>17559.230243536313</x:v>
      </x:c>
      <x:c r="O16" s="38" t="n">
        <x:f>N16+(Q16-N16)/3+(2*Balance!F16-N16-Q16)</x:f>
        <x:v>17988.604445166464</x:v>
      </x:c>
      <x:c r="P16" s="38" t="n">
        <x:f>N16+2*(Q16-N16)/3+(2*Balance!F16-N16-Q16)</x:f>
        <x:v>18050.687100815077</x:v>
      </x:c>
      <x:c r="Q16" s="38" t="n">
        <x:f>IF(ISNUMBER('Quarter-End Anchors'!G16),'Quarter-End Anchors'!G16,2*Balance!F16-N16)</x:f>
        <x:v>17745.478210482146</x:v>
      </x:c>
      <x:c r="R16" s="38" t="n">
        <x:f>Q16+(T16-Q16)/3+(2*Balance!G16-Q16-T16)</x:f>
        <x:v>17639.815446805354</x:v>
      </x:c>
      <x:c r="S16" s="38" t="n">
        <x:f>Q16+2*(T16-Q16)/3+(2*Balance!G16-Q16-T16)</x:f>
        <x:v>17399.168618161602</x:v>
      </x:c>
      <x:c r="T16" s="38" t="n">
        <x:f>IF(ISNUMBER('Quarter-End Anchors'!H16),'Quarter-End Anchors'!H16,2*Balance!G16-Q16)</x:f>
        <x:v>17023.537724550897</x:v>
      </x:c>
      <x:c r="U16" s="38" t="n">
        <x:f>T16+(W16-T16)/3+(2*Balance!H16-T16-W16)</x:f>
        <x:v>15228.460479417154</x:v>
      </x:c>
      <x:c r="V16" s="38" t="n">
        <x:f>T16+2*(W16-T16)/3+(2*Balance!H16-T16-W16)</x:f>
        <x:v>14935.461377433126</x:v>
      </x:c>
      <x:c r="W16" s="38" t="n">
        <x:f>IF(ISNUMBER('Quarter-End Anchors'!I16),'Quarter-End Anchors'!I16,2*Balance!H16-T16)</x:f>
        <x:v>16144.540418598823</x:v>
      </x:c>
      <x:c r="X16" s="38" t="n">
        <x:f>W16+(Z16-W16)/3+(2*Balance!I16-W16-Z16)</x:f>
        <x:v>14688.802947824786</x:v>
      </x:c>
      <x:c r="Y16" s="38" t="n">
        <x:f>W16+2*(Z16-W16)/3+(2*Balance!I16-W16-Z16)</x:f>
        <x:v>14192.13126461298</x:v>
      </x:c>
      <x:c r="Z16" s="38" t="n">
        <x:f>IF(ISNUMBER('Quarter-End Anchors'!J16),'Quarter-End Anchors'!J16,2*Balance!I16-W16)</x:f>
        <x:v>14654.52536896341</x:v>
      </x:c>
      <x:c r="AA16" s="38" t="n">
        <x:f>Z16+(AC16-Z16)/3+(2*Balance!J16-Z16-AC16)</x:f>
        <x:v>14017.746472339993</x:v>
      </x:c>
      <x:c r="AB16" s="38" t="n">
        <x:f>Z16+2*(AC16-Z16)/3+(2*Balance!J16-Z16-AC16)</x:f>
        <x:v>13412.61055168829</x:v>
      </x:c>
      <x:c r="AC16" s="38" t="n">
        <x:f>IF(ISNUMBER('Quarter-End Anchors'!K16),'Quarter-End Anchors'!K16,2*Balance!J16-Z16)</x:f>
        <x:v>12839.117607008306</x:v>
      </x:c>
      <x:c r="AD16" s="38" t="n">
        <x:f>AC16+(AF16-AC16)/3+(2*Balance!K16-AC16-AF16)</x:f>
        <x:v>11972.982838391328</x:v>
      </x:c>
      <x:c r="AE16" s="38" t="n">
        <x:f>AC16+2*(AF16-AC16)/3+(2*Balance!K16-AC16-AF16)</x:f>
        <x:v>12609.932615691512</x:v>
      </x:c>
      <x:c r="AF16" s="38" t="n">
        <x:f>IF(ISNUMBER('Quarter-End Anchors'!L16),'Quarter-End Anchors'!L16,2*Balance!K16-AC16)</x:f>
        <x:v>14749.966938908854</x:v>
      </x:c>
      <x:c r="AG16" s="94" t="n">
        <x:f>AF16*(1-'Forecast Drivers'!$B$19)</x:f>
        <x:v>14676.217104214309</x:v>
      </x:c>
      <x:c r="AH16" s="94" t="n">
        <x:f>AG16*(1-'Forecast Drivers'!$B$19)</x:f>
        <x:v>14602.836018693237</x:v>
      </x:c>
      <x:c r="AI16" s="94" t="n">
        <x:f>AH16*(1-'Forecast Drivers'!$B$19)</x:f>
        <x:v>14529.82183859977</x:v>
      </x:c>
      <x:c r="AJ16" s="94" t="n">
        <x:f>AI16*(1-'Forecast Drivers'!$B$19)</x:f>
        <x:v>14457.172729406771</x:v>
      </x:c>
      <x:c r="AK16" s="94" t="n">
        <x:f>AJ16*(1-'Forecast Drivers'!$B$19)</x:f>
        <x:v>14384.886865759738</x:v>
      </x:c>
      <x:c r="AL16" s="94" t="n">
        <x:f>AK16*(1-'Forecast Drivers'!$B$19)</x:f>
        <x:v>14312.962431430939</x:v>
      </x:c>
      <x:c r="AM16" s="94" t="n">
        <x:f>AL16*(1-'Forecast Drivers'!$B$19)</x:f>
        <x:v>14241.397619273785</x:v>
      </x:c>
      <x:c r="AN16" s="94" t="n">
        <x:f>AM16*(1-'Forecast Drivers'!$B$19)</x:f>
        <x:v>14170.190631177416</x:v>
      </x:c>
      <x:c r="AO16" s="94" t="n">
        <x:f>AN16*(1-'Forecast Drivers'!$B$19)</x:f>
        <x:v>14099.33967802153</x:v>
      </x:c>
      <x:c r="AP16" s="94" t="n">
        <x:f>AO16*(1-'Forecast Drivers'!$B$19)</x:f>
        <x:v>14028.842979631421</x:v>
      </x:c>
      <x:c r="AQ16" s="94" t="n">
        <x:f>AP16*(1-'Forecast Drivers'!$B$19)</x:f>
        <x:v>13958.698764733264</x:v>
      </x:c>
      <x:c r="AR16" s="94" t="n">
        <x:f>AQ16*(1-'Forecast Drivers'!$B$19)</x:f>
        <x:v>13888.905270909598</x:v>
      </x:c>
    </x:row>
    <x:row r="17">
      <x:c r="A17" s="20" t="str">
        <x:v>  Senior and subordinated notes</x:v>
      </x:c>
      <x:c r="B17" s="38" t="n">
        <x:f>IF(ISNUMBER('Quarter-End Anchors'!B17),'Quarter-End Anchors'!B17,Balance!B17)</x:f>
        <x:v>30136</x:v>
      </x:c>
      <x:c r="C17" s="38" t="n">
        <x:f>B17+(E17-B17)/3+(2*Balance!B17-B17-E17)</x:f>
        <x:v>30136</x:v>
      </x:c>
      <x:c r="D17" s="38" t="n">
        <x:f>B17+2*(E17-B17)/3+(2*Balance!B17-B17-E17)</x:f>
        <x:v>30136</x:v>
      </x:c>
      <x:c r="E17" s="38" t="n">
        <x:f>IF(ISNUMBER('Quarter-End Anchors'!C17),'Quarter-End Anchors'!C17,2*Balance!B17-B17)</x:f>
        <x:v>30136</x:v>
      </x:c>
      <x:c r="F17" s="38" t="n">
        <x:f>E17+(H17-E17)/3+(2*Balance!C17-E17-H17)</x:f>
        <x:v>30152.666666666668</x:v>
      </x:c>
      <x:c r="G17" s="38" t="n">
        <x:f>E17+2*(H17-E17)/3+(2*Balance!C17-E17-H17)</x:f>
        <x:v>30169.333333333332</x:v>
      </x:c>
      <x:c r="H17" s="38" t="n">
        <x:f>IF(ISNUMBER('Quarter-End Anchors'!D17),'Quarter-End Anchors'!D17,2*Balance!C17-E17)</x:f>
        <x:v>30186</x:v>
      </x:c>
      <x:c r="I17" s="38" t="n">
        <x:f>H17+(K17-H17)/3+(2*Balance!D17-H17-K17)</x:f>
        <x:v>31076.666666666668</x:v>
      </x:c>
      <x:c r="J17" s="38" t="n">
        <x:f>H17+2*(K17-H17)/3+(2*Balance!D17-H17-K17)</x:f>
        <x:v>31967.333333333332</x:v>
      </x:c>
      <x:c r="K17" s="38" t="n">
        <x:f>IF(ISNUMBER('Quarter-End Anchors'!E17),'Quarter-End Anchors'!E17,2*Balance!D17-H17)</x:f>
        <x:v>32858</x:v>
      </x:c>
      <x:c r="L17" s="38" t="n">
        <x:f>K17+(N17-K17)/3+(2*Balance!E17-K17-N17)</x:f>
        <x:v>33080.820162357544</x:v>
      </x:c>
      <x:c r="M17" s="38" t="n">
        <x:f>K17+2*(N17-K17)/3+(2*Balance!E17-K17-N17)</x:f>
        <x:v>32714.410081178772</x:v>
      </x:c>
      <x:c r="N17" s="38" t="n">
        <x:f>IF(ISNUMBER('Quarter-End Anchors'!F17),'Quarter-End Anchors'!F17,2*Balance!E17-K17)</x:f>
        <x:v>31758.769756463687</x:v>
      </x:c>
      <x:c r="O17" s="38" t="n">
        <x:f>N17+(Q17-N17)/3+(2*Balance!F17-N17-Q17)</x:f>
        <x:v>32470.72888816687</x:v>
      </x:c>
      <x:c r="P17" s="38" t="n">
        <x:f>N17+2*(Q17-N17)/3+(2*Balance!F17-N17-Q17)</x:f>
        <x:v>32566.97956585159</x:v>
      </x:c>
      <x:c r="Q17" s="38" t="n">
        <x:f>IF(ISNUMBER('Quarter-End Anchors'!G17),'Quarter-End Anchors'!G17,2*Balance!F17-N17)</x:f>
        <x:v>32047.521789517854</x:v>
      </x:c>
      <x:c r="R17" s="38" t="n">
        <x:f>Q17+(T17-Q17)/3+(2*Balance!G17-Q17-T17)</x:f>
        <x:v>31128.51788652798</x:v>
      </x:c>
      <x:c r="S17" s="38" t="n">
        <x:f>Q17+2*(T17-Q17)/3+(2*Balance!G17-Q17-T17)</x:f>
        <x:v>30518.498048505062</x:v>
      </x:c>
      <x:c r="T17" s="38" t="n">
        <x:f>IF(ISNUMBER('Quarter-End Anchors'!H17),'Quarter-End Anchors'!H17,2*Balance!G17-Q17)</x:f>
        <x:v>30217.462275449103</x:v>
      </x:c>
      <x:c r="U17" s="38" t="n">
        <x:f>T17+(W17-T17)/3+(2*Balance!H17-T17-W17)</x:f>
        <x:v>32228.53952058285</x:v>
      </x:c>
      <x:c r="V17" s="38" t="n">
        <x:f>T17+2*(W17-T17)/3+(2*Balance!H17-T17-W17)</x:f>
        <x:v>33046.53862256688</x:v>
      </x:c>
      <x:c r="W17" s="38" t="n">
        <x:f>IF(ISNUMBER('Quarter-End Anchors'!I17),'Quarter-End Anchors'!I17,2*Balance!H17-T17)</x:f>
        <x:v>32671.459581401177</x:v>
      </x:c>
      <x:c r="X17" s="38" t="n">
        <x:f>W17+(Z17-W17)/3+(2*Balance!I17-W17-Z17)</x:f>
        <x:v>30654.530385508548</x:v>
      </x:c>
      <x:c r="Y17" s="38" t="n">
        <x:f>W17+2*(Z17-W17)/3+(2*Balance!I17-W17-Z17)</x:f>
        <x:v>29875.535402053683</x:v>
      </x:c>
      <x:c r="Z17" s="38" t="n">
        <x:f>IF(ISNUMBER('Quarter-End Anchors'!J17),'Quarter-End Anchors'!J17,2*Balance!I17-W17)</x:f>
        <x:v>30334.47463103659</x:v>
      </x:c>
      <x:c r="AA17" s="38" t="n">
        <x:f>Z17+(AC17-Z17)/3+(2*Balance!J17-Z17-AC17)</x:f>
        <x:v>31643.253527660007</x:v>
      </x:c>
      <x:c r="AB17" s="38" t="n">
        <x:f>Z17+2*(AC17-Z17)/3+(2*Balance!J17-Z17-AC17)</x:f>
        <x:v>30985.389448311707</x:v>
      </x:c>
      <x:c r="AC17" s="38" t="n">
        <x:f>IF(ISNUMBER('Quarter-End Anchors'!K17),'Quarter-End Anchors'!K17,2*Balance!J17-Z17)</x:f>
        <x:v>28360.882392991694</x:v>
      </x:c>
      <x:c r="AD17" s="38" t="n">
        <x:f>AC17+(AF17-AC17)/3+(2*Balance!K17-AC17-AF17)</x:f>
        <x:v>31507.683828275334</x:v>
      </x:c>
      <x:c r="AE17" s="38" t="n">
        <x:f>AC17+2*(AF17-AC17)/3+(2*Balance!K17-AC17-AF17)</x:f>
        <x:v>34445.400717641816</x:v>
      </x:c>
      <x:c r="AF17" s="38" t="n">
        <x:f>IF(ISNUMBER('Quarter-End Anchors'!L17),'Quarter-End Anchors'!L17,2*Balance!K17-AC17)</x:f>
        <x:v>37174.03306109115</x:v>
      </x:c>
      <x:c r="AG17" s="94" t="n">
        <x:f>AF17</x:f>
        <x:v>37174.03306109115</x:v>
      </x:c>
      <x:c r="AH17" s="94" t="n">
        <x:f>AG17</x:f>
        <x:v>37174.03306109115</x:v>
      </x:c>
      <x:c r="AI17" s="94" t="n">
        <x:f>AH17</x:f>
        <x:v>37174.03306109115</x:v>
      </x:c>
      <x:c r="AJ17" s="94" t="n">
        <x:f>AI17</x:f>
        <x:v>37174.03306109115</x:v>
      </x:c>
      <x:c r="AK17" s="94" t="n">
        <x:f>AJ17</x:f>
        <x:v>37174.03306109115</x:v>
      </x:c>
      <x:c r="AL17" s="94" t="n">
        <x:f>AK17</x:f>
        <x:v>37174.03306109115</x:v>
      </x:c>
      <x:c r="AM17" s="94" t="n">
        <x:f>AL17</x:f>
        <x:v>37174.03306109115</x:v>
      </x:c>
      <x:c r="AN17" s="94" t="n">
        <x:f>AM17</x:f>
        <x:v>37174.03306109115</x:v>
      </x:c>
      <x:c r="AO17" s="94" t="n">
        <x:f>AN17</x:f>
        <x:v>37174.03306109115</x:v>
      </x:c>
      <x:c r="AP17" s="94" t="n">
        <x:f>AO17</x:f>
        <x:v>37174.03306109115</x:v>
      </x:c>
      <x:c r="AQ17" s="94" t="n">
        <x:f>AP17</x:f>
        <x:v>37174.03306109115</x:v>
      </x:c>
      <x:c r="AR17" s="94" t="n">
        <x:f>AQ17</x:f>
        <x:v>37174.03306109115</x:v>
      </x:c>
    </x:row>
    <x:row r="18">
      <x:c r="A18" s="20" t="str">
        <x:v>  Other borrowings</x:v>
      </x:c>
      <x:c r="B18" s="38" t="n">
        <x:f>IF(ISNUMBER('Quarter-End Anchors'!B18),'Quarter-End Anchors'!B18,Balance!B18)</x:f>
        <x:v>2335</x:v>
      </x:c>
      <x:c r="C18" s="38" t="n">
        <x:f>B18+(E18-B18)/3+(2*Balance!B18-B18-E18)</x:f>
        <x:v>2335</x:v>
      </x:c>
      <x:c r="D18" s="38" t="n">
        <x:f>B18+2*(E18-B18)/3+(2*Balance!B18-B18-E18)</x:f>
        <x:v>2335</x:v>
      </x:c>
      <x:c r="E18" s="38" t="n">
        <x:f>IF(ISNUMBER('Quarter-End Anchors'!C18),'Quarter-End Anchors'!C18,2*Balance!B18-B18)</x:f>
        <x:v>2335</x:v>
      </x:c>
      <x:c r="F18" s="38" t="n">
        <x:f>E18+(H18-E18)/3+(2*Balance!C18-E18-H18)</x:f>
        <x:v>2391</x:v>
      </x:c>
      <x:c r="G18" s="38" t="n">
        <x:f>E18+2*(H18-E18)/3+(2*Balance!C18-E18-H18)</x:f>
        <x:v>2447</x:v>
      </x:c>
      <x:c r="H18" s="38" t="n">
        <x:f>IF(ISNUMBER('Quarter-End Anchors'!D18),'Quarter-End Anchors'!D18,2*Balance!C18-E18)</x:f>
        <x:v>2503</x:v>
      </x:c>
      <x:c r="I18" s="38" t="n">
        <x:f>H18+(K18-H18)/3+(2*Balance!D18-H18-K18)</x:f>
        <x:v>2483</x:v>
      </x:c>
      <x:c r="J18" s="38" t="n">
        <x:f>H18+2*(K18-H18)/3+(2*Balance!D18-H18-K18)</x:f>
        <x:v>2463</x:v>
      </x:c>
      <x:c r="K18" s="38" t="n">
        <x:f>IF(ISNUMBER('Quarter-End Anchors'!E18),'Quarter-End Anchors'!E18,2*Balance!D18-H18)</x:f>
        <x:v>2443</x:v>
      </x:c>
      <x:c r="L18" s="38" t="n">
        <x:f>K18+(N18-K18)/3+(2*Balance!E18-K18-N18)</x:f>
        <x:v>3501</x:v>
      </x:c>
      <x:c r="M18" s="38" t="n">
        <x:f>K18+2*(N18-K18)/3+(2*Balance!E18-K18-N18)</x:f>
        <x:v>2875</x:v>
      </x:c>
      <x:c r="N18" s="38" t="n">
        <x:f>IF(ISNUMBER('Quarter-End Anchors'!F18),'Quarter-End Anchors'!F18,2*Balance!E18-K18)</x:f>
        <x:v>565</x:v>
      </x:c>
      <x:c r="O18" s="38" t="n">
        <x:f>N18+(Q18-N18)/3+(2*Balance!F18-N18-Q18)</x:f>
        <x:v>4163</x:v>
      </x:c>
      <x:c r="P18" s="38" t="n">
        <x:f>N18+2*(Q18-N18)/3+(2*Balance!F18-N18-Q18)</x:f>
        <x:v>4172</x:v>
      </x:c>
      <x:c r="Q18" s="38" t="n">
        <x:f>IF(ISNUMBER('Quarter-End Anchors'!G18),'Quarter-End Anchors'!G18,2*Balance!F18-N18)</x:f>
        <x:v>592</x:v>
      </x:c>
      <x:c r="R18" s="38" t="n">
        <x:f>Q18+(T18-Q18)/3+(2*Balance!G18-Q18-T18)</x:f>
        <x:v>4313.333333333333</x:v>
      </x:c>
      <x:c r="S18" s="38" t="n">
        <x:f>Q18+2*(T18-Q18)/3+(2*Balance!G18-Q18-T18)</x:f>
        <x:v>4362.666666666667</x:v>
      </x:c>
      <x:c r="T18" s="38" t="n">
        <x:f>IF(ISNUMBER('Quarter-End Anchors'!H18),'Quarter-End Anchors'!H18,2*Balance!G18-Q18)</x:f>
        <x:v>740</x:v>
      </x:c>
      <x:c r="U18" s="38" t="n">
        <x:f>T18+(W18-T18)/3+(2*Balance!H18-T18-W18)</x:f>
        <x:v>4168.666666666667</x:v>
      </x:c>
      <x:c r="V18" s="38" t="n">
        <x:f>T18+2*(W18-T18)/3+(2*Balance!H18-T18-W18)</x:f>
        <x:v>4103.333333333333</x:v>
      </x:c>
      <x:c r="W18" s="38" t="n">
        <x:f>IF(ISNUMBER('Quarter-End Anchors'!I18),'Quarter-End Anchors'!I18,2*Balance!H18-T18)</x:f>
        <x:v>544</x:v>
      </x:c>
      <x:c r="X18" s="38" t="n">
        <x:f>W18+(Z18-W18)/3+(2*Balance!I18-W18-Z18)</x:f>
        <x:v>4284.666666666667</x:v>
      </x:c>
      <x:c r="Y18" s="38" t="n">
        <x:f>W18+2*(Z18-W18)/3+(2*Balance!I18-W18-Z18)</x:f>
        <x:v>4300.333333333333</x:v>
      </x:c>
      <x:c r="Z18" s="38" t="n">
        <x:f>IF(ISNUMBER('Quarter-End Anchors'!J18),'Quarter-End Anchors'!J18,2*Balance!I18-W18)</x:f>
        <x:v>591</x:v>
      </x:c>
      <x:c r="AA18" s="38" t="n">
        <x:f>Z18+(AC18-Z18)/3+(2*Balance!J18-Z18-AC18)</x:f>
        <x:v>4028.3333333333335</x:v>
      </x:c>
      <x:c r="AB18" s="38" t="n">
        <x:f>Z18+2*(AC18-Z18)/3+(2*Balance!J18-Z18-AC18)</x:f>
        <x:v>4030.6666666666665</x:v>
      </x:c>
      <x:c r="AC18" s="38" t="n">
        <x:f>IF(ISNUMBER('Quarter-End Anchors'!K18),'Quarter-End Anchors'!K18,2*Balance!J18-Z18)</x:f>
        <x:v>598</x:v>
      </x:c>
      <x:c r="AD18" s="38" t="n">
        <x:f>AC18+(AF18-AC18)/3+(2*Balance!K18-AC18-AF18)</x:f>
        <x:v>4676.666666666667</x:v>
      </x:c>
      <x:c r="AE18" s="38" t="n">
        <x:f>AC18+2*(AF18-AC18)/3+(2*Balance!K18-AC18-AF18)</x:f>
        <x:v>4911.333333333333</x:v>
      </x:c>
      <x:c r="AF18" s="38" t="n">
        <x:f>IF(ISNUMBER('Quarter-End Anchors'!L18),'Quarter-End Anchors'!L18,2*Balance!K18-AC18)</x:f>
        <x:v>1302</x:v>
      </x:c>
      <x:c r="AG18" s="94" t="n">
        <x:f>AF18</x:f>
        <x:v>1302</x:v>
      </x:c>
      <x:c r="AH18" s="94" t="n">
        <x:f>AG18</x:f>
        <x:v>1302</x:v>
      </x:c>
      <x:c r="AI18" s="94" t="n">
        <x:f>AH18</x:f>
        <x:v>1302</x:v>
      </x:c>
      <x:c r="AJ18" s="94" t="n">
        <x:f>AI18</x:f>
        <x:v>1302</x:v>
      </x:c>
      <x:c r="AK18" s="94" t="n">
        <x:f>AJ18</x:f>
        <x:v>1302</x:v>
      </x:c>
      <x:c r="AL18" s="94" t="n">
        <x:f>AK18</x:f>
        <x:v>1302</x:v>
      </x:c>
      <x:c r="AM18" s="94" t="n">
        <x:f>AL18</x:f>
        <x:v>1302</x:v>
      </x:c>
      <x:c r="AN18" s="94" t="n">
        <x:f>AM18</x:f>
        <x:v>1302</x:v>
      </x:c>
      <x:c r="AO18" s="94" t="n">
        <x:f>AN18</x:f>
        <x:v>1302</x:v>
      </x:c>
      <x:c r="AP18" s="94" t="n">
        <x:f>AO18</x:f>
        <x:v>1302</x:v>
      </x:c>
      <x:c r="AQ18" s="94" t="n">
        <x:f>AP18</x:f>
        <x:v>1302</x:v>
      </x:c>
      <x:c r="AR18" s="94" t="n">
        <x:f>AQ18</x:f>
        <x:v>1302</x:v>
      </x:c>
    </x:row>
    <x:row r="19">
      <x:c r="A19" s="26" t="str">
        <x:v>  Total interest-bearing liabilities</x:v>
      </x:c>
      <x:c r="B19" s="35" t="n">
        <x:f>SUM(B15:B18)</x:f>
        <x:v>358510</x:v>
      </x:c>
      <x:c r="C19" s="35" t="n">
        <x:f>SUM(C15:C18)</x:f>
        <x:v>358510</x:v>
      </x:c>
      <x:c r="D19" s="35" t="n">
        <x:f>SUM(D15:D18)</x:f>
        <x:v>358510</x:v>
      </x:c>
      <x:c r="E19" s="35" t="n">
        <x:f>SUM(E15:E18)</x:f>
        <x:v>358510</x:v>
      </x:c>
      <x:c r="F19" s="35" t="n">
        <x:f>SUM(F15:F18)</x:f>
        <x:v>361875.3333333334</x:v>
      </x:c>
      <x:c r="G19" s="35" t="n">
        <x:f>SUM(G15:G18)</x:f>
        <x:v>365240.6666666666</x:v>
      </x:c>
      <x:c r="H19" s="35" t="n">
        <x:f>SUM(H15:H18)</x:f>
        <x:v>368606</x:v>
      </x:c>
      <x:c r="I19" s="35" t="n">
        <x:f>SUM(I15:I18)</x:f>
        <x:v>367986</x:v>
      </x:c>
      <x:c r="J19" s="35" t="n">
        <x:f>SUM(J15:J18)</x:f>
        <x:v>367366</x:v>
      </x:c>
      <x:c r="K19" s="35" t="n">
        <x:f>SUM(K15:K18)</x:f>
        <x:v>366746</x:v>
      </x:c>
      <x:c r="L19" s="35" t="n">
        <x:f>SUM(L15:L18)</x:f>
        <x:v>370537.3333333333</x:v>
      </x:c>
      <x:c r="M19" s="35" t="n">
        <x:f>SUM(M15:M18)</x:f>
        <x:v>371712.6666666666</x:v>
      </x:c>
      <x:c r="N19" s="35" t="n">
        <x:f>SUM(N15:N18)</x:f>
        <x:v>370272</x:v>
      </x:c>
      <x:c r="O19" s="35" t="n">
        <x:f>SUM(O15:O18)</x:f>
        <x:v>369158.00000000006</x:v>
      </x:c>
      <x:c r="P19" s="35" t="n">
        <x:f>SUM(P15:P18)</x:f>
        <x:v>370312.99999999994</x:v>
      </x:c>
      <x:c r="Q19" s="35" t="n">
        <x:f>SUM(Q15:Q18)</x:f>
        <x:v>373737</x:v>
      </x:c>
      <x:c r="R19" s="35" t="n">
        <x:f>SUM(R15:R18)</x:f>
        <x:v>374168.3333333334</x:v>
      </x:c>
      <x:c r="S19" s="35" t="n">
        <x:f>SUM(S15:S18)</x:f>
        <x:v>373728.6666666666</x:v>
      </x:c>
      <x:c r="T19" s="35" t="n">
        <x:f>SUM(T15:T18)</x:f>
        <x:v>372418</x:v>
      </x:c>
      <x:c r="U19" s="35" t="n">
        <x:f>SUM(U15:U18)</x:f>
        <x:v>374329.3333333334</x:v>
      </x:c>
      <x:c r="V19" s="35" t="n">
        <x:f>SUM(V15:V18)</x:f>
        <x:v>375727.6666666667</x:v>
      </x:c>
      <x:c r="W19" s="35" t="n">
        <x:f>SUM(W15:W18)</x:f>
        <x:v>376613</x:v>
      </x:c>
      <x:c r="X19" s="35" t="n">
        <x:f>SUM(X15:X18)</x:f>
        <x:v>379393.6666666667</x:v>
      </x:c>
      <x:c r="Y19" s="35" t="n">
        <x:f>SUM(Y15:Y18)</x:f>
        <x:v>381244.33333333326</x:v>
      </x:c>
      <x:c r="Z19" s="35" t="n">
        <x:f>SUM(Z15:Z18)</x:f>
        <x:v>382165</x:v>
      </x:c>
      <x:c r="AA19" s="35" t="n">
        <x:f>SUM(AA15:AA18)</x:f>
        <x:v>385865</x:v>
      </x:c>
      <x:c r="AB19" s="35" t="n">
        <x:f>SUM(AB15:AB18)</x:f>
        <x:v>386064</x:v>
      </x:c>
      <x:c r="AC19" s="35" t="n">
        <x:f>SUM(AC15:AC18)</x:f>
        <x:v>382762</x:v>
      </x:c>
      <x:c r="AD19" s="35" t="n">
        <x:f>SUM(AD15:AD18)</x:f>
        <x:v>415293.3333333334</x:v>
      </x:c>
      <x:c r="AE19" s="35" t="n">
        <x:f>SUM(AE15:AE18)</x:f>
        <x:v>452191.6666666666</x:v>
      </x:c>
      <x:c r="AF19" s="35" t="n">
        <x:f>SUM(AF15:AF18)</x:f>
        <x:v>493457</x:v>
      </x:c>
      <x:c r="AG19" s="99" t="n">
        <x:f>SUM(AG15:AG18)</x:f>
        <x:v>493458.25260728475</x:v>
      </x:c>
      <x:c r="AH19" s="99" t="n">
        <x:f>SUM(AH15:AH18)</x:f>
        <x:v>493459.873963743</x:v>
      </x:c>
      <x:c r="AI19" s="99" t="n">
        <x:f>SUM(AI15:AI18)</x:f>
        <x:v>493461.8622256288</x:v>
      </x:c>
      <x:c r="AJ19" s="99" t="n">
        <x:f>SUM(AJ15:AJ18)</x:f>
        <x:v>493464.21555841516</x:v>
      </x:c>
      <x:c r="AK19" s="99" t="n">
        <x:f>SUM(AK15:AK18)</x:f>
        <x:v>493466.93213674746</x:v>
      </x:c>
      <x:c r="AL19" s="99" t="n">
        <x:f>SUM(AL15:AL18)</x:f>
        <x:v>493470.01014439797</x:v>
      </x:c>
      <x:c r="AM19" s="99" t="n">
        <x:f>SUM(AM15:AM18)</x:f>
        <x:v>493473.4477742202</x:v>
      </x:c>
      <x:c r="AN19" s="99" t="n">
        <x:f>SUM(AN15:AN18)</x:f>
        <x:v>493477.2432281031</x:v>
      </x:c>
      <x:c r="AO19" s="99" t="n">
        <x:f>SUM(AO15:AO18)</x:f>
        <x:v>493481.39471692656</x:v>
      </x:c>
      <x:c r="AP19" s="99" t="n">
        <x:f>SUM(AP15:AP18)</x:f>
        <x:v>493485.9004605158</x:v>
      </x:c>
      <x:c r="AQ19" s="99" t="n">
        <x:f>SUM(AQ15:AQ18)</x:f>
        <x:v>493490.758687597</x:v>
      </x:c>
      <x:c r="AR19" s="99" t="n">
        <x:f>SUM(AR15:AR18)</x:f>
        <x:v>493495.96763575263</x:v>
      </x:c>
    </x:row>
    <x:row r="20">
      <x:c r="A20" s="20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  <x:c r="AA20" s="34"/>
      <x:c r="AB20" s="34"/>
      <x:c r="AC20" s="34"/>
      <x:c r="AD20" s="34"/>
      <x:c r="AE20" s="34"/>
      <x:c r="AF20" s="34"/>
      <x:c r="AG20" s="94"/>
      <x:c r="AH20" s="94"/>
      <x:c r="AI20" s="94"/>
      <x:c r="AJ20" s="94"/>
      <x:c r="AK20" s="94"/>
      <x:c r="AL20" s="94"/>
      <x:c r="AM20" s="94"/>
      <x:c r="AN20" s="94"/>
      <x:c r="AO20" s="94"/>
      <x:c r="AP20" s="94"/>
      <x:c r="AQ20" s="94"/>
      <x:c r="AR20" s="94"/>
    </x:row>
    <x:row r="21">
      <x:c r="A21" s="26" t="str">
        <x:v>Net earning assets (assets − liabilities)</x:v>
      </x:c>
      <x:c r="B21" s="35" t="n">
        <x:f>B12-B19</x:f>
        <x:v>70821</x:v>
      </x:c>
      <x:c r="C21" s="35" t="n">
        <x:f>C12-C19</x:f>
        <x:v>72079</x:v>
      </x:c>
      <x:c r="D21" s="35" t="n">
        <x:f>D12-D19</x:f>
        <x:v>77318</x:v>
      </x:c>
      <x:c r="E21" s="35" t="n">
        <x:f>E12-E19</x:f>
        <x:v>86538</x:v>
      </x:c>
      <x:c r="F21" s="35" t="n">
        <x:f>F12-F19</x:f>
        <x:v>71632.66666666663</x:v>
      </x:c>
      <x:c r="G21" s="35" t="n">
        <x:f>G12-G19</x:f>
        <x:v>68128.33333333337</x:v>
      </x:c>
      <x:c r="H21" s="35" t="n">
        <x:f>H12-H19</x:f>
        <x:v>76025</x:v>
      </x:c>
      <x:c r="I21" s="35" t="n">
        <x:f>I12-I19</x:f>
        <x:v>73979</x:v>
      </x:c>
      <x:c r="J21" s="35" t="n">
        <x:f>J12-J19</x:f>
        <x:v>74833</x:v>
      </x:c>
      <x:c r="K21" s="35" t="n">
        <x:f>K12-K19</x:f>
        <x:v>78587</x:v>
      </x:c>
      <x:c r="L21" s="35" t="n">
        <x:f>L12-L19</x:f>
        <x:v>79433.66666666669</x:v>
      </x:c>
      <x:c r="M21" s="35" t="n">
        <x:f>M12-M19</x:f>
        <x:v>77595.33333333337</x:v>
      </x:c>
      <x:c r="N21" s="35" t="n">
        <x:f>N12-N19</x:f>
        <x:v>73072</x:v>
      </x:c>
      <x:c r="O21" s="35" t="n">
        <x:f>O12-O19</x:f>
        <x:v>81963.99999999994</x:v>
      </x:c>
      <x:c r="P21" s="35" t="n">
        <x:f>P12-P19</x:f>
        <x:v>81379.00000000006</x:v>
      </x:c>
      <x:c r="Q21" s="35" t="n">
        <x:f>Q12-Q19</x:f>
        <x:v>71317</x:v>
      </x:c>
      <x:c r="R21" s="35" t="n">
        <x:f>R12-R19</x:f>
        <x:v>82453</x:v>
      </x:c>
      <x:c r="S21" s="35" t="n">
        <x:f>S12-S19</x:f>
        <x:v>82963</x:v>
      </x:c>
      <x:c r="T21" s="35" t="n">
        <x:f>T12-T19</x:f>
        <x:v>72847</x:v>
      </x:c>
      <x:c r="U21" s="35" t="n">
        <x:f>U12-U19</x:f>
        <x:v>83908.99999999994</x:v>
      </x:c>
      <x:c r="V21" s="35" t="n">
        <x:f>V12-V19</x:f>
        <x:v>85243</x:v>
      </x:c>
      <x:c r="W21" s="35" t="n">
        <x:f>W12-W19</x:f>
        <x:v>76849</x:v>
      </x:c>
      <x:c r="X21" s="35" t="n">
        <x:f>X12-X19</x:f>
        <x:v>87859.66666666663</x:v>
      </x:c>
      <x:c r="Y21" s="35" t="n">
        <x:f>Y12-Y19</x:f>
        <x:v>86341.33333333343</x:v>
      </x:c>
      <x:c r="Z21" s="35" t="n">
        <x:f>Z12-Z19</x:f>
        <x:v>72294</x:v>
      </x:c>
      <x:c r="AA21" s="35" t="n">
        <x:f>AA12-AA19</x:f>
        <x:v>83574</x:v>
      </x:c>
      <x:c r="AB21" s="35" t="n">
        <x:f>AB12-AB19</x:f>
        <x:v>84196.99999999994</x:v>
      </x:c>
      <x:c r="AC21" s="35" t="n">
        <x:f>AC12-AC19</x:f>
        <x:v>74163</x:v>
      </x:c>
      <x:c r="AD21" s="35" t="n">
        <x:f>AD12-AD19</x:f>
        <x:v>90209</x:v>
      </x:c>
      <x:c r="AE21" s="35" t="n">
        <x:f>AE12-AE19</x:f>
        <x:v>97026</x:v>
      </x:c>
      <x:c r="AF21" s="35" t="n">
        <x:f>AF12-AF19</x:f>
        <x:v>94614</x:v>
      </x:c>
      <x:c r="AG21" s="99" t="n">
        <x:f>AG12-AG19</x:f>
        <x:v>94665.75941059872</x:v>
      </x:c>
      <x:c r="AH21" s="99" t="n">
        <x:f>AH12-AH19</x:f>
        <x:v>94717.1500720242</x:v>
      </x:c>
      <x:c r="AI21" s="99" t="n">
        <x:f>AI12-AI19</x:f>
        <x:v>94768.17382802186</x:v>
      </x:c>
      <x:c r="AJ21" s="99" t="n">
        <x:f>AJ12-AJ19</x:f>
        <x:v>94818.83251311921</x:v>
      </x:c>
      <x:c r="AK21" s="99" t="n">
        <x:f>AK12-AK19</x:f>
        <x:v>94869.1279526705</x:v>
      </x:c>
      <x:c r="AL21" s="99" t="n">
        <x:f>AL12-AL19</x:f>
        <x:v>94919.06196290336</x:v>
      </x:c>
      <x:c r="AM21" s="99" t="n">
        <x:f>AM12-AM19</x:f>
        <x:v>94968.63635096484</x:v>
      </x:c>
      <x:c r="AN21" s="99" t="n">
        <x:f>AN12-AN19</x:f>
        <x:v>95017.85291496554</x:v>
      </x:c>
      <x:c r="AO21" s="99" t="n">
        <x:f>AO12-AO19</x:f>
        <x:v>95066.71344402555</x:v>
      </x:c>
      <x:c r="AP21" s="99" t="n">
        <x:f>AP12-AP19</x:f>
        <x:v>95115.21971832</x:v>
      </x:c>
      <x:c r="AQ21" s="99" t="n">
        <x:f>AQ12-AQ19</x:f>
        <x:v>95163.37350912229</x:v>
      </x:c>
      <x:c r="AR21" s="99" t="n">
        <x:f>AR12-AR19</x:f>
        <x:v>95211.17657885037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RowHeight="15"/>
  <x:cols>
    <x:col min="1" max="1" width="4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</x:cols>
  <x:sheetData>
    <x:row r="1">
      <x:c r="A1" s="28" t="str">
        <x:v>Capital One - Imputed Monthly Average Balance by line item ($mm)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  <x:c r="AA1" s="20"/>
      <x:c r="AB1" s="20"/>
      <x:c r="AC1" s="20"/>
      <x:c r="AD1" s="20"/>
      <x:c r="AE1" s="20"/>
      <x:c r="AF1" s="20"/>
      <x:c r="AG1" s="20"/>
      <x:c r="AH1" s="20"/>
      <x:c r="AI1" s="20"/>
      <x:c r="AJ1" s="20"/>
      <x:c r="AK1" s="20"/>
      <x:c r="AL1" s="20"/>
      <x:c r="AM1" s="20"/>
      <x:c r="AN1" s="20"/>
      <x:c r="AO1" s="20"/>
      <x:c r="AP1" s="20"/>
      <x:c r="AQ1" s="20"/>
    </x:row>
    <x:row r="2" ht="31" customHeight="1">
      <x:c r="A2" s="30" t="str">
        <x:v>Monthly average balance is the average of prior and current month end. Forecast months begin Jul-25.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0"/>
      <x:c r="AB2" s="30"/>
      <x:c r="AC2" s="30"/>
      <x:c r="AD2" s="30"/>
      <x:c r="AE2" s="30"/>
      <x:c r="AF2" s="30"/>
      <x:c r="AG2" s="30"/>
      <x:c r="AH2" s="30"/>
      <x:c r="AI2" s="30"/>
      <x:c r="AJ2" s="30"/>
      <x:c r="AK2" s="30"/>
      <x:c r="AL2" s="30"/>
      <x:c r="AM2" s="30"/>
      <x:c r="AN2" s="30"/>
      <x:c r="AO2" s="30"/>
      <x:c r="AP2" s="30"/>
      <x:c r="AQ2" s="3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</x:row>
    <x:row r="4">
      <x:c r="A4" s="26" t="str">
        <x:v>Line item (as disclosed)</x:v>
      </x:c>
      <x:c r="B4" s="31" t="n">
        <x:v>44957</x:v>
      </x:c>
      <x:c r="C4" s="31" t="n">
        <x:v>44985</x:v>
      </x:c>
      <x:c r="D4" s="31" t="n">
        <x:v>45016</x:v>
      </x:c>
      <x:c r="E4" s="31" t="n">
        <x:v>45046</x:v>
      </x:c>
      <x:c r="F4" s="31" t="n">
        <x:v>45077</x:v>
      </x:c>
      <x:c r="G4" s="31" t="n">
        <x:v>45107</x:v>
      </x:c>
      <x:c r="H4" s="31" t="n">
        <x:v>45138</x:v>
      </x:c>
      <x:c r="I4" s="31" t="n">
        <x:v>45169</x:v>
      </x:c>
      <x:c r="J4" s="31" t="n">
        <x:v>45199</x:v>
      </x:c>
      <x:c r="K4" s="31" t="n">
        <x:v>45230</x:v>
      </x:c>
      <x:c r="L4" s="31" t="n">
        <x:v>45260</x:v>
      </x:c>
      <x:c r="M4" s="31" t="n">
        <x:v>45291</x:v>
      </x:c>
      <x:c r="N4" s="31" t="n">
        <x:v>45322</x:v>
      </x:c>
      <x:c r="O4" s="31" t="n">
        <x:v>45351</x:v>
      </x:c>
      <x:c r="P4" s="31" t="n">
        <x:v>45382</x:v>
      </x:c>
      <x:c r="Q4" s="31" t="n">
        <x:v>45412</x:v>
      </x:c>
      <x:c r="R4" s="31" t="n">
        <x:v>45443</x:v>
      </x:c>
      <x:c r="S4" s="31" t="n">
        <x:v>45473</x:v>
      </x:c>
      <x:c r="T4" s="31" t="n">
        <x:v>45504</x:v>
      </x:c>
      <x:c r="U4" s="31" t="n">
        <x:v>45535</x:v>
      </x:c>
      <x:c r="V4" s="31" t="n">
        <x:v>45565</x:v>
      </x:c>
      <x:c r="W4" s="31" t="n">
        <x:v>45596</x:v>
      </x:c>
      <x:c r="X4" s="31" t="n">
        <x:v>45626</x:v>
      </x:c>
      <x:c r="Y4" s="31" t="n">
        <x:v>45657</x:v>
      </x:c>
      <x:c r="Z4" s="31" t="n">
        <x:v>45688</x:v>
      </x:c>
      <x:c r="AA4" s="31" t="n">
        <x:v>45716</x:v>
      </x:c>
      <x:c r="AB4" s="31" t="n">
        <x:v>45747</x:v>
      </x:c>
      <x:c r="AC4" s="31" t="n">
        <x:v>45777</x:v>
      </x:c>
      <x:c r="AD4" s="31" t="n">
        <x:v>45808</x:v>
      </x:c>
      <x:c r="AE4" s="31" t="n">
        <x:v>45838</x:v>
      </x:c>
      <x:c r="AF4" s="93" t="n">
        <x:v>45869</x:v>
      </x:c>
      <x:c r="AG4" s="93" t="n">
        <x:v>45900</x:v>
      </x:c>
      <x:c r="AH4" s="93" t="n">
        <x:v>45930</x:v>
      </x:c>
      <x:c r="AI4" s="93" t="n">
        <x:v>45961</x:v>
      </x:c>
      <x:c r="AJ4" s="93" t="n">
        <x:v>45991</x:v>
      </x:c>
      <x:c r="AK4" s="93" t="n">
        <x:v>46022</x:v>
      </x:c>
      <x:c r="AL4" s="93" t="n">
        <x:v>46053</x:v>
      </x:c>
      <x:c r="AM4" s="93" t="n">
        <x:v>46081</x:v>
      </x:c>
      <x:c r="AN4" s="93" t="n">
        <x:v>46112</x:v>
      </x:c>
      <x:c r="AO4" s="93" t="n">
        <x:v>46142</x:v>
      </x:c>
      <x:c r="AP4" s="93" t="n">
        <x:v>46173</x:v>
      </x:c>
      <x:c r="AQ4" s="93" t="n">
        <x:v>46203</x:v>
      </x:c>
    </x:row>
    <x:row r="5">
      <x:c r="A5" s="32" t="str">
        <x:v>INTEREST-EARNING ASSETS</x:v>
      </x:c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  <x:c r="S5" s="32"/>
      <x:c r="T5" s="32"/>
      <x:c r="U5" s="32"/>
      <x:c r="V5" s="32"/>
      <x:c r="W5" s="32"/>
      <x:c r="X5" s="32"/>
      <x:c r="Y5" s="32"/>
      <x:c r="Z5" s="32"/>
      <x:c r="AA5" s="32"/>
      <x:c r="AB5" s="32"/>
      <x:c r="AC5" s="32"/>
      <x:c r="AD5" s="32"/>
      <x:c r="AE5" s="32"/>
      <x:c r="AF5" s="32"/>
      <x:c r="AG5" s="32"/>
      <x:c r="AH5" s="32"/>
      <x:c r="AI5" s="32"/>
      <x:c r="AJ5" s="32"/>
      <x:c r="AK5" s="32"/>
      <x:c r="AL5" s="32"/>
      <x:c r="AM5" s="32"/>
      <x:c r="AN5" s="32"/>
      <x:c r="AO5" s="32"/>
      <x:c r="AP5" s="32"/>
      <x:c r="AQ5" s="32"/>
    </x:row>
    <x:row r="6">
      <x:c r="A6" s="20" t="str">
        <x:v>  Credit card</x:v>
      </x:c>
      <x:c r="B6" s="38" t="n">
        <x:f>AVERAGE('Monthly EOP Balance'!B6,'Monthly EOP Balance'!C6)</x:f>
        <x:v>134669</x:v>
      </x:c>
      <x:c r="C6" s="38" t="n">
        <x:f>AVERAGE('Monthly EOP Balance'!C6,'Monthly EOP Balance'!D6)</x:f>
        <x:v>134669</x:v>
      </x:c>
      <x:c r="D6" s="38" t="n">
        <x:f>AVERAGE('Monthly EOP Balance'!D6,'Monthly EOP Balance'!E6)</x:f>
        <x:v>134669</x:v>
      </x:c>
      <x:c r="E6" s="38" t="n">
        <x:f>AVERAGE('Monthly EOP Balance'!E6,'Monthly EOP Balance'!F6)</x:f>
        <x:v>136033.3333333333</x:v>
      </x:c>
      <x:c r="F6" s="38" t="n">
        <x:f>AVERAGE('Monthly EOP Balance'!F6,'Monthly EOP Balance'!G6)</x:f>
        <x:v>138762</x:v>
      </x:c>
      <x:c r="G6" s="38" t="n">
        <x:f>AVERAGE('Monthly EOP Balance'!G6,'Monthly EOP Balance'!H6)</x:f>
        <x:v>141490.6666666667</x:v>
      </x:c>
      <x:c r="H6" s="38" t="n">
        <x:f>AVERAGE('Monthly EOP Balance'!H6,'Monthly EOP Balance'!I6)</x:f>
        <x:v>143254.3333333333</x:v>
      </x:c>
      <x:c r="I6" s="38" t="n">
        <x:f>AVERAGE('Monthly EOP Balance'!I6,'Monthly EOP Balance'!J6)</x:f>
        <x:v>144053</x:v>
      </x:c>
      <x:c r="J6" s="38" t="n">
        <x:f>AVERAGE('Monthly EOP Balance'!J6,'Monthly EOP Balance'!K6)</x:f>
        <x:v>144851.6666666667</x:v>
      </x:c>
      <x:c r="K6" s="38" t="n">
        <x:f>AVERAGE('Monthly EOP Balance'!K6,'Monthly EOP Balance'!L6)</x:f>
        <x:v>147236.3440409698</x:v>
      </x:c>
      <x:c r="L6" s="38" t="n">
        <x:f>AVERAGE('Monthly EOP Balance'!L6,'Monthly EOP Balance'!M6)</x:f>
        <x:v>150159.51606145472</x:v>
      </x:c>
      <x:c r="M6" s="38" t="n">
        <x:f>AVERAGE('Monthly EOP Balance'!M6,'Monthly EOP Balance'!N6)</x:f>
        <x:v>150987.6559590302</x:v>
      </x:c>
      <x:c r="N6" s="38" t="n">
        <x:f>AVERAGE('Monthly EOP Balance'!N6,'Monthly EOP Balance'!O6)</x:f>
        <x:v>150390.14860445017</x:v>
      </x:c>
      <x:c r="O6" s="38" t="n">
        <x:f>AVERAGE('Monthly EOP Balance'!O6,'Monthly EOP Balance'!P6)</x:f>
        <x:v>149731.7550295847</x:v>
      </x:c>
      <x:c r="P6" s="38" t="n">
        <x:f>AVERAGE('Monthly EOP Balance'!P6,'Monthly EOP Balance'!Q6)</x:f>
        <x:v>149707.85139554983</x:v>
      </x:c>
      <x:c r="Q6" s="38" t="n">
        <x:f>AVERAGE('Monthly EOP Balance'!Q6,'Monthly EOP Balance'!R6)</x:f>
        <x:v>150152.57892314848</x:v>
      </x:c>
      <x:c r="R6" s="38" t="n">
        <x:f>AVERAGE('Monthly EOP Balance'!R6,'Monthly EOP Balance'!S6)</x:f>
        <x:v>150807.34632098267</x:v>
      </x:c>
      <x:c r="S6" s="38" t="n">
        <x:f>AVERAGE('Monthly EOP Balance'!S6,'Monthly EOP Balance'!T6)</x:f>
        <x:v>151579.42107685152</x:v>
      </x:c>
      <x:c r="T6" s="38" t="n">
        <x:f>AVERAGE('Monthly EOP Balance'!T6,'Monthly EOP Balance'!U6)</x:f>
        <x:v>153191.9011395459</x:v>
      </x:c>
      <x:c r="U6" s="38" t="n">
        <x:f>AVERAGE('Monthly EOP Balance'!U6,'Monthly EOP Balance'!V6)</x:f>
        <x:v>154873.06641502422</x:v>
      </x:c>
      <x:c r="V6" s="38" t="n">
        <x:f>AVERAGE('Monthly EOP Balance'!V6,'Monthly EOP Balance'!W6)</x:f>
        <x:v>155128.0988604541</x:v>
      </x:c>
      <x:c r="W6" s="38" t="n">
        <x:f>AVERAGE('Monthly EOP Balance'!W6,'Monthly EOP Balance'!X6)</x:f>
        <x:v>155642.52992379395</x:v>
      </x:c>
      <x:c r="X6" s="38" t="n">
        <x:f>AVERAGE('Monthly EOP Balance'!X6,'Monthly EOP Balance'!Y6)</x:f>
        <x:v>157244.713010034</x:v>
      </x:c>
      <x:c r="Y6" s="38" t="n">
        <x:f>AVERAGE('Monthly EOP Balance'!Y6,'Monthly EOP Balance'!Z6)</x:f>
        <x:v>159077.47007620605</x:v>
      </x:c>
      <x:c r="Z6" s="38" t="n">
        <x:f>AVERAGE('Monthly EOP Balance'!Z6,'Monthly EOP Balance'!AA6)</x:f>
        <x:v>157489.0770714117</x:v>
      </x:c>
      <x:c r="AA6" s="38" t="n">
        <x:f>AVERAGE('Monthly EOP Balance'!AA6,'Monthly EOP Balance'!AB6)</x:f>
        <x:v>154386.12350284244</x:v>
      </x:c>
      <x:c r="AB6" s="38" t="n">
        <x:f>AVERAGE('Monthly EOP Balance'!AB6,'Monthly EOP Balance'!AC6)</x:f>
        <x:v>155326.9229285883</x:v>
      </x:c>
      <x:c r="AC6" s="38" t="n">
        <x:f>AVERAGE('Monthly EOP Balance'!AC6,'Monthly EOP Balance'!AD6)</x:f>
        <x:v>180845.28967624748</x:v>
      </x:c>
      <x:c r="AD6" s="38" t="n">
        <x:f>AVERAGE('Monthly EOP Balance'!AD6,'Monthly EOP Balance'!AE6)</x:f>
        <x:v>219306.1736243312</x:v>
      </x:c>
      <x:c r="AE6" s="38" t="n">
        <x:f>AVERAGE('Monthly EOP Balance'!AE6,'Monthly EOP Balance'!AF6)</x:f>
        <x:v>238540.71032375252</x:v>
      </x:c>
      <x:c r="AF6" s="94" t="n">
        <x:f>AVERAGE('Monthly EOP Balance'!AF6,'Monthly EOP Balance'!AG6)</x:f>
        <x:v>243372.12182880176</x:v>
      </x:c>
      <x:c r="AG6" s="94" t="n">
        <x:f>AVERAGE('Monthly EOP Balance'!AG6,'Monthly EOP Balance'!AH6)</x:f>
        <x:v>243413.58176381007</x:v>
      </x:c>
      <x:c r="AH6" s="94" t="n">
        <x:f>AVERAGE('Monthly EOP Balance'!AH6,'Monthly EOP Balance'!AI6)</x:f>
        <x:v>243455.04169881844</x:v>
      </x:c>
      <x:c r="AI6" s="94" t="n">
        <x:f>AVERAGE('Monthly EOP Balance'!AI6,'Monthly EOP Balance'!AJ6)</x:f>
        <x:v>243496.5016338268</x:v>
      </x:c>
      <x:c r="AJ6" s="94" t="n">
        <x:f>AVERAGE('Monthly EOP Balance'!AJ6,'Monthly EOP Balance'!AK6)</x:f>
        <x:v>243537.96156883516</x:v>
      </x:c>
      <x:c r="AK6" s="94" t="n">
        <x:f>AVERAGE('Monthly EOP Balance'!AK6,'Monthly EOP Balance'!AL6)</x:f>
        <x:v>243579.4215038435</x:v>
      </x:c>
      <x:c r="AL6" s="94" t="n">
        <x:f>AVERAGE('Monthly EOP Balance'!AL6,'Monthly EOP Balance'!AM6)</x:f>
        <x:v>243620.88143885188</x:v>
      </x:c>
      <x:c r="AM6" s="94" t="n">
        <x:f>AVERAGE('Monthly EOP Balance'!AM6,'Monthly EOP Balance'!AN6)</x:f>
        <x:v>243662.34137386025</x:v>
      </x:c>
      <x:c r="AN6" s="94" t="n">
        <x:f>AVERAGE('Monthly EOP Balance'!AN6,'Monthly EOP Balance'!AO6)</x:f>
        <x:v>243703.80130886857</x:v>
      </x:c>
      <x:c r="AO6" s="94" t="n">
        <x:f>AVERAGE('Monthly EOP Balance'!AO6,'Monthly EOP Balance'!AP6)</x:f>
        <x:v>243745.26124387694</x:v>
      </x:c>
      <x:c r="AP6" s="94" t="n">
        <x:f>AVERAGE('Monthly EOP Balance'!AP6,'Monthly EOP Balance'!AQ6)</x:f>
        <x:v>243786.72117888532</x:v>
      </x:c>
      <x:c r="AQ6" s="94" t="n">
        <x:f>AVERAGE('Monthly EOP Balance'!AQ6,'Monthly EOP Balance'!AR6)</x:f>
        <x:v>243828.1811138937</x:v>
      </x:c>
    </x:row>
    <x:row r="7">
      <x:c r="A7" s="20" t="str">
        <x:v>  Consumer banking</x:v>
      </x:c>
      <x:c r="B7" s="38" t="n">
        <x:f>AVERAGE('Monthly EOP Balance'!B7,'Monthly EOP Balance'!C7)</x:f>
        <x:v>79000</x:v>
      </x:c>
      <x:c r="C7" s="38" t="n">
        <x:f>AVERAGE('Monthly EOP Balance'!C7,'Monthly EOP Balance'!D7)</x:f>
        <x:v>79000</x:v>
      </x:c>
      <x:c r="D7" s="38" t="n">
        <x:f>AVERAGE('Monthly EOP Balance'!D7,'Monthly EOP Balance'!E7)</x:f>
        <x:v>79000</x:v>
      </x:c>
      <x:c r="E7" s="38" t="n">
        <x:f>AVERAGE('Monthly EOP Balance'!E7,'Monthly EOP Balance'!F7)</x:f>
        <x:v>78566.33333333334</x:v>
      </x:c>
      <x:c r="F7" s="38" t="n">
        <x:f>AVERAGE('Monthly EOP Balance'!F7,'Monthly EOP Balance'!G7)</x:f>
        <x:v>77699</x:v>
      </x:c>
      <x:c r="G7" s="38" t="n">
        <x:f>AVERAGE('Monthly EOP Balance'!G7,'Monthly EOP Balance'!H7)</x:f>
        <x:v>76831.66666666666</x:v>
      </x:c>
      <x:c r="H7" s="38" t="n">
        <x:f>AVERAGE('Monthly EOP Balance'!H7,'Monthly EOP Balance'!I7)</x:f>
        <x:v>76650</x:v>
      </x:c>
      <x:c r="I7" s="38" t="n">
        <x:f>AVERAGE('Monthly EOP Balance'!I7,'Monthly EOP Balance'!J7)</x:f>
        <x:v>77154</x:v>
      </x:c>
      <x:c r="J7" s="38" t="n">
        <x:f>AVERAGE('Monthly EOP Balance'!J7,'Monthly EOP Balance'!K7)</x:f>
        <x:v>77658</x:v>
      </x:c>
      <x:c r="K7" s="38" t="n">
        <x:f>AVERAGE('Monthly EOP Balance'!K7,'Monthly EOP Balance'!L7)</x:f>
        <x:v>76485.08718398842</x:v>
      </x:c>
      <x:c r="L7" s="38" t="n">
        <x:f>AVERAGE('Monthly EOP Balance'!L7,'Monthly EOP Balance'!M7)</x:f>
        <x:v>74929.63077598264</x:v>
      </x:c>
      <x:c r="M7" s="38" t="n">
        <x:f>AVERAGE('Monthly EOP Balance'!M7,'Monthly EOP Balance'!N7)</x:f>
        <x:v>75962.91281601158</x:v>
      </x:c>
      <x:c r="N7" s="38" t="n">
        <x:f>AVERAGE('Monthly EOP Balance'!N7,'Monthly EOP Balance'!O7)</x:f>
        <x:v>75802.02120218697</x:v>
      </x:c>
      <x:c r="O7" s="38" t="n">
        <x:f>AVERAGE('Monthly EOP Balance'!O7,'Monthly EOP Balance'!P7)</x:f>
        <x:v>74121.79335524574</x:v>
      </x:c>
      <x:c r="P7" s="38" t="n">
        <x:f>AVERAGE('Monthly EOP Balance'!P7,'Monthly EOP Balance'!Q7)</x:f>
        <x:v>74379.97879781303</x:v>
      </x:c>
      <x:c r="Q7" s="38" t="n">
        <x:f>AVERAGE('Monthly EOP Balance'!Q7,'Monthly EOP Balance'!R7)</x:f>
        <x:v>75067.21128338635</x:v>
      </x:c>
      <x:c r="R7" s="38" t="n">
        <x:f>AVERAGE('Monthly EOP Balance'!R7,'Monthly EOP Balance'!S7)</x:f>
        <x:v>75300.14208360572</x:v>
      </x:c>
      <x:c r="S7" s="38" t="n">
        <x:f>AVERAGE('Monthly EOP Balance'!S7,'Monthly EOP Balance'!T7)</x:f>
        <x:v>75704.78871661365</x:v>
      </x:c>
      <x:c r="T7" s="38" t="n">
        <x:f>AVERAGE('Monthly EOP Balance'!T7,'Monthly EOP Balance'!U7)</x:f>
        <x:v>75982.93509723619</x:v>
      </x:c>
      <x:c r="U7" s="38" t="n">
        <x:f>AVERAGE('Monthly EOP Balance'!U7,'Monthly EOP Balance'!V7)</x:f>
        <x:v>76115.3616545395</x:v>
      </x:c>
      <x:c r="V7" s="38" t="n">
        <x:f>AVERAGE('Monthly EOP Balance'!V7,'Monthly EOP Balance'!W7)</x:f>
        <x:v>76381.06490276381</x:v>
      </x:c>
      <x:c r="W7" s="38" t="n">
        <x:f>AVERAGE('Monthly EOP Balance'!W7,'Monthly EOP Balance'!X7)</x:f>
        <x:v>76562.75780161153</x:v>
      </x:c>
      <x:c r="X7" s="38" t="n">
        <x:f>AVERAGE('Monthly EOP Balance'!X7,'Monthly EOP Balance'!Y7)</x:f>
        <x:v>76912.40100281106</x:v>
      </x:c>
      <x:c r="Y7" s="38" t="n">
        <x:f>AVERAGE('Monthly EOP Balance'!Y7,'Monthly EOP Balance'!Z7)</x:f>
        <x:v>77899.24219838847</x:v>
      </x:c>
      <x:c r="Z7" s="38" t="n">
        <x:f>AVERAGE('Monthly EOP Balance'!Z7,'Monthly EOP Balance'!AA7)</x:f>
        <x:v>78437.0418477109</x:v>
      </x:c>
      <x:c r="AA7" s="38" t="n">
        <x:f>AVERAGE('Monthly EOP Balance'!AA7,'Monthly EOP Balance'!AB7)</x:f>
        <x:v>78343.6004767947</x:v>
      </x:c>
      <x:c r="AB7" s="38" t="n">
        <x:f>AVERAGE('Monthly EOP Balance'!AB7,'Monthly EOP Balance'!AC7)</x:f>
        <x:v>78522.9581522891</x:v>
      </x:c>
      <x:c r="AC7" s="38" t="n">
        <x:f>AVERAGE('Monthly EOP Balance'!AC7,'Monthly EOP Balance'!AD7)</x:f>
        <x:v>75338.19039394223</x:v>
      </x:c>
      <x:c r="AD7" s="38" t="n">
        <x:f>AVERAGE('Monthly EOP Balance'!AD7,'Monthly EOP Balance'!AE7)</x:f>
        <x:v>74373.94883927444</x:v>
      </x:c>
      <x:c r="AE7" s="38" t="n">
        <x:f>AVERAGE('Monthly EOP Balance'!AE7,'Monthly EOP Balance'!AF7)</x:f>
        <x:v>84851.80960605777</x:v>
      </x:c>
      <x:c r="AF7" s="94" t="n">
        <x:f>AVERAGE('Monthly EOP Balance'!AF7,'Monthly EOP Balance'!AG7)</x:f>
        <x:v>92943.02246269493</x:v>
      </x:c>
      <x:c r="AG7" s="94" t="n">
        <x:f>AVERAGE('Monthly EOP Balance'!AG7,'Monthly EOP Balance'!AH7)</x:f>
        <x:v>92926.5362484604</x:v>
      </x:c>
      <x:c r="AH7" s="94" t="n">
        <x:f>AVERAGE('Monthly EOP Balance'!AH7,'Monthly EOP Balance'!AI7)</x:f>
        <x:v>92910.05003422586</x:v>
      </x:c>
      <x:c r="AI7" s="94" t="n">
        <x:f>AVERAGE('Monthly EOP Balance'!AI7,'Monthly EOP Balance'!AJ7)</x:f>
        <x:v>92893.56381999134</x:v>
      </x:c>
      <x:c r="AJ7" s="94" t="n">
        <x:f>AVERAGE('Monthly EOP Balance'!AJ7,'Monthly EOP Balance'!AK7)</x:f>
        <x:v>92877.0776057568</x:v>
      </x:c>
      <x:c r="AK7" s="94" t="n">
        <x:f>AVERAGE('Monthly EOP Balance'!AK7,'Monthly EOP Balance'!AL7)</x:f>
        <x:v>92860.59139152226</x:v>
      </x:c>
      <x:c r="AL7" s="94" t="n">
        <x:f>AVERAGE('Monthly EOP Balance'!AL7,'Monthly EOP Balance'!AM7)</x:f>
        <x:v>92844.10517728774</x:v>
      </x:c>
      <x:c r="AM7" s="94" t="n">
        <x:f>AVERAGE('Monthly EOP Balance'!AM7,'Monthly EOP Balance'!AN7)</x:f>
        <x:v>92827.61896305322</x:v>
      </x:c>
      <x:c r="AN7" s="94" t="n">
        <x:f>AVERAGE('Monthly EOP Balance'!AN7,'Monthly EOP Balance'!AO7)</x:f>
        <x:v>92811.13274881868</x:v>
      </x:c>
      <x:c r="AO7" s="94" t="n">
        <x:f>AVERAGE('Monthly EOP Balance'!AO7,'Monthly EOP Balance'!AP7)</x:f>
        <x:v>92794.64653458414</x:v>
      </x:c>
      <x:c r="AP7" s="94" t="n">
        <x:f>AVERAGE('Monthly EOP Balance'!AP7,'Monthly EOP Balance'!AQ7)</x:f>
        <x:v>92778.16032034962</x:v>
      </x:c>
      <x:c r="AQ7" s="94" t="n">
        <x:f>AVERAGE('Monthly EOP Balance'!AQ7,'Monthly EOP Balance'!AR7)</x:f>
        <x:v>92761.67410611507</x:v>
      </x:c>
    </x:row>
    <x:row r="8">
      <x:c r="A8" s="20" t="str">
        <x:v>  Commercial banking</x:v>
      </x:c>
      <x:c r="B8" s="38" t="n">
        <x:f>AVERAGE('Monthly EOP Balance'!B8,'Monthly EOP Balance'!C8)</x:f>
        <x:v>94446</x:v>
      </x:c>
      <x:c r="C8" s="38" t="n">
        <x:f>AVERAGE('Monthly EOP Balance'!C8,'Monthly EOP Balance'!D8)</x:f>
        <x:v>94446</x:v>
      </x:c>
      <x:c r="D8" s="38" t="n">
        <x:f>AVERAGE('Monthly EOP Balance'!D8,'Monthly EOP Balance'!E8)</x:f>
        <x:v>94446</x:v>
      </x:c>
      <x:c r="E8" s="38" t="n">
        <x:f>AVERAGE('Monthly EOP Balance'!E8,'Monthly EOP Balance'!F8)</x:f>
        <x:v>94255.33333333334</x:v>
      </x:c>
      <x:c r="F8" s="38" t="n">
        <x:f>AVERAGE('Monthly EOP Balance'!F8,'Monthly EOP Balance'!G8)</x:f>
        <x:v>93874</x:v>
      </x:c>
      <x:c r="G8" s="38" t="n">
        <x:f>AVERAGE('Monthly EOP Balance'!G8,'Monthly EOP Balance'!H8)</x:f>
        <x:v>93492.66666666666</x:v>
      </x:c>
      <x:c r="H8" s="38" t="n">
        <x:f>AVERAGE('Monthly EOP Balance'!H8,'Monthly EOP Balance'!I8)</x:f>
        <x:v>92952.66666666666</x:v>
      </x:c>
      <x:c r="I8" s="38" t="n">
        <x:f>AVERAGE('Monthly EOP Balance'!I8,'Monthly EOP Balance'!J8)</x:f>
        <x:v>92254</x:v>
      </x:c>
      <x:c r="J8" s="38" t="n">
        <x:f>AVERAGE('Monthly EOP Balance'!J8,'Monthly EOP Balance'!K8)</x:f>
        <x:v>91555.33333333334</x:v>
      </x:c>
      <x:c r="K8" s="38" t="n">
        <x:f>AVERAGE('Monthly EOP Balance'!K8,'Monthly EOP Balance'!L8)</x:f>
        <x:v>90964.56877504176</x:v>
      </x:c>
      <x:c r="L8" s="38" t="n">
        <x:f>AVERAGE('Monthly EOP Balance'!L8,'Monthly EOP Balance'!M8)</x:f>
        <x:v>90933.35316256263</x:v>
      </x:c>
      <x:c r="M8" s="38" t="n">
        <x:f>AVERAGE('Monthly EOP Balance'!M8,'Monthly EOP Balance'!N8)</x:f>
        <x:v>91805.43122495824</x:v>
      </x:c>
      <x:c r="N8" s="38" t="n">
        <x:f>AVERAGE('Monthly EOP Balance'!N8,'Monthly EOP Balance'!O8)</x:f>
        <x:v>91143.49686002953</x:v>
      </x:c>
      <x:c r="O8" s="38" t="n">
        <x:f>AVERAGE('Monthly EOP Balance'!O8,'Monthly EOP Balance'!P8)</x:f>
        <x:v>89459.45161516956</x:v>
      </x:c>
      <x:c r="P8" s="38" t="n">
        <x:f>AVERAGE('Monthly EOP Balance'!P8,'Monthly EOP Balance'!Q8)</x:f>
        <x:v>89702.50313997047</x:v>
      </x:c>
      <x:c r="Q8" s="38" t="n">
        <x:f>AVERAGE('Monthly EOP Balance'!Q8,'Monthly EOP Balance'!R8)</x:f>
        <x:v>89592.5431267985</x:v>
      </x:c>
      <x:c r="R8" s="38" t="n">
        <x:f>AVERAGE('Monthly EOP Balance'!R8,'Monthly EOP Balance'!S8)</x:f>
        <x:v>88868.5115954116</x:v>
      </x:c>
      <x:c r="S8" s="38" t="n">
        <x:f>AVERAGE('Monthly EOP Balance'!S8,'Monthly EOP Balance'!T8)</x:f>
        <x:v>89549.4568732015</x:v>
      </x:c>
      <x:c r="T8" s="38" t="n">
        <x:f>AVERAGE('Monthly EOP Balance'!T8,'Monthly EOP Balance'!U8)</x:f>
        <x:v>88854.49709655126</x:v>
      </x:c>
      <x:c r="U8" s="38" t="n">
        <x:f>AVERAGE('Monthly EOP Balance'!U8,'Monthly EOP Balance'!V8)</x:f>
        <x:v>87227.07193043626</x:v>
      </x:c>
      <x:c r="V8" s="38" t="n">
        <x:f>AVERAGE('Monthly EOP Balance'!V8,'Monthly EOP Balance'!W8)</x:f>
        <x:v>87891.50290344874</x:v>
      </x:c>
      <x:c r="W8" s="38" t="n">
        <x:f>AVERAGE('Monthly EOP Balance'!W8,'Monthly EOP Balance'!X8)</x:f>
        <x:v>87547.04560792787</x:v>
      </x:c>
      <x:c r="X8" s="38" t="n">
        <x:f>AVERAGE('Monthly EOP Balance'!X8,'Monthly EOP Balance'!Y8)</x:f>
        <x:v>86359.88598715495</x:v>
      </x:c>
      <x:c r="Y8" s="38" t="n">
        <x:f>AVERAGE('Monthly EOP Balance'!Y8,'Monthly EOP Balance'!Z8)</x:f>
        <x:v>87796.95439207213</x:v>
      </x:c>
      <x:c r="Z8" s="38" t="n">
        <x:f>AVERAGE('Monthly EOP Balance'!Z8,'Monthly EOP Balance'!AA8)</x:f>
        <x:v>88238.21441421073</x:v>
      </x:c>
      <x:c r="AA8" s="38" t="n">
        <x:f>AVERAGE('Monthly EOP Balance'!AA8,'Monthly EOP Balance'!AB8)</x:f>
        <x:v>87127.77602036284</x:v>
      </x:c>
      <x:c r="AB8" s="38" t="n">
        <x:f>AVERAGE('Monthly EOP Balance'!AB8,'Monthly EOP Balance'!AC8)</x:f>
        <x:v>87529.78558578927</x:v>
      </x:c>
      <x:c r="AC8" s="38" t="n">
        <x:f>AVERAGE('Monthly EOP Balance'!AC8,'Monthly EOP Balance'!AD8)</x:f>
        <x:v>83787.18659647694</x:v>
      </x:c>
      <x:c r="AD8" s="38" t="n">
        <x:f>AVERAGE('Monthly EOP Balance'!AD8,'Monthly EOP Balance'!AE8)</x:f>
        <x:v>81946.37753639437</x:v>
      </x:c>
      <x:c r="AE8" s="38" t="n">
        <x:f>AVERAGE('Monthly EOP Balance'!AE8,'Monthly EOP Balance'!AF8)</x:f>
        <x:v>93710.81340352306</x:v>
      </x:c>
      <x:c r="AF8" s="94" t="n">
        <x:f>AVERAGE('Monthly EOP Balance'!AF8,'Monthly EOP Balance'!AG8)</x:f>
        <x:v>103003.11617547713</x:v>
      </x:c>
      <x:c r="AG8" s="94" t="n">
        <x:f>AVERAGE('Monthly EOP Balance'!AG8,'Monthly EOP Balance'!AH8)</x:f>
        <x:v>103020.66338865092</x:v>
      </x:c>
      <x:c r="AH8" s="94" t="n">
        <x:f>AVERAGE('Monthly EOP Balance'!AH8,'Monthly EOP Balance'!AI8)</x:f>
        <x:v>103038.21060182474</x:v>
      </x:c>
      <x:c r="AI8" s="94" t="n">
        <x:f>AVERAGE('Monthly EOP Balance'!AI8,'Monthly EOP Balance'!AJ8)</x:f>
        <x:v>103055.75781499855</x:v>
      </x:c>
      <x:c r="AJ8" s="94" t="n">
        <x:f>AVERAGE('Monthly EOP Balance'!AJ8,'Monthly EOP Balance'!AK8)</x:f>
        <x:v>103073.30502817237</x:v>
      </x:c>
      <x:c r="AK8" s="94" t="n">
        <x:f>AVERAGE('Monthly EOP Balance'!AK8,'Monthly EOP Balance'!AL8)</x:f>
        <x:v>103090.85224134618</x:v>
      </x:c>
      <x:c r="AL8" s="94" t="n">
        <x:f>AVERAGE('Monthly EOP Balance'!AL8,'Monthly EOP Balance'!AM8)</x:f>
        <x:v>103108.39945452</x:v>
      </x:c>
      <x:c r="AM8" s="94" t="n">
        <x:f>AVERAGE('Monthly EOP Balance'!AM8,'Monthly EOP Balance'!AN8)</x:f>
        <x:v>103125.94666769382</x:v>
      </x:c>
      <x:c r="AN8" s="94" t="n">
        <x:f>AVERAGE('Monthly EOP Balance'!AN8,'Monthly EOP Balance'!AO8)</x:f>
        <x:v>103143.49388086762</x:v>
      </x:c>
      <x:c r="AO8" s="94" t="n">
        <x:f>AVERAGE('Monthly EOP Balance'!AO8,'Monthly EOP Balance'!AP8)</x:f>
        <x:v>103161.04109404144</x:v>
      </x:c>
      <x:c r="AP8" s="94" t="n">
        <x:f>AVERAGE('Monthly EOP Balance'!AP8,'Monthly EOP Balance'!AQ8)</x:f>
        <x:v>103178.58830721526</x:v>
      </x:c>
      <x:c r="AQ8" s="94" t="n">
        <x:f>AVERAGE('Monthly EOP Balance'!AQ8,'Monthly EOP Balance'!AR8)</x:f>
        <x:v>103196.13552038907</x:v>
      </x:c>
    </x:row>
    <x:row r="9">
      <x:c r="A9" s="26" t="str">
        <x:v>  Total loans (incl. HFS)</x:v>
      </x:c>
      <x:c r="B9" s="35" t="n">
        <x:f>AVERAGE('Monthly EOP Balance'!B9,'Monthly EOP Balance'!C9)</x:f>
        <x:v>308115</x:v>
      </x:c>
      <x:c r="C9" s="35" t="n">
        <x:f>AVERAGE('Monthly EOP Balance'!C9,'Monthly EOP Balance'!D9)</x:f>
        <x:v>308115</x:v>
      </x:c>
      <x:c r="D9" s="35" t="n">
        <x:f>AVERAGE('Monthly EOP Balance'!D9,'Monthly EOP Balance'!E9)</x:f>
        <x:v>308115</x:v>
      </x:c>
      <x:c r="E9" s="35" t="n">
        <x:f>AVERAGE('Monthly EOP Balance'!E9,'Monthly EOP Balance'!F9)</x:f>
        <x:v>308855</x:v>
      </x:c>
      <x:c r="F9" s="35" t="n">
        <x:f>AVERAGE('Monthly EOP Balance'!F9,'Monthly EOP Balance'!G9)</x:f>
        <x:v>310335</x:v>
      </x:c>
      <x:c r="G9" s="35" t="n">
        <x:f>AVERAGE('Monthly EOP Balance'!G9,'Monthly EOP Balance'!H9)</x:f>
        <x:v>311815</x:v>
      </x:c>
      <x:c r="H9" s="35" t="n">
        <x:f>AVERAGE('Monthly EOP Balance'!H9,'Monthly EOP Balance'!I9)</x:f>
        <x:v>312857</x:v>
      </x:c>
      <x:c r="I9" s="35" t="n">
        <x:f>AVERAGE('Monthly EOP Balance'!I9,'Monthly EOP Balance'!J9)</x:f>
        <x:v>313461</x:v>
      </x:c>
      <x:c r="J9" s="35" t="n">
        <x:f>AVERAGE('Monthly EOP Balance'!J9,'Monthly EOP Balance'!K9)</x:f>
        <x:v>314065</x:v>
      </x:c>
      <x:c r="K9" s="35" t="n">
        <x:f>AVERAGE('Monthly EOP Balance'!K9,'Monthly EOP Balance'!L9)</x:f>
        <x:v>314686</x:v>
      </x:c>
      <x:c r="L9" s="35" t="n">
        <x:f>AVERAGE('Monthly EOP Balance'!L9,'Monthly EOP Balance'!M9)</x:f>
        <x:v>316022.5</x:v>
      </x:c>
      <x:c r="M9" s="35" t="n">
        <x:f>AVERAGE('Monthly EOP Balance'!M9,'Monthly EOP Balance'!N9)</x:f>
        <x:v>318756</x:v>
      </x:c>
      <x:c r="N9" s="35" t="n">
        <x:f>AVERAGE('Monthly EOP Balance'!N9,'Monthly EOP Balance'!O9)</x:f>
        <x:v>317335.6666666667</x:v>
      </x:c>
      <x:c r="O9" s="35" t="n">
        <x:f>AVERAGE('Monthly EOP Balance'!O9,'Monthly EOP Balance'!P9)</x:f>
        <x:v>313313</x:v>
      </x:c>
      <x:c r="P9" s="35" t="n">
        <x:f>AVERAGE('Monthly EOP Balance'!P9,'Monthly EOP Balance'!Q9)</x:f>
        <x:v>313790.3333333333</x:v>
      </x:c>
      <x:c r="Q9" s="35" t="n">
        <x:f>AVERAGE('Monthly EOP Balance'!Q9,'Monthly EOP Balance'!R9)</x:f>
        <x:v>314812.3333333334</x:v>
      </x:c>
      <x:c r="R9" s="35" t="n">
        <x:f>AVERAGE('Monthly EOP Balance'!R9,'Monthly EOP Balance'!S9)</x:f>
        <x:v>314976</x:v>
      </x:c>
      <x:c r="S9" s="35" t="n">
        <x:f>AVERAGE('Monthly EOP Balance'!S9,'Monthly EOP Balance'!T9)</x:f>
        <x:v>316833.6666666666</x:v>
      </x:c>
      <x:c r="T9" s="35" t="n">
        <x:f>AVERAGE('Monthly EOP Balance'!T9,'Monthly EOP Balance'!U9)</x:f>
        <x:v>318029.3333333333</x:v>
      </x:c>
      <x:c r="U9" s="35" t="n">
        <x:f>AVERAGE('Monthly EOP Balance'!U9,'Monthly EOP Balance'!V9)</x:f>
        <x:v>318215.5</x:v>
      </x:c>
      <x:c r="V9" s="35" t="n">
        <x:f>AVERAGE('Monthly EOP Balance'!V9,'Monthly EOP Balance'!W9)</x:f>
        <x:v>319400.6666666667</x:v>
      </x:c>
      <x:c r="W9" s="35" t="n">
        <x:f>AVERAGE('Monthly EOP Balance'!W9,'Monthly EOP Balance'!X9)</x:f>
        <x:v>319752.3333333333</x:v>
      </x:c>
      <x:c r="X9" s="35" t="n">
        <x:f>AVERAGE('Monthly EOP Balance'!X9,'Monthly EOP Balance'!Y9)</x:f>
        <x:v>320517</x:v>
      </x:c>
      <x:c r="Y9" s="35" t="n">
        <x:f>AVERAGE('Monthly EOP Balance'!Y9,'Monthly EOP Balance'!Z9)</x:f>
        <x:v>324773.6666666667</x:v>
      </x:c>
      <x:c r="Z9" s="35" t="n">
        <x:f>AVERAGE('Monthly EOP Balance'!Z9,'Monthly EOP Balance'!AA9)</x:f>
        <x:v>324164.3333333333</x:v>
      </x:c>
      <x:c r="AA9" s="35" t="n">
        <x:f>AVERAGE('Monthly EOP Balance'!AA9,'Monthly EOP Balance'!AB9)</x:f>
        <x:v>319857.5</x:v>
      </x:c>
      <x:c r="AB9" s="35" t="n">
        <x:f>AVERAGE('Monthly EOP Balance'!AB9,'Monthly EOP Balance'!AC9)</x:f>
        <x:v>321379.6666666666</x:v>
      </x:c>
      <x:c r="AC9" s="35" t="n">
        <x:f>AVERAGE('Monthly EOP Balance'!AC9,'Monthly EOP Balance'!AD9)</x:f>
        <x:v>339970.6666666667</x:v>
      </x:c>
      <x:c r="AD9" s="35" t="n">
        <x:f>AVERAGE('Monthly EOP Balance'!AD9,'Monthly EOP Balance'!AE9)</x:f>
        <x:v>375626.5</x:v>
      </x:c>
      <x:c r="AE9" s="35" t="n">
        <x:f>AVERAGE('Monthly EOP Balance'!AE9,'Monthly EOP Balance'!AF9)</x:f>
        <x:v>417103.3333333334</x:v>
      </x:c>
      <x:c r="AF9" s="99" t="n">
        <x:f>SUM(AF6:AF8)</x:f>
        <x:v>439318.2604669739</x:v>
      </x:c>
      <x:c r="AG9" s="99" t="n">
        <x:f>SUM(AG6:AG8)</x:f>
        <x:v>439360.7814009214</x:v>
      </x:c>
      <x:c r="AH9" s="99" t="n">
        <x:f>SUM(AH6:AH8)</x:f>
        <x:v>439403.30233486905</x:v>
      </x:c>
      <x:c r="AI9" s="99" t="n">
        <x:f>SUM(AI6:AI8)</x:f>
        <x:v>439445.8232688167</x:v>
      </x:c>
      <x:c r="AJ9" s="99" t="n">
        <x:f>SUM(AJ6:AJ8)</x:f>
        <x:v>439488.34420276433</x:v>
      </x:c>
      <x:c r="AK9" s="99" t="n">
        <x:f>SUM(AK6:AK8)</x:f>
        <x:v>439530.865136712</x:v>
      </x:c>
      <x:c r="AL9" s="99" t="n">
        <x:f>SUM(AL6:AL8)</x:f>
        <x:v>439573.3860706596</x:v>
      </x:c>
      <x:c r="AM9" s="99" t="n">
        <x:f>SUM(AM6:AM8)</x:f>
        <x:v>439615.90700460726</x:v>
      </x:c>
      <x:c r="AN9" s="99" t="n">
        <x:f>SUM(AN6:AN8)</x:f>
        <x:v>439658.42793855484</x:v>
      </x:c>
      <x:c r="AO9" s="99" t="n">
        <x:f>SUM(AO6:AO8)</x:f>
        <x:v>439700.94887250254</x:v>
      </x:c>
      <x:c r="AP9" s="99" t="n">
        <x:f>SUM(AP6:AP8)</x:f>
        <x:v>439743.4698064502</x:v>
      </x:c>
      <x:c r="AQ9" s="99" t="n">
        <x:f>SUM(AQ6:AQ8)</x:f>
        <x:v>439785.9907403978</x:v>
      </x:c>
    </x:row>
    <x:row r="10">
      <x:c r="A10" s="20" t="str">
        <x:v>  Investment securities</x:v>
      </x:c>
      <x:c r="B10" s="38" t="n">
        <x:f>AVERAGE('Monthly EOP Balance'!B10,'Monthly EOP Balance'!C10)</x:f>
        <x:v>89960</x:v>
      </x:c>
      <x:c r="C10" s="38" t="n">
        <x:f>AVERAGE('Monthly EOP Balance'!C10,'Monthly EOP Balance'!D10)</x:f>
        <x:v>89960</x:v>
      </x:c>
      <x:c r="D10" s="38" t="n">
        <x:f>AVERAGE('Monthly EOP Balance'!D10,'Monthly EOP Balance'!E10)</x:f>
        <x:v>89960</x:v>
      </x:c>
      <x:c r="E10" s="38" t="n">
        <x:f>AVERAGE('Monthly EOP Balance'!E10,'Monthly EOP Balance'!F10)</x:f>
        <x:v>89971.33333333334</x:v>
      </x:c>
      <x:c r="F10" s="38" t="n">
        <x:f>AVERAGE('Monthly EOP Balance'!F10,'Monthly EOP Balance'!G10)</x:f>
        <x:v>89994</x:v>
      </x:c>
      <x:c r="G10" s="38" t="n">
        <x:f>AVERAGE('Monthly EOP Balance'!G10,'Monthly EOP Balance'!H10)</x:f>
        <x:v>90016.66666666666</x:v>
      </x:c>
      <x:c r="H10" s="38" t="n">
        <x:f>AVERAGE('Monthly EOP Balance'!H10,'Monthly EOP Balance'!I10)</x:f>
        <x:v>89300.33333333334</x:v>
      </x:c>
      <x:c r="I10" s="38" t="n">
        <x:f>AVERAGE('Monthly EOP Balance'!I10,'Monthly EOP Balance'!J10)</x:f>
        <x:v>87845</x:v>
      </x:c>
      <x:c r="J10" s="38" t="n">
        <x:f>AVERAGE('Monthly EOP Balance'!J10,'Monthly EOP Balance'!K10)</x:f>
        <x:v>86389.66666666666</x:v>
      </x:c>
      <x:c r="K10" s="38" t="n">
        <x:f>AVERAGE('Monthly EOP Balance'!K10,'Monthly EOP Balance'!L10)</x:f>
        <x:v>90824.66666666666</x:v>
      </x:c>
      <x:c r="L10" s="38" t="n">
        <x:f>AVERAGE('Monthly EOP Balance'!L10,'Monthly EOP Balance'!M10)</x:f>
        <x:v>94896.5</x:v>
      </x:c>
      <x:c r="M10" s="38" t="n">
        <x:f>AVERAGE('Monthly EOP Balance'!M10,'Monthly EOP Balance'!N10)</x:f>
        <x:v>86461.33333333334</x:v>
      </x:c>
      <x:c r="N10" s="38" t="n">
        <x:f>AVERAGE('Monthly EOP Balance'!N10,'Monthly EOP Balance'!O10)</x:f>
        <x:v>88820.66666666666</x:v>
      </x:c>
      <x:c r="O10" s="38" t="n">
        <x:f>AVERAGE('Monthly EOP Balance'!O10,'Monthly EOP Balance'!P10)</x:f>
        <x:v>98404.5</x:v>
      </x:c>
      <x:c r="P10" s="38" t="n">
        <x:f>AVERAGE('Monthly EOP Balance'!P10,'Monthly EOP Balance'!Q10)</x:f>
        <x:v>88341.33333333334</x:v>
      </x:c>
      <x:c r="Q10" s="38" t="n">
        <x:f>AVERAGE('Monthly EOP Balance'!Q10,'Monthly EOP Balance'!R10)</x:f>
        <x:v>89217</x:v>
      </x:c>
      <x:c r="R10" s="38" t="n">
        <x:f>AVERAGE('Monthly EOP Balance'!R10,'Monthly EOP Balance'!S10)</x:f>
        <x:v>100178</x:v>
      </x:c>
      <x:c r="S10" s="38" t="n">
        <x:f>AVERAGE('Monthly EOP Balance'!S10,'Monthly EOP Balance'!T10)</x:f>
        <x:v>89785</x:v>
      </x:c>
      <x:c r="T10" s="38" t="n">
        <x:f>AVERAGE('Monthly EOP Balance'!T10,'Monthly EOP Balance'!U10)</x:f>
        <x:v>89227.33333333334</x:v>
      </x:c>
      <x:c r="U10" s="38" t="n">
        <x:f>AVERAGE('Monthly EOP Balance'!U10,'Monthly EOP Balance'!V10)</x:f>
        <x:v>99913</x:v>
      </x:c>
      <x:c r="V10" s="38" t="n">
        <x:f>AVERAGE('Monthly EOP Balance'!V10,'Monthly EOP Balance'!W10)</x:f>
        <x:v>92060.66666666666</x:v>
      </x:c>
      <x:c r="W10" s="38" t="n">
        <x:f>AVERAGE('Monthly EOP Balance'!W10,'Monthly EOP Balance'!X10)</x:f>
        <x:v>92422.33333333334</x:v>
      </x:c>
      <x:c r="X10" s="38" t="n">
        <x:f>AVERAGE('Monthly EOP Balance'!X10,'Monthly EOP Balance'!Y10)</x:f>
        <x:v>101263.5</x:v>
      </x:c>
      <x:c r="Y10" s="38" t="n">
        <x:f>AVERAGE('Monthly EOP Balance'!Y10,'Monthly EOP Balance'!Z10)</x:f>
        <x:v>92097.66666666666</x:v>
      </x:c>
      <x:c r="Z10" s="38" t="n">
        <x:f>AVERAGE('Monthly EOP Balance'!Z10,'Monthly EOP Balance'!AA10)</x:f>
        <x:v>92209.33333333334</x:v>
      </x:c>
      <x:c r="AA10" s="38" t="n">
        <x:f>AVERAGE('Monthly EOP Balance'!AA10,'Monthly EOP Balance'!AB10)</x:f>
        <x:v>101630.5</x:v>
      </x:c>
      <x:c r="AB10" s="38" t="n">
        <x:f>AVERAGE('Monthly EOP Balance'!AB10,'Monthly EOP Balance'!AC10)</x:f>
        <x:v>93108.66666666666</x:v>
      </x:c>
      <x:c r="AC10" s="38" t="n">
        <x:f>AVERAGE('Monthly EOP Balance'!AC10,'Monthly EOP Balance'!AD10)</x:f>
        <x:v>92079.33333333334</x:v>
      </x:c>
      <x:c r="AD10" s="38" t="n">
        <x:f>AVERAGE('Monthly EOP Balance'!AD10,'Monthly EOP Balance'!AE10)</x:f>
        <x:v>100269</x:v>
      </x:c>
      <x:c r="AE10" s="38" t="n">
        <x:f>AVERAGE('Monthly EOP Balance'!AE10,'Monthly EOP Balance'!AF10)</x:f>
        <x:v>93968.66666666666</x:v>
      </x:c>
      <x:c r="AF10" s="94" t="n">
        <x:f>AVERAGE('Monthly EOP Balance'!AF10,'Monthly EOP Balance'!AG10)</x:f>
        <x:v>87196</x:v>
      </x:c>
      <x:c r="AG10" s="94" t="n">
        <x:f>AVERAGE('Monthly EOP Balance'!AG10,'Monthly EOP Balance'!AH10)</x:f>
        <x:v>87196</x:v>
      </x:c>
      <x:c r="AH10" s="94" t="n">
        <x:f>AVERAGE('Monthly EOP Balance'!AH10,'Monthly EOP Balance'!AI10)</x:f>
        <x:v>87196</x:v>
      </x:c>
      <x:c r="AI10" s="94" t="n">
        <x:f>AVERAGE('Monthly EOP Balance'!AI10,'Monthly EOP Balance'!AJ10)</x:f>
        <x:v>87196</x:v>
      </x:c>
      <x:c r="AJ10" s="94" t="n">
        <x:f>AVERAGE('Monthly EOP Balance'!AJ10,'Monthly EOP Balance'!AK10)</x:f>
        <x:v>87196</x:v>
      </x:c>
      <x:c r="AK10" s="94" t="n">
        <x:f>AVERAGE('Monthly EOP Balance'!AK10,'Monthly EOP Balance'!AL10)</x:f>
        <x:v>87196</x:v>
      </x:c>
      <x:c r="AL10" s="94" t="n">
        <x:f>AVERAGE('Monthly EOP Balance'!AL10,'Monthly EOP Balance'!AM10)</x:f>
        <x:v>87196</x:v>
      </x:c>
      <x:c r="AM10" s="94" t="n">
        <x:f>AVERAGE('Monthly EOP Balance'!AM10,'Monthly EOP Balance'!AN10)</x:f>
        <x:v>87196</x:v>
      </x:c>
      <x:c r="AN10" s="94" t="n">
        <x:f>AVERAGE('Monthly EOP Balance'!AN10,'Monthly EOP Balance'!AO10)</x:f>
        <x:v>87196</x:v>
      </x:c>
      <x:c r="AO10" s="94" t="n">
        <x:f>AVERAGE('Monthly EOP Balance'!AO10,'Monthly EOP Balance'!AP10)</x:f>
        <x:v>87196</x:v>
      </x:c>
      <x:c r="AP10" s="94" t="n">
        <x:f>AVERAGE('Monthly EOP Balance'!AP10,'Monthly EOP Balance'!AQ10)</x:f>
        <x:v>87196</x:v>
      </x:c>
      <x:c r="AQ10" s="94" t="n">
        <x:f>AVERAGE('Monthly EOP Balance'!AQ10,'Monthly EOP Balance'!AR10)</x:f>
        <x:v>87196</x:v>
      </x:c>
    </x:row>
    <x:row r="11">
      <x:c r="A11" s="20" t="str">
        <x:v>  Cash equivalents and other</x:v>
      </x:c>
      <x:c r="B11" s="38" t="n">
        <x:f>AVERAGE('Monthly EOP Balance'!B11,'Monthly EOP Balance'!C11)</x:f>
        <x:v>31885</x:v>
      </x:c>
      <x:c r="C11" s="38" t="n">
        <x:f>AVERAGE('Monthly EOP Balance'!C11,'Monthly EOP Balance'!D11)</x:f>
        <x:v>35133.5</x:v>
      </x:c>
      <x:c r="D11" s="38" t="n">
        <x:f>AVERAGE('Monthly EOP Balance'!D11,'Monthly EOP Balance'!E11)</x:f>
        <x:v>42363</x:v>
      </x:c>
      <x:c r="E11" s="38" t="n">
        <x:f>AVERAGE('Monthly EOP Balance'!E11,'Monthly EOP Balance'!F11)</x:f>
        <x:v>40451.66666666667</x:v>
      </x:c>
      <x:c r="F11" s="38" t="n">
        <x:f>AVERAGE('Monthly EOP Balance'!F11,'Monthly EOP Balance'!G11)</x:f>
        <x:v>33109.5</x:v>
      </x:c>
      <x:c r="G11" s="38" t="n">
        <x:f>AVERAGE('Monthly EOP Balance'!G11,'Monthly EOP Balance'!H11)</x:f>
        <x:v>37168.33333333333</x:v>
      </x:c>
      <x:c r="H11" s="38" t="n">
        <x:f>AVERAGE('Monthly EOP Balance'!H11,'Monthly EOP Balance'!I11)</x:f>
        <x:v>41140.66666666667</x:v>
      </x:c>
      <x:c r="I11" s="38" t="n">
        <x:f>AVERAGE('Monthly EOP Balance'!I11,'Monthly EOP Balance'!J11)</x:f>
        <x:v>40776</x:v>
      </x:c>
      <x:c r="J11" s="38" t="n">
        <x:f>AVERAGE('Monthly EOP Balance'!J11,'Monthly EOP Balance'!K11)</x:f>
        <x:v>43311.33333333333</x:v>
      </x:c>
      <x:c r="K11" s="38" t="n">
        <x:f>AVERAGE('Monthly EOP Balance'!K11,'Monthly EOP Balance'!L11)</x:f>
        <x:v>42141.33333333333</x:v>
      </x:c>
      <x:c r="L11" s="38" t="n">
        <x:f>AVERAGE('Monthly EOP Balance'!L11,'Monthly EOP Balance'!M11)</x:f>
        <x:v>38720.5</x:v>
      </x:c>
      <x:c r="M11" s="38" t="n">
        <x:f>AVERAGE('Monthly EOP Balance'!M11,'Monthly EOP Balance'!N11)</x:f>
        <x:v>41108.66666666667</x:v>
      </x:c>
      <x:c r="N11" s="38" t="n">
        <x:f>AVERAGE('Monthly EOP Balance'!N11,'Monthly EOP Balance'!O11)</x:f>
        <x:v>41076.66666666667</x:v>
      </x:c>
      <x:c r="O11" s="38" t="n">
        <x:f>AVERAGE('Monthly EOP Balance'!O11,'Monthly EOP Balance'!P11)</x:f>
        <x:v>39689.5</x:v>
      </x:c>
      <x:c r="P11" s="38" t="n">
        <x:f>AVERAGE('Monthly EOP Balance'!P11,'Monthly EOP Balance'!Q11)</x:f>
        <x:v>46241.33333333333</x:v>
      </x:c>
      <x:c r="Q11" s="38" t="n">
        <x:f>AVERAGE('Monthly EOP Balance'!Q11,'Monthly EOP Balance'!R11)</x:f>
        <x:v>46808.33333333333</x:v>
      </x:c>
      <x:c r="R11" s="38" t="n">
        <x:f>AVERAGE('Monthly EOP Balance'!R11,'Monthly EOP Balance'!S11)</x:f>
        <x:v>41502.5</x:v>
      </x:c>
      <x:c r="S11" s="38" t="n">
        <x:f>AVERAGE('Monthly EOP Balance'!S11,'Monthly EOP Balance'!T11)</x:f>
        <x:v>44359.66666666667</x:v>
      </x:c>
      <x:c r="T11" s="38" t="n">
        <x:f>AVERAGE('Monthly EOP Balance'!T11,'Monthly EOP Balance'!U11)</x:f>
        <x:v>44495</x:v>
      </x:c>
      <x:c r="U11" s="38" t="n">
        <x:f>AVERAGE('Monthly EOP Balance'!U11,'Monthly EOP Balance'!V11)</x:f>
        <x:v>41476</x:v>
      </x:c>
      <x:c r="V11" s="38" t="n">
        <x:f>AVERAGE('Monthly EOP Balance'!V11,'Monthly EOP Balance'!W11)</x:f>
        <x:v>45755</x:v>
      </x:c>
      <x:c r="W11" s="38" t="n">
        <x:f>AVERAGE('Monthly EOP Balance'!W11,'Monthly EOP Balance'!X11)</x:f>
        <x:v>48183</x:v>
      </x:c>
      <x:c r="X11" s="38" t="n">
        <x:f>AVERAGE('Monthly EOP Balance'!X11,'Monthly EOP Balance'!Y11)</x:f>
        <x:v>45639</x:v>
      </x:c>
      <x:c r="Y11" s="38" t="n">
        <x:f>AVERAGE('Monthly EOP Balance'!Y11,'Monthly EOP Balance'!Z11)</x:f>
        <x:v>44151</x:v>
      </x:c>
      <x:c r="Z11" s="38" t="n">
        <x:f>AVERAGE('Monthly EOP Balance'!Z11,'Monthly EOP Balance'!AA11)</x:f>
        <x:v>45575.33333333333</x:v>
      </x:c>
      <x:c r="AA11" s="38" t="n">
        <x:f>AVERAGE('Monthly EOP Balance'!AA11,'Monthly EOP Balance'!AB11)</x:f>
        <x:v>48362</x:v>
      </x:c>
      <x:c r="AB11" s="38" t="n">
        <x:f>AVERAGE('Monthly EOP Balance'!AB11,'Monthly EOP Balance'!AC11)</x:f>
        <x:v>49104.66666666667</x:v>
      </x:c>
      <x:c r="AC11" s="38" t="n">
        <x:f>AVERAGE('Monthly EOP Balance'!AC11,'Monthly EOP Balance'!AD11)</x:f>
        <x:v>49163.66666666667</x:v>
      </x:c>
      <x:c r="AD11" s="38" t="n">
        <x:f>AVERAGE('Monthly EOP Balance'!AD11,'Monthly EOP Balance'!AE11)</x:f>
        <x:v>51464.5</x:v>
      </x:c>
      <x:c r="AE11" s="38" t="n">
        <x:f>AVERAGE('Monthly EOP Balance'!AE11,'Monthly EOP Balance'!AF11)</x:f>
        <x:v>57572.33333333333</x:v>
      </x:c>
      <x:c r="AF11" s="94" t="n">
        <x:f>AVERAGE('Monthly EOP Balance'!AF11,'Monthly EOP Balance'!AG11)</x:f>
        <x:v>61583.245541967975</x:v>
      </x:c>
      <x:c r="AG11" s="94" t="n">
        <x:f>AVERAGE('Monthly EOP Balance'!AG11,'Monthly EOP Balance'!AH11)</x:f>
        <x:v>61593.73662590391</x:v>
      </x:c>
      <x:c r="AH11" s="94" t="n">
        <x:f>AVERAGE('Monthly EOP Balance'!AH11,'Monthly EOP Balance'!AI11)</x:f>
        <x:v>61604.22770983985</x:v>
      </x:c>
      <x:c r="AI11" s="94" t="n">
        <x:f>AVERAGE('Monthly EOP Balance'!AI11,'Monthly EOP Balance'!AJ11)</x:f>
        <x:v>61614.718793775784</x:v>
      </x:c>
      <x:c r="AJ11" s="94" t="n">
        <x:f>AVERAGE('Monthly EOP Balance'!AJ11,'Monthly EOP Balance'!AK11)</x:f>
        <x:v>61625.20987771172</x:v>
      </x:c>
      <x:c r="AK11" s="94" t="n">
        <x:f>AVERAGE('Monthly EOP Balance'!AK11,'Monthly EOP Balance'!AL11)</x:f>
        <x:v>61635.700961647664</x:v>
      </x:c>
      <x:c r="AL11" s="94" t="n">
        <x:f>AVERAGE('Monthly EOP Balance'!AL11,'Monthly EOP Balance'!AM11)</x:f>
        <x:v>61646.19204558361</x:v>
      </x:c>
      <x:c r="AM11" s="94" t="n">
        <x:f>AVERAGE('Monthly EOP Balance'!AM11,'Monthly EOP Balance'!AN11)</x:f>
        <x:v>61656.68312951955</x:v>
      </x:c>
      <x:c r="AN11" s="94" t="n">
        <x:f>AVERAGE('Monthly EOP Balance'!AN11,'Monthly EOP Balance'!AO11)</x:f>
        <x:v>61667.17421345549</x:v>
      </x:c>
      <x:c r="AO11" s="94" t="n">
        <x:f>AVERAGE('Monthly EOP Balance'!AO11,'Monthly EOP Balance'!AP11)</x:f>
        <x:v>61677.66529739143</x:v>
      </x:c>
      <x:c r="AP11" s="94" t="n">
        <x:f>AVERAGE('Monthly EOP Balance'!AP11,'Monthly EOP Balance'!AQ11)</x:f>
        <x:v>61688.15638132737</x:v>
      </x:c>
      <x:c r="AQ11" s="94" t="n">
        <x:f>AVERAGE('Monthly EOP Balance'!AQ11,'Monthly EOP Balance'!AR11)</x:f>
        <x:v>61698.64746526332</x:v>
      </x:c>
    </x:row>
    <x:row r="12">
      <x:c r="A12" s="26" t="str">
        <x:v>  Total interest-earning assets</x:v>
      </x:c>
      <x:c r="B12" s="35" t="n">
        <x:f>AVERAGE('Monthly EOP Balance'!B12,'Monthly EOP Balance'!C12)</x:f>
        <x:v>429960</x:v>
      </x:c>
      <x:c r="C12" s="35" t="n">
        <x:f>AVERAGE('Monthly EOP Balance'!C12,'Monthly EOP Balance'!D12)</x:f>
        <x:v>433208.5</x:v>
      </x:c>
      <x:c r="D12" s="35" t="n">
        <x:f>AVERAGE('Monthly EOP Balance'!D12,'Monthly EOP Balance'!E12)</x:f>
        <x:v>440438</x:v>
      </x:c>
      <x:c r="E12" s="35" t="n">
        <x:f>AVERAGE('Monthly EOP Balance'!E12,'Monthly EOP Balance'!F12)</x:f>
        <x:v>439278</x:v>
      </x:c>
      <x:c r="F12" s="35" t="n">
        <x:f>AVERAGE('Monthly EOP Balance'!F12,'Monthly EOP Balance'!G12)</x:f>
        <x:v>433438.5</x:v>
      </x:c>
      <x:c r="G12" s="35" t="n">
        <x:f>AVERAGE('Monthly EOP Balance'!G12,'Monthly EOP Balance'!H12)</x:f>
        <x:v>439000</x:v>
      </x:c>
      <x:c r="H12" s="35" t="n">
        <x:f>AVERAGE('Monthly EOP Balance'!H12,'Monthly EOP Balance'!I12)</x:f>
        <x:v>443298</x:v>
      </x:c>
      <x:c r="I12" s="35" t="n">
        <x:f>AVERAGE('Monthly EOP Balance'!I12,'Monthly EOP Balance'!J12)</x:f>
        <x:v>442082</x:v>
      </x:c>
      <x:c r="J12" s="35" t="n">
        <x:f>AVERAGE('Monthly EOP Balance'!J12,'Monthly EOP Balance'!K12)</x:f>
        <x:v>443766</x:v>
      </x:c>
      <x:c r="K12" s="35" t="n">
        <x:f>AVERAGE('Monthly EOP Balance'!K12,'Monthly EOP Balance'!L12)</x:f>
        <x:v>447652</x:v>
      </x:c>
      <x:c r="L12" s="35" t="n">
        <x:f>AVERAGE('Monthly EOP Balance'!L12,'Monthly EOP Balance'!M12)</x:f>
        <x:v>449639.5</x:v>
      </x:c>
      <x:c r="M12" s="35" t="n">
        <x:f>AVERAGE('Monthly EOP Balance'!M12,'Monthly EOP Balance'!N12)</x:f>
        <x:v>446326</x:v>
      </x:c>
      <x:c r="N12" s="35" t="n">
        <x:f>AVERAGE('Monthly EOP Balance'!N12,'Monthly EOP Balance'!O12)</x:f>
        <x:v>447233</x:v>
      </x:c>
      <x:c r="O12" s="35" t="n">
        <x:f>AVERAGE('Monthly EOP Balance'!O12,'Monthly EOP Balance'!P12)</x:f>
        <x:v>451407</x:v>
      </x:c>
      <x:c r="P12" s="35" t="n">
        <x:f>AVERAGE('Monthly EOP Balance'!P12,'Monthly EOP Balance'!Q12)</x:f>
        <x:v>448373</x:v>
      </x:c>
      <x:c r="Q12" s="35" t="n">
        <x:f>AVERAGE('Monthly EOP Balance'!Q12,'Monthly EOP Balance'!R12)</x:f>
        <x:v>450837.6666666667</x:v>
      </x:c>
      <x:c r="R12" s="35" t="n">
        <x:f>AVERAGE('Monthly EOP Balance'!R12,'Monthly EOP Balance'!S12)</x:f>
        <x:v>456656.5</x:v>
      </x:c>
      <x:c r="S12" s="35" t="n">
        <x:f>AVERAGE('Monthly EOP Balance'!S12,'Monthly EOP Balance'!T12)</x:f>
        <x:v>450978.3333333333</x:v>
      </x:c>
      <x:c r="T12" s="35" t="n">
        <x:f>AVERAGE('Monthly EOP Balance'!T12,'Monthly EOP Balance'!U12)</x:f>
        <x:v>451751.6666666666</x:v>
      </x:c>
      <x:c r="U12" s="35" t="n">
        <x:f>AVERAGE('Monthly EOP Balance'!U12,'Monthly EOP Balance'!V12)</x:f>
        <x:v>459604.5</x:v>
      </x:c>
      <x:c r="V12" s="35" t="n">
        <x:f>AVERAGE('Monthly EOP Balance'!V12,'Monthly EOP Balance'!W12)</x:f>
        <x:v>457216.3333333334</x:v>
      </x:c>
      <x:c r="W12" s="35" t="n">
        <x:f>AVERAGE('Monthly EOP Balance'!W12,'Monthly EOP Balance'!X12)</x:f>
        <x:v>460357.6666666666</x:v>
      </x:c>
      <x:c r="X12" s="35" t="n">
        <x:f>AVERAGE('Monthly EOP Balance'!X12,'Monthly EOP Balance'!Y12)</x:f>
        <x:v>467419.5</x:v>
      </x:c>
      <x:c r="Y12" s="35" t="n">
        <x:f>AVERAGE('Monthly EOP Balance'!Y12,'Monthly EOP Balance'!Z12)</x:f>
        <x:v>461022.3333333334</x:v>
      </x:c>
      <x:c r="Z12" s="35" t="n">
        <x:f>AVERAGE('Monthly EOP Balance'!Z12,'Monthly EOP Balance'!AA12)</x:f>
        <x:v>461949</x:v>
      </x:c>
      <x:c r="AA12" s="35" t="n">
        <x:f>AVERAGE('Monthly EOP Balance'!AA12,'Monthly EOP Balance'!AB12)</x:f>
        <x:v>469850</x:v>
      </x:c>
      <x:c r="AB12" s="35" t="n">
        <x:f>AVERAGE('Monthly EOP Balance'!AB12,'Monthly EOP Balance'!AC12)</x:f>
        <x:v>463593</x:v>
      </x:c>
      <x:c r="AC12" s="35" t="n">
        <x:f>AVERAGE('Monthly EOP Balance'!AC12,'Monthly EOP Balance'!AD12)</x:f>
        <x:v>481213.6666666667</x:v>
      </x:c>
      <x:c r="AD12" s="35" t="n">
        <x:f>AVERAGE('Monthly EOP Balance'!AD12,'Monthly EOP Balance'!AE12)</x:f>
        <x:v>527360</x:v>
      </x:c>
      <x:c r="AE12" s="35" t="n">
        <x:f>AVERAGE('Monthly EOP Balance'!AE12,'Monthly EOP Balance'!AF12)</x:f>
        <x:v>568644.3333333333</x:v>
      </x:c>
      <x:c r="AF12" s="99" t="n">
        <x:f>SUM(AF9:AF11)</x:f>
        <x:v>588097.5060089419</x:v>
      </x:c>
      <x:c r="AG12" s="99" t="n">
        <x:f>SUM(AG9:AG11)</x:f>
        <x:v>588150.5180268253</x:v>
      </x:c>
      <x:c r="AH12" s="99" t="n">
        <x:f>SUM(AH9:AH11)</x:f>
        <x:v>588203.5300447089</x:v>
      </x:c>
      <x:c r="AI12" s="99" t="n">
        <x:f>SUM(AI9:AI11)</x:f>
        <x:v>588256.5420625925</x:v>
      </x:c>
      <x:c r="AJ12" s="99" t="n">
        <x:f>SUM(AJ9:AJ11)</x:f>
        <x:v>588309.554080476</x:v>
      </x:c>
      <x:c r="AK12" s="99" t="n">
        <x:f>SUM(AK9:AK11)</x:f>
        <x:v>588362.5660983596</x:v>
      </x:c>
      <x:c r="AL12" s="99" t="n">
        <x:f>SUM(AL9:AL11)</x:f>
        <x:v>588415.5781162432</x:v>
      </x:c>
      <x:c r="AM12" s="99" t="n">
        <x:f>SUM(AM9:AM11)</x:f>
        <x:v>588468.5901341268</x:v>
      </x:c>
      <x:c r="AN12" s="99" t="n">
        <x:f>SUM(AN9:AN11)</x:f>
        <x:v>588521.6021520104</x:v>
      </x:c>
      <x:c r="AO12" s="99" t="n">
        <x:f>SUM(AO9:AO11)</x:f>
        <x:v>588574.614169894</x:v>
      </x:c>
      <x:c r="AP12" s="99" t="n">
        <x:f>SUM(AP9:AP11)</x:f>
        <x:v>588627.6261877776</x:v>
      </x:c>
      <x:c r="AQ12" s="99" t="n">
        <x:f>SUM(AQ9:AQ11)</x:f>
        <x:v>588680.6382056612</x:v>
      </x:c>
    </x:row>
    <x:row r="13">
      <x:c r="A13" s="20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  <x:c r="AA13" s="38"/>
      <x:c r="AB13" s="38"/>
      <x:c r="AC13" s="38"/>
      <x:c r="AD13" s="38"/>
      <x:c r="AE13" s="38"/>
      <x:c r="AF13" s="94"/>
      <x:c r="AG13" s="94"/>
      <x:c r="AH13" s="94"/>
      <x:c r="AI13" s="94"/>
      <x:c r="AJ13" s="94"/>
      <x:c r="AK13" s="94"/>
      <x:c r="AL13" s="94"/>
      <x:c r="AM13" s="94"/>
      <x:c r="AN13" s="94"/>
      <x:c r="AO13" s="94"/>
      <x:c r="AP13" s="94"/>
      <x:c r="AQ13" s="94"/>
    </x:row>
    <x:row r="14">
      <x:c r="A14" s="32" t="str">
        <x:v>INTEREST-BEARING LIABILITIES</x:v>
      </x:c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36"/>
      <x:c r="Z14" s="36"/>
      <x:c r="AA14" s="36"/>
      <x:c r="AB14" s="36"/>
      <x:c r="AC14" s="36"/>
      <x:c r="AD14" s="36"/>
      <x:c r="AE14" s="36"/>
      <x:c r="AF14" s="96"/>
      <x:c r="AG14" s="96"/>
      <x:c r="AH14" s="96"/>
      <x:c r="AI14" s="96"/>
      <x:c r="AJ14" s="96"/>
      <x:c r="AK14" s="96"/>
      <x:c r="AL14" s="96"/>
      <x:c r="AM14" s="96"/>
      <x:c r="AN14" s="96"/>
      <x:c r="AO14" s="96"/>
      <x:c r="AP14" s="96"/>
      <x:c r="AQ14" s="96"/>
    </x:row>
    <x:row r="15">
      <x:c r="A15" s="20" t="str">
        <x:v>  Interest-bearing deposits</x:v>
      </x:c>
      <x:c r="B15" s="38" t="n">
        <x:f>AVERAGE('Monthly EOP Balance'!B15,'Monthly EOP Balance'!C15)</x:f>
        <x:v>308788</x:v>
      </x:c>
      <x:c r="C15" s="38" t="n">
        <x:f>AVERAGE('Monthly EOP Balance'!C15,'Monthly EOP Balance'!D15)</x:f>
        <x:v>308788</x:v>
      </x:c>
      <x:c r="D15" s="38" t="n">
        <x:f>AVERAGE('Monthly EOP Balance'!D15,'Monthly EOP Balance'!E15)</x:f>
        <x:v>308788</x:v>
      </x:c>
      <x:c r="E15" s="38" t="n">
        <x:f>AVERAGE('Monthly EOP Balance'!E15,'Monthly EOP Balance'!F15)</x:f>
        <x:v>310261</x:v>
      </x:c>
      <x:c r="F15" s="38" t="n">
        <x:f>AVERAGE('Monthly EOP Balance'!F15,'Monthly EOP Balance'!G15)</x:f>
        <x:v>313207</x:v>
      </x:c>
      <x:c r="G15" s="38" t="n">
        <x:f>AVERAGE('Monthly EOP Balance'!G15,'Monthly EOP Balance'!H15)</x:f>
        <x:v>316153</x:v>
      </x:c>
      <x:c r="H15" s="38" t="n">
        <x:f>AVERAGE('Monthly EOP Balance'!H15,'Monthly EOP Balance'!I15)</x:f>
        <x:v>317094.6666666666</x:v>
      </x:c>
      <x:c r="I15" s="38" t="n">
        <x:f>AVERAGE('Monthly EOP Balance'!I15,'Monthly EOP Balance'!J15)</x:f>
        <x:v>316032</x:v>
      </x:c>
      <x:c r="J15" s="38" t="n">
        <x:f>AVERAGE('Monthly EOP Balance'!J15,'Monthly EOP Balance'!K15)</x:f>
        <x:v>314969.3333333334</x:v>
      </x:c>
      <x:c r="K15" s="38" t="n">
        <x:f>AVERAGE('Monthly EOP Balance'!K15,'Monthly EOP Balance'!L15)</x:f>
        <x:v>314858.3333333334</x:v>
      </x:c>
      <x:c r="L15" s="38" t="n">
        <x:f>AVERAGE('Monthly EOP Balance'!L15,'Monthly EOP Balance'!M15)</x:f>
        <x:v>316270.5</x:v>
      </x:c>
      <x:c r="M15" s="38" t="n">
        <x:f>AVERAGE('Monthly EOP Balance'!M15,'Monthly EOP Balance'!N15)</x:f>
        <x:v>318825.6666666666</x:v>
      </x:c>
      <x:c r="N15" s="38" t="n">
        <x:f>AVERAGE('Monthly EOP Balance'!N15,'Monthly EOP Balance'!O15)</x:f>
        <x:v>317462.3333333334</x:v>
      </x:c>
      <x:c r="O15" s="38" t="n">
        <x:f>AVERAGE('Monthly EOP Balance'!O15,'Monthly EOP Balance'!P15)</x:f>
        <x:v>315029.5</x:v>
      </x:c>
      <x:c r="P15" s="38" t="n">
        <x:f>AVERAGE('Monthly EOP Balance'!P15,'Monthly EOP Balance'!Q15)</x:f>
        <x:v>319437.6666666666</x:v>
      </x:c>
      <x:c r="Q15" s="38" t="n">
        <x:f>AVERAGE('Monthly EOP Balance'!Q15,'Monthly EOP Balance'!R15)</x:f>
        <x:v>322219.3333333334</x:v>
      </x:c>
      <x:c r="R15" s="38" t="n">
        <x:f>AVERAGE('Monthly EOP Balance'!R15,'Monthly EOP Balance'!S15)</x:f>
        <x:v>321267.5</x:v>
      </x:c>
      <x:c r="S15" s="38" t="n">
        <x:f>AVERAGE('Monthly EOP Balance'!S15,'Monthly EOP Balance'!T15)</x:f>
        <x:v>322942.6666666666</x:v>
      </x:c>
      <x:c r="T15" s="38" t="n">
        <x:f>AVERAGE('Monthly EOP Balance'!T15,'Monthly EOP Balance'!U15)</x:f>
        <x:v>323570.3333333334</x:v>
      </x:c>
      <x:c r="U15" s="38" t="n">
        <x:f>AVERAGE('Monthly EOP Balance'!U15,'Monthly EOP Balance'!V15)</x:f>
        <x:v>323173</x:v>
      </x:c>
      <x:c r="V15" s="38" t="n">
        <x:f>AVERAGE('Monthly EOP Balance'!V15,'Monthly EOP Balance'!W15)</x:f>
        <x:v>325447.6666666666</x:v>
      </x:c>
      <x:c r="W15" s="38" t="n">
        <x:f>AVERAGE('Monthly EOP Balance'!W15,'Monthly EOP Balance'!X15)</x:f>
        <x:v>328509.3333333334</x:v>
      </x:c>
      <x:c r="X15" s="38" t="n">
        <x:f>AVERAGE('Monthly EOP Balance'!X15,'Monthly EOP Balance'!Y15)</x:f>
        <x:v>331321</x:v>
      </x:c>
      <x:c r="Y15" s="38" t="n">
        <x:f>AVERAGE('Monthly EOP Balance'!Y15,'Monthly EOP Balance'!Z15)</x:f>
        <x:v>334730.6666666666</x:v>
      </x:c>
      <x:c r="Z15" s="38" t="n">
        <x:f>AVERAGE('Monthly EOP Balance'!Z15,'Monthly EOP Balance'!AA15)</x:f>
        <x:v>336380.3333333334</x:v>
      </x:c>
      <x:c r="AA15" s="38" t="n">
        <x:f>AVERAGE('Monthly EOP Balance'!AA15,'Monthly EOP Balance'!AB15)</x:f>
        <x:v>336905.5</x:v>
      </x:c>
      <x:c r="AB15" s="38" t="n">
        <x:f>AVERAGE('Monthly EOP Balance'!AB15,'Monthly EOP Balance'!AC15)</x:f>
        <x:v>339299.6666666666</x:v>
      </x:c>
      <x:c r="AC15" s="38" t="n">
        <x:f>AVERAGE('Monthly EOP Balance'!AC15,'Monthly EOP Balance'!AD15)</x:f>
        <x:v>354050</x:v>
      </x:c>
      <x:c r="AD15" s="38" t="n">
        <x:f>AVERAGE('Monthly EOP Balance'!AD15,'Monthly EOP Balance'!AE15)</x:f>
        <x:v>383680.5</x:v>
      </x:c>
      <x:c r="AE15" s="38" t="n">
        <x:f>AVERAGE('Monthly EOP Balance'!AE15,'Monthly EOP Balance'!AF15)</x:f>
        <x:v>420228</x:v>
      </x:c>
      <x:c r="AF15" s="94" t="n">
        <x:f>AVERAGE('Monthly EOP Balance'!AF15,'Monthly EOP Balance'!AG15)</x:f>
        <x:v>440268.5012209896</x:v>
      </x:c>
      <x:c r="AG15" s="94" t="n">
        <x:f>AVERAGE('Monthly EOP Balance'!AG15,'Monthly EOP Balance'!AH15)</x:f>
        <x:v>440343.503662969</x:v>
      </x:c>
      <x:c r="AH15" s="94" t="n">
        <x:f>AVERAGE('Monthly EOP Balance'!AH15,'Monthly EOP Balance'!AI15)</x:f>
        <x:v>440418.50610494823</x:v>
      </x:c>
      <x:c r="AI15" s="94" t="n">
        <x:f>AVERAGE('Monthly EOP Balance'!AI15,'Monthly EOP Balance'!AJ15)</x:f>
        <x:v>440493.5085469276</x:v>
      </x:c>
      <x:c r="AJ15" s="94" t="n">
        <x:f>AVERAGE('Monthly EOP Balance'!AJ15,'Monthly EOP Balance'!AK15)</x:f>
        <x:v>440568.5109889069</x:v>
      </x:c>
      <x:c r="AK15" s="94" t="n">
        <x:f>AVERAGE('Monthly EOP Balance'!AK15,'Monthly EOP Balance'!AL15)</x:f>
        <x:v>440643.5134308862</x:v>
      </x:c>
      <x:c r="AL15" s="94" t="n">
        <x:f>AVERAGE('Monthly EOP Balance'!AL15,'Monthly EOP Balance'!AM15)</x:f>
        <x:v>440718.51587286557</x:v>
      </x:c>
      <x:c r="AM15" s="94" t="n">
        <x:f>AVERAGE('Monthly EOP Balance'!AM15,'Monthly EOP Balance'!AN15)</x:f>
        <x:v>440793.5183148449</x:v>
      </x:c>
      <x:c r="AN15" s="94" t="n">
        <x:f>AVERAGE('Monthly EOP Balance'!AN15,'Monthly EOP Balance'!AO15)</x:f>
        <x:v>440868.5207568242</x:v>
      </x:c>
      <x:c r="AO15" s="94" t="n">
        <x:f>AVERAGE('Monthly EOP Balance'!AO15,'Monthly EOP Balance'!AP15)</x:f>
        <x:v>440943.52319880354</x:v>
      </x:c>
      <x:c r="AP15" s="94" t="n">
        <x:f>AVERAGE('Monthly EOP Balance'!AP15,'Monthly EOP Balance'!AQ15)</x:f>
        <x:v>441018.5256407829</x:v>
      </x:c>
      <x:c r="AQ15" s="94" t="n">
        <x:f>AVERAGE('Monthly EOP Balance'!AQ15,'Monthly EOP Balance'!AR15)</x:f>
        <x:v>441093.52808276226</x:v>
      </x:c>
    </x:row>
    <x:row r="16">
      <x:c r="A16" s="20" t="str">
        <x:v>  Securitized debt obligations</x:v>
      </x:c>
      <x:c r="B16" s="38" t="n">
        <x:f>AVERAGE('Monthly EOP Balance'!B16,'Monthly EOP Balance'!C16)</x:f>
        <x:v>17251</x:v>
      </x:c>
      <x:c r="C16" s="38" t="n">
        <x:f>AVERAGE('Monthly EOP Balance'!C16,'Monthly EOP Balance'!D16)</x:f>
        <x:v>17251</x:v>
      </x:c>
      <x:c r="D16" s="38" t="n">
        <x:f>AVERAGE('Monthly EOP Balance'!D16,'Monthly EOP Balance'!E16)</x:f>
        <x:v>17251</x:v>
      </x:c>
      <x:c r="E16" s="38" t="n">
        <x:f>AVERAGE('Monthly EOP Balance'!E16,'Monthly EOP Balance'!F16)</x:f>
        <x:v>17424.333333333336</x:v>
      </x:c>
      <x:c r="F16" s="38" t="n">
        <x:f>AVERAGE('Monthly EOP Balance'!F16,'Monthly EOP Balance'!G16)</x:f>
        <x:v>17771</x:v>
      </x:c>
      <x:c r="G16" s="38" t="n">
        <x:f>AVERAGE('Monthly EOP Balance'!G16,'Monthly EOP Balance'!H16)</x:f>
        <x:v>18117.666666666664</x:v>
      </x:c>
      <x:c r="H16" s="38" t="n">
        <x:f>AVERAGE('Monthly EOP Balance'!H16,'Monthly EOP Balance'!I16)</x:f>
        <x:v>18077</x:v>
      </x:c>
      <x:c r="I16" s="38" t="n">
        <x:f>AVERAGE('Monthly EOP Balance'!I16,'Monthly EOP Balance'!J16)</x:f>
        <x:v>17649</x:v>
      </x:c>
      <x:c r="J16" s="38" t="n">
        <x:f>AVERAGE('Monthly EOP Balance'!J16,'Monthly EOP Balance'!K16)</x:f>
        <x:v>17221</x:v>
      </x:c>
      <x:c r="K16" s="38" t="n">
        <x:f>AVERAGE('Monthly EOP Balance'!K16,'Monthly EOP Balance'!L16)</x:f>
        <x:v>17841.923252154564</x:v>
      </x:c>
      <x:c r="L16" s="38" t="n">
        <x:f>AVERAGE('Monthly EOP Balance'!L16,'Monthly EOP Balance'!M16)</x:f>
        <x:v>18768.884878231846</x:v>
      </x:c>
      <x:c r="M16" s="38" t="n">
        <x:f>AVERAGE('Monthly EOP Balance'!M16,'Monthly EOP Balance'!N16)</x:f>
        <x:v>18210.076747845436</x:v>
      </x:c>
      <x:c r="N16" s="38" t="n">
        <x:f>AVERAGE('Monthly EOP Balance'!N16,'Monthly EOP Balance'!O16)</x:f>
        <x:v>17773.917344351386</x:v>
      </x:c>
      <x:c r="O16" s="38" t="n">
        <x:f>AVERAGE('Monthly EOP Balance'!O16,'Monthly EOP Balance'!P16)</x:f>
        <x:v>18019.64577299077</x:v>
      </x:c>
      <x:c r="P16" s="38" t="n">
        <x:f>AVERAGE('Monthly EOP Balance'!P16,'Monthly EOP Balance'!Q16)</x:f>
        <x:v>17898.082655648614</x:v>
      </x:c>
      <x:c r="Q16" s="38" t="n">
        <x:f>AVERAGE('Monthly EOP Balance'!Q16,'Monthly EOP Balance'!R16)</x:f>
        <x:v>17692.646828643752</x:v>
      </x:c>
      <x:c r="R16" s="38" t="n">
        <x:f>AVERAGE('Monthly EOP Balance'!R16,'Monthly EOP Balance'!S16)</x:f>
        <x:v>17519.49203248348</x:v>
      </x:c>
      <x:c r="S16" s="38" t="n">
        <x:f>AVERAGE('Monthly EOP Balance'!S16,'Monthly EOP Balance'!T16)</x:f>
        <x:v>17211.353171356248</x:v>
      </x:c>
      <x:c r="T16" s="38" t="n">
        <x:f>AVERAGE('Monthly EOP Balance'!T16,'Monthly EOP Balance'!U16)</x:f>
        <x:v>16125.999101984025</x:v>
      </x:c>
      <x:c r="U16" s="38" t="n">
        <x:f>AVERAGE('Monthly EOP Balance'!U16,'Monthly EOP Balance'!V16)</x:f>
        <x:v>15081.96092842514</x:v>
      </x:c>
      <x:c r="V16" s="38" t="n">
        <x:f>AVERAGE('Monthly EOP Balance'!V16,'Monthly EOP Balance'!W16)</x:f>
        <x:v>15540.000898015975</x:v>
      </x:c>
      <x:c r="W16" s="38" t="n">
        <x:f>AVERAGE('Monthly EOP Balance'!W16,'Monthly EOP Balance'!X16)</x:f>
        <x:v>15416.671683211804</x:v>
      </x:c>
      <x:c r="X16" s="38" t="n">
        <x:f>AVERAGE('Monthly EOP Balance'!X16,'Monthly EOP Balance'!Y16)</x:f>
        <x:v>14440.467106218883</x:v>
      </x:c>
      <x:c r="Y16" s="38" t="n">
        <x:f>AVERAGE('Monthly EOP Balance'!Y16,'Monthly EOP Balance'!Z16)</x:f>
        <x:v>14423.328316788196</x:v>
      </x:c>
      <x:c r="Z16" s="38" t="n">
        <x:f>AVERAGE('Monthly EOP Balance'!Z16,'Monthly EOP Balance'!AA16)</x:f>
        <x:v>14336.1359206517</x:v>
      </x:c>
      <x:c r="AA16" s="38" t="n">
        <x:f>AVERAGE('Monthly EOP Balance'!AA16,'Monthly EOP Balance'!AB16)</x:f>
        <x:v>13715.178512014143</x:v>
      </x:c>
      <x:c r="AB16" s="38" t="n">
        <x:f>AVERAGE('Monthly EOP Balance'!AB16,'Monthly EOP Balance'!AC16)</x:f>
        <x:v>13125.8640793483</x:v>
      </x:c>
      <x:c r="AC16" s="38" t="n">
        <x:f>AVERAGE('Monthly EOP Balance'!AC16,'Monthly EOP Balance'!AD16)</x:f>
        <x:v>12406.050222699818</x:v>
      </x:c>
      <x:c r="AD16" s="38" t="n">
        <x:f>AVERAGE('Monthly EOP Balance'!AD16,'Monthly EOP Balance'!AE16)</x:f>
        <x:v>12291.45772704142</x:v>
      </x:c>
      <x:c r="AE16" s="38" t="n">
        <x:f>AVERAGE('Monthly EOP Balance'!AE16,'Monthly EOP Balance'!AF16)</x:f>
        <x:v>13679.949777300182</x:v>
      </x:c>
      <x:c r="AF16" s="94" t="n">
        <x:f>AVERAGE('Monthly EOP Balance'!AF16,'Monthly EOP Balance'!AG16)</x:f>
        <x:v>14713.09202156158</x:v>
      </x:c>
      <x:c r="AG16" s="94" t="n">
        <x:f>AVERAGE('Monthly EOP Balance'!AG16,'Monthly EOP Balance'!AH16)</x:f>
        <x:v>14639.526561453773</x:v>
      </x:c>
      <x:c r="AH16" s="94" t="n">
        <x:f>AVERAGE('Monthly EOP Balance'!AH16,'Monthly EOP Balance'!AI16)</x:f>
        <x:v>14566.328928646504</x:v>
      </x:c>
      <x:c r="AI16" s="94" t="n">
        <x:f>AVERAGE('Monthly EOP Balance'!AI16,'Monthly EOP Balance'!AJ16)</x:f>
        <x:v>14493.497284003271</x:v>
      </x:c>
      <x:c r="AJ16" s="94" t="n">
        <x:f>AVERAGE('Monthly EOP Balance'!AJ16,'Monthly EOP Balance'!AK16)</x:f>
        <x:v>14421.029797583255</x:v>
      </x:c>
      <x:c r="AK16" s="94" t="n">
        <x:f>AVERAGE('Monthly EOP Balance'!AK16,'Monthly EOP Balance'!AL16)</x:f>
        <x:v>14348.924648595337</x:v>
      </x:c>
      <x:c r="AL16" s="94" t="n">
        <x:f>AVERAGE('Monthly EOP Balance'!AL16,'Monthly EOP Balance'!AM16)</x:f>
        <x:v>14277.180025352362</x:v>
      </x:c>
      <x:c r="AM16" s="94" t="n">
        <x:f>AVERAGE('Monthly EOP Balance'!AM16,'Monthly EOP Balance'!AN16)</x:f>
        <x:v>14205.7941252256</x:v>
      </x:c>
      <x:c r="AN16" s="94" t="n">
        <x:f>AVERAGE('Monthly EOP Balance'!AN16,'Monthly EOP Balance'!AO16)</x:f>
        <x:v>14134.765154599474</x:v>
      </x:c>
      <x:c r="AO16" s="94" t="n">
        <x:f>AVERAGE('Monthly EOP Balance'!AO16,'Monthly EOP Balance'!AP16)</x:f>
        <x:v>14064.091328826475</x:v>
      </x:c>
      <x:c r="AP16" s="94" t="n">
        <x:f>AVERAGE('Monthly EOP Balance'!AP16,'Monthly EOP Balance'!AQ16)</x:f>
        <x:v>13993.770872182344</x:v>
      </x:c>
      <x:c r="AQ16" s="94" t="n">
        <x:f>AVERAGE('Monthly EOP Balance'!AQ16,'Monthly EOP Balance'!AR16)</x:f>
        <x:v>13923.802017821432</x:v>
      </x:c>
    </x:row>
    <x:row r="17">
      <x:c r="A17" s="20" t="str">
        <x:v>  Senior and subordinated notes</x:v>
      </x:c>
      <x:c r="B17" s="38" t="n">
        <x:f>AVERAGE('Monthly EOP Balance'!B17,'Monthly EOP Balance'!C17)</x:f>
        <x:v>30136</x:v>
      </x:c>
      <x:c r="C17" s="38" t="n">
        <x:f>AVERAGE('Monthly EOP Balance'!C17,'Monthly EOP Balance'!D17)</x:f>
        <x:v>30136</x:v>
      </x:c>
      <x:c r="D17" s="38" t="n">
        <x:f>AVERAGE('Monthly EOP Balance'!D17,'Monthly EOP Balance'!E17)</x:f>
        <x:v>30136</x:v>
      </x:c>
      <x:c r="E17" s="38" t="n">
        <x:f>AVERAGE('Monthly EOP Balance'!E17,'Monthly EOP Balance'!F17)</x:f>
        <x:v>30144.333333333336</x:v>
      </x:c>
      <x:c r="F17" s="38" t="n">
        <x:f>AVERAGE('Monthly EOP Balance'!F17,'Monthly EOP Balance'!G17)</x:f>
        <x:v>30161</x:v>
      </x:c>
      <x:c r="G17" s="38" t="n">
        <x:f>AVERAGE('Monthly EOP Balance'!G17,'Monthly EOP Balance'!H17)</x:f>
        <x:v>30177.666666666664</x:v>
      </x:c>
      <x:c r="H17" s="38" t="n">
        <x:f>AVERAGE('Monthly EOP Balance'!H17,'Monthly EOP Balance'!I17)</x:f>
        <x:v>30631.333333333336</x:v>
      </x:c>
      <x:c r="I17" s="38" t="n">
        <x:f>AVERAGE('Monthly EOP Balance'!I17,'Monthly EOP Balance'!J17)</x:f>
        <x:v>31522</x:v>
      </x:c>
      <x:c r="J17" s="38" t="n">
        <x:f>AVERAGE('Monthly EOP Balance'!J17,'Monthly EOP Balance'!K17)</x:f>
        <x:v>32412.666666666664</x:v>
      </x:c>
      <x:c r="K17" s="38" t="n">
        <x:f>AVERAGE('Monthly EOP Balance'!K17,'Monthly EOP Balance'!L17)</x:f>
        <x:v>32969.41008117877</x:v>
      </x:c>
      <x:c r="L17" s="38" t="n">
        <x:f>AVERAGE('Monthly EOP Balance'!L17,'Monthly EOP Balance'!M17)</x:f>
        <x:v>32897.61512176816</x:v>
      </x:c>
      <x:c r="M17" s="38" t="n">
        <x:f>AVERAGE('Monthly EOP Balance'!M17,'Monthly EOP Balance'!N17)</x:f>
        <x:v>32236.589918821228</x:v>
      </x:c>
      <x:c r="N17" s="38" t="n">
        <x:f>AVERAGE('Monthly EOP Balance'!N17,'Monthly EOP Balance'!O17)</x:f>
        <x:v>32114.749322315278</x:v>
      </x:c>
      <x:c r="O17" s="38" t="n">
        <x:f>AVERAGE('Monthly EOP Balance'!O17,'Monthly EOP Balance'!P17)</x:f>
        <x:v>32518.85422700923</x:v>
      </x:c>
      <x:c r="P17" s="38" t="n">
        <x:f>AVERAGE('Monthly EOP Balance'!P17,'Monthly EOP Balance'!Q17)</x:f>
        <x:v>32307.250677684722</x:v>
      </x:c>
      <x:c r="Q17" s="38" t="n">
        <x:f>AVERAGE('Monthly EOP Balance'!Q17,'Monthly EOP Balance'!R17)</x:f>
        <x:v>31588.01983802292</x:v>
      </x:c>
      <x:c r="R17" s="38" t="n">
        <x:f>AVERAGE('Monthly EOP Balance'!R17,'Monthly EOP Balance'!S17)</x:f>
        <x:v>30823.50796751652</x:v>
      </x:c>
      <x:c r="S17" s="38" t="n">
        <x:f>AVERAGE('Monthly EOP Balance'!S17,'Monthly EOP Balance'!T17)</x:f>
        <x:v>30367.98016197708</x:v>
      </x:c>
      <x:c r="T17" s="38" t="n">
        <x:f>AVERAGE('Monthly EOP Balance'!T17,'Monthly EOP Balance'!U17)</x:f>
        <x:v>31223.000898015976</x:v>
      </x:c>
      <x:c r="U17" s="38" t="n">
        <x:f>AVERAGE('Monthly EOP Balance'!U17,'Monthly EOP Balance'!V17)</x:f>
        <x:v>32637.539071574865</x:v>
      </x:c>
      <x:c r="V17" s="38" t="n">
        <x:f>AVERAGE('Monthly EOP Balance'!V17,'Monthly EOP Balance'!W17)</x:f>
        <x:v>32858.99910198402</x:v>
      </x:c>
      <x:c r="W17" s="38" t="n">
        <x:f>AVERAGE('Monthly EOP Balance'!W17,'Monthly EOP Balance'!X17)</x:f>
        <x:v>31662.99498345486</x:v>
      </x:c>
      <x:c r="X17" s="38" t="n">
        <x:f>AVERAGE('Monthly EOP Balance'!X17,'Monthly EOP Balance'!Y17)</x:f>
        <x:v>30265.032893781114</x:v>
      </x:c>
      <x:c r="Y17" s="38" t="n">
        <x:f>AVERAGE('Monthly EOP Balance'!Y17,'Monthly EOP Balance'!Z17)</x:f>
        <x:v>30105.00501654514</x:v>
      </x:c>
      <x:c r="Z17" s="38" t="n">
        <x:f>AVERAGE('Monthly EOP Balance'!Z17,'Monthly EOP Balance'!AA17)</x:f>
        <x:v>30988.8640793483</x:v>
      </x:c>
      <x:c r="AA17" s="38" t="n">
        <x:f>AVERAGE('Monthly EOP Balance'!AA17,'Monthly EOP Balance'!AB17)</x:f>
        <x:v>31314.321487985857</x:v>
      </x:c>
      <x:c r="AB17" s="38" t="n">
        <x:f>AVERAGE('Monthly EOP Balance'!AB17,'Monthly EOP Balance'!AC17)</x:f>
        <x:v>29673.1359206517</x:v>
      </x:c>
      <x:c r="AC17" s="38" t="n">
        <x:f>AVERAGE('Monthly EOP Balance'!AC17,'Monthly EOP Balance'!AD17)</x:f>
        <x:v>29934.283110633514</x:v>
      </x:c>
      <x:c r="AD17" s="38" t="n">
        <x:f>AVERAGE('Monthly EOP Balance'!AD17,'Monthly EOP Balance'!AE17)</x:f>
        <x:v>32976.54227295858</x:v>
      </x:c>
      <x:c r="AE17" s="38" t="n">
        <x:f>AVERAGE('Monthly EOP Balance'!AE17,'Monthly EOP Balance'!AF17)</x:f>
        <x:v>35809.71688936648</x:v>
      </x:c>
      <x:c r="AF17" s="94" t="n">
        <x:f>AVERAGE('Monthly EOP Balance'!AF17,'Monthly EOP Balance'!AG17)</x:f>
        <x:v>37174.03306109115</x:v>
      </x:c>
      <x:c r="AG17" s="94" t="n">
        <x:f>AVERAGE('Monthly EOP Balance'!AG17,'Monthly EOP Balance'!AH17)</x:f>
        <x:v>37174.03306109115</x:v>
      </x:c>
      <x:c r="AH17" s="94" t="n">
        <x:f>AVERAGE('Monthly EOP Balance'!AH17,'Monthly EOP Balance'!AI17)</x:f>
        <x:v>37174.03306109115</x:v>
      </x:c>
      <x:c r="AI17" s="94" t="n">
        <x:f>AVERAGE('Monthly EOP Balance'!AI17,'Monthly EOP Balance'!AJ17)</x:f>
        <x:v>37174.03306109115</x:v>
      </x:c>
      <x:c r="AJ17" s="94" t="n">
        <x:f>AVERAGE('Monthly EOP Balance'!AJ17,'Monthly EOP Balance'!AK17)</x:f>
        <x:v>37174.03306109115</x:v>
      </x:c>
      <x:c r="AK17" s="94" t="n">
        <x:f>AVERAGE('Monthly EOP Balance'!AK17,'Monthly EOP Balance'!AL17)</x:f>
        <x:v>37174.03306109115</x:v>
      </x:c>
      <x:c r="AL17" s="94" t="n">
        <x:f>AVERAGE('Monthly EOP Balance'!AL17,'Monthly EOP Balance'!AM17)</x:f>
        <x:v>37174.03306109115</x:v>
      </x:c>
      <x:c r="AM17" s="94" t="n">
        <x:f>AVERAGE('Monthly EOP Balance'!AM17,'Monthly EOP Balance'!AN17)</x:f>
        <x:v>37174.03306109115</x:v>
      </x:c>
      <x:c r="AN17" s="94" t="n">
        <x:f>AVERAGE('Monthly EOP Balance'!AN17,'Monthly EOP Balance'!AO17)</x:f>
        <x:v>37174.03306109115</x:v>
      </x:c>
      <x:c r="AO17" s="94" t="n">
        <x:f>AVERAGE('Monthly EOP Balance'!AO17,'Monthly EOP Balance'!AP17)</x:f>
        <x:v>37174.03306109115</x:v>
      </x:c>
      <x:c r="AP17" s="94" t="n">
        <x:f>AVERAGE('Monthly EOP Balance'!AP17,'Monthly EOP Balance'!AQ17)</x:f>
        <x:v>37174.03306109115</x:v>
      </x:c>
      <x:c r="AQ17" s="94" t="n">
        <x:f>AVERAGE('Monthly EOP Balance'!AQ17,'Monthly EOP Balance'!AR17)</x:f>
        <x:v>37174.03306109115</x:v>
      </x:c>
    </x:row>
    <x:row r="18">
      <x:c r="A18" s="20" t="str">
        <x:v>  Other borrowings</x:v>
      </x:c>
      <x:c r="B18" s="38" t="n">
        <x:f>AVERAGE('Monthly EOP Balance'!B18,'Monthly EOP Balance'!C18)</x:f>
        <x:v>2335</x:v>
      </x:c>
      <x:c r="C18" s="38" t="n">
        <x:f>AVERAGE('Monthly EOP Balance'!C18,'Monthly EOP Balance'!D18)</x:f>
        <x:v>2335</x:v>
      </x:c>
      <x:c r="D18" s="38" t="n">
        <x:f>AVERAGE('Monthly EOP Balance'!D18,'Monthly EOP Balance'!E18)</x:f>
        <x:v>2335</x:v>
      </x:c>
      <x:c r="E18" s="38" t="n">
        <x:f>AVERAGE('Monthly EOP Balance'!E18,'Monthly EOP Balance'!F18)</x:f>
        <x:v>2363</x:v>
      </x:c>
      <x:c r="F18" s="38" t="n">
        <x:f>AVERAGE('Monthly EOP Balance'!F18,'Monthly EOP Balance'!G18)</x:f>
        <x:v>2419</x:v>
      </x:c>
      <x:c r="G18" s="38" t="n">
        <x:f>AVERAGE('Monthly EOP Balance'!G18,'Monthly EOP Balance'!H18)</x:f>
        <x:v>2475</x:v>
      </x:c>
      <x:c r="H18" s="38" t="n">
        <x:f>AVERAGE('Monthly EOP Balance'!H18,'Monthly EOP Balance'!I18)</x:f>
        <x:v>2493</x:v>
      </x:c>
      <x:c r="I18" s="38" t="n">
        <x:f>AVERAGE('Monthly EOP Balance'!I18,'Monthly EOP Balance'!J18)</x:f>
        <x:v>2473</x:v>
      </x:c>
      <x:c r="J18" s="38" t="n">
        <x:f>AVERAGE('Monthly EOP Balance'!J18,'Monthly EOP Balance'!K18)</x:f>
        <x:v>2453</x:v>
      </x:c>
      <x:c r="K18" s="38" t="n">
        <x:f>AVERAGE('Monthly EOP Balance'!K18,'Monthly EOP Balance'!L18)</x:f>
        <x:v>2972</x:v>
      </x:c>
      <x:c r="L18" s="38" t="n">
        <x:f>AVERAGE('Monthly EOP Balance'!L18,'Monthly EOP Balance'!M18)</x:f>
        <x:v>3188</x:v>
      </x:c>
      <x:c r="M18" s="38" t="n">
        <x:f>AVERAGE('Monthly EOP Balance'!M18,'Monthly EOP Balance'!N18)</x:f>
        <x:v>1720</x:v>
      </x:c>
      <x:c r="N18" s="38" t="n">
        <x:f>AVERAGE('Monthly EOP Balance'!N18,'Monthly EOP Balance'!O18)</x:f>
        <x:v>2364</x:v>
      </x:c>
      <x:c r="O18" s="38" t="n">
        <x:f>AVERAGE('Monthly EOP Balance'!O18,'Monthly EOP Balance'!P18)</x:f>
        <x:v>4167.5</x:v>
      </x:c>
      <x:c r="P18" s="38" t="n">
        <x:f>AVERAGE('Monthly EOP Balance'!P18,'Monthly EOP Balance'!Q18)</x:f>
        <x:v>2382</x:v>
      </x:c>
      <x:c r="Q18" s="38" t="n">
        <x:f>AVERAGE('Monthly EOP Balance'!Q18,'Monthly EOP Balance'!R18)</x:f>
        <x:v>2452.6666666666665</x:v>
      </x:c>
      <x:c r="R18" s="38" t="n">
        <x:f>AVERAGE('Monthly EOP Balance'!R18,'Monthly EOP Balance'!S18)</x:f>
        <x:v>4338</x:v>
      </x:c>
      <x:c r="S18" s="38" t="n">
        <x:f>AVERAGE('Monthly EOP Balance'!S18,'Monthly EOP Balance'!T18)</x:f>
        <x:v>2551.3333333333335</x:v>
      </x:c>
      <x:c r="T18" s="38" t="n">
        <x:f>AVERAGE('Monthly EOP Balance'!T18,'Monthly EOP Balance'!U18)</x:f>
        <x:v>2454.3333333333335</x:v>
      </x:c>
      <x:c r="U18" s="38" t="n">
        <x:f>AVERAGE('Monthly EOP Balance'!U18,'Monthly EOP Balance'!V18)</x:f>
        <x:v>4136</x:v>
      </x:c>
      <x:c r="V18" s="38" t="n">
        <x:f>AVERAGE('Monthly EOP Balance'!V18,'Monthly EOP Balance'!W18)</x:f>
        <x:v>2323.6666666666665</x:v>
      </x:c>
      <x:c r="W18" s="38" t="n">
        <x:f>AVERAGE('Monthly EOP Balance'!W18,'Monthly EOP Balance'!X18)</x:f>
        <x:v>2414.3333333333335</x:v>
      </x:c>
      <x:c r="X18" s="38" t="n">
        <x:f>AVERAGE('Monthly EOP Balance'!X18,'Monthly EOP Balance'!Y18)</x:f>
        <x:v>4292.5</x:v>
      </x:c>
      <x:c r="Y18" s="38" t="n">
        <x:f>AVERAGE('Monthly EOP Balance'!Y18,'Monthly EOP Balance'!Z18)</x:f>
        <x:v>2445.6666666666665</x:v>
      </x:c>
      <x:c r="Z18" s="38" t="n">
        <x:f>AVERAGE('Monthly EOP Balance'!Z18,'Monthly EOP Balance'!AA18)</x:f>
        <x:v>2309.666666666667</x:v>
      </x:c>
      <x:c r="AA18" s="38" t="n">
        <x:f>AVERAGE('Monthly EOP Balance'!AA18,'Monthly EOP Balance'!AB18)</x:f>
        <x:v>4029.5</x:v>
      </x:c>
      <x:c r="AB18" s="38" t="n">
        <x:f>AVERAGE('Monthly EOP Balance'!AB18,'Monthly EOP Balance'!AC18)</x:f>
        <x:v>2314.333333333333</x:v>
      </x:c>
      <x:c r="AC18" s="38" t="n">
        <x:f>AVERAGE('Monthly EOP Balance'!AC18,'Monthly EOP Balance'!AD18)</x:f>
        <x:v>2637.3333333333335</x:v>
      </x:c>
      <x:c r="AD18" s="38" t="n">
        <x:f>AVERAGE('Monthly EOP Balance'!AD18,'Monthly EOP Balance'!AE18)</x:f>
        <x:v>4794</x:v>
      </x:c>
      <x:c r="AE18" s="38" t="n">
        <x:f>AVERAGE('Monthly EOP Balance'!AE18,'Monthly EOP Balance'!AF18)</x:f>
        <x:v>3106.6666666666665</x:v>
      </x:c>
      <x:c r="AF18" s="94" t="n">
        <x:f>AVERAGE('Monthly EOP Balance'!AF18,'Monthly EOP Balance'!AG18)</x:f>
        <x:v>1302</x:v>
      </x:c>
      <x:c r="AG18" s="94" t="n">
        <x:f>AVERAGE('Monthly EOP Balance'!AG18,'Monthly EOP Balance'!AH18)</x:f>
        <x:v>1302</x:v>
      </x:c>
      <x:c r="AH18" s="94" t="n">
        <x:f>AVERAGE('Monthly EOP Balance'!AH18,'Monthly EOP Balance'!AI18)</x:f>
        <x:v>1302</x:v>
      </x:c>
      <x:c r="AI18" s="94" t="n">
        <x:f>AVERAGE('Monthly EOP Balance'!AI18,'Monthly EOP Balance'!AJ18)</x:f>
        <x:v>1302</x:v>
      </x:c>
      <x:c r="AJ18" s="94" t="n">
        <x:f>AVERAGE('Monthly EOP Balance'!AJ18,'Monthly EOP Balance'!AK18)</x:f>
        <x:v>1302</x:v>
      </x:c>
      <x:c r="AK18" s="94" t="n">
        <x:f>AVERAGE('Monthly EOP Balance'!AK18,'Monthly EOP Balance'!AL18)</x:f>
        <x:v>1302</x:v>
      </x:c>
      <x:c r="AL18" s="94" t="n">
        <x:f>AVERAGE('Monthly EOP Balance'!AL18,'Monthly EOP Balance'!AM18)</x:f>
        <x:v>1302</x:v>
      </x:c>
      <x:c r="AM18" s="94" t="n">
        <x:f>AVERAGE('Monthly EOP Balance'!AM18,'Monthly EOP Balance'!AN18)</x:f>
        <x:v>1302</x:v>
      </x:c>
      <x:c r="AN18" s="94" t="n">
        <x:f>AVERAGE('Monthly EOP Balance'!AN18,'Monthly EOP Balance'!AO18)</x:f>
        <x:v>1302</x:v>
      </x:c>
      <x:c r="AO18" s="94" t="n">
        <x:f>AVERAGE('Monthly EOP Balance'!AO18,'Monthly EOP Balance'!AP18)</x:f>
        <x:v>1302</x:v>
      </x:c>
      <x:c r="AP18" s="94" t="n">
        <x:f>AVERAGE('Monthly EOP Balance'!AP18,'Monthly EOP Balance'!AQ18)</x:f>
        <x:v>1302</x:v>
      </x:c>
      <x:c r="AQ18" s="94" t="n">
        <x:f>AVERAGE('Monthly EOP Balance'!AQ18,'Monthly EOP Balance'!AR18)</x:f>
        <x:v>1302</x:v>
      </x:c>
    </x:row>
    <x:row r="19">
      <x:c r="A19" s="26" t="str">
        <x:v>  Total interest-bearing liabilities</x:v>
      </x:c>
      <x:c r="B19" s="35" t="n">
        <x:f>AVERAGE('Monthly EOP Balance'!B19,'Monthly EOP Balance'!C19)</x:f>
        <x:v>358510</x:v>
      </x:c>
      <x:c r="C19" s="35" t="n">
        <x:f>AVERAGE('Monthly EOP Balance'!C19,'Monthly EOP Balance'!D19)</x:f>
        <x:v>358510</x:v>
      </x:c>
      <x:c r="D19" s="35" t="n">
        <x:f>AVERAGE('Monthly EOP Balance'!D19,'Monthly EOP Balance'!E19)</x:f>
        <x:v>358510</x:v>
      </x:c>
      <x:c r="E19" s="35" t="n">
        <x:f>AVERAGE('Monthly EOP Balance'!E19,'Monthly EOP Balance'!F19)</x:f>
        <x:v>360192.6666666667</x:v>
      </x:c>
      <x:c r="F19" s="35" t="n">
        <x:f>AVERAGE('Monthly EOP Balance'!F19,'Monthly EOP Balance'!G19)</x:f>
        <x:v>363558</x:v>
      </x:c>
      <x:c r="G19" s="35" t="n">
        <x:f>AVERAGE('Monthly EOP Balance'!G19,'Monthly EOP Balance'!H19)</x:f>
        <x:v>366923.3333333333</x:v>
      </x:c>
      <x:c r="H19" s="35" t="n">
        <x:f>AVERAGE('Monthly EOP Balance'!H19,'Monthly EOP Balance'!I19)</x:f>
        <x:v>368296</x:v>
      </x:c>
      <x:c r="I19" s="35" t="n">
        <x:f>AVERAGE('Monthly EOP Balance'!I19,'Monthly EOP Balance'!J19)</x:f>
        <x:v>367676</x:v>
      </x:c>
      <x:c r="J19" s="35" t="n">
        <x:f>AVERAGE('Monthly EOP Balance'!J19,'Monthly EOP Balance'!K19)</x:f>
        <x:v>367056</x:v>
      </x:c>
      <x:c r="K19" s="35" t="n">
        <x:f>AVERAGE('Monthly EOP Balance'!K19,'Monthly EOP Balance'!L19)</x:f>
        <x:v>368641.6666666666</x:v>
      </x:c>
      <x:c r="L19" s="35" t="n">
        <x:f>AVERAGE('Monthly EOP Balance'!L19,'Monthly EOP Balance'!M19)</x:f>
        <x:v>371125</x:v>
      </x:c>
      <x:c r="M19" s="35" t="n">
        <x:f>AVERAGE('Monthly EOP Balance'!M19,'Monthly EOP Balance'!N19)</x:f>
        <x:v>370992.3333333333</x:v>
      </x:c>
      <x:c r="N19" s="35" t="n">
        <x:f>AVERAGE('Monthly EOP Balance'!N19,'Monthly EOP Balance'!O19)</x:f>
        <x:v>369715</x:v>
      </x:c>
      <x:c r="O19" s="35" t="n">
        <x:f>AVERAGE('Monthly EOP Balance'!O19,'Monthly EOP Balance'!P19)</x:f>
        <x:v>369735.5</x:v>
      </x:c>
      <x:c r="P19" s="35" t="n">
        <x:f>AVERAGE('Monthly EOP Balance'!P19,'Monthly EOP Balance'!Q19)</x:f>
        <x:v>372025</x:v>
      </x:c>
      <x:c r="Q19" s="35" t="n">
        <x:f>AVERAGE('Monthly EOP Balance'!Q19,'Monthly EOP Balance'!R19)</x:f>
        <x:v>373952.6666666667</x:v>
      </x:c>
      <x:c r="R19" s="35" t="n">
        <x:f>AVERAGE('Monthly EOP Balance'!R19,'Monthly EOP Balance'!S19)</x:f>
        <x:v>373948.5</x:v>
      </x:c>
      <x:c r="S19" s="35" t="n">
        <x:f>AVERAGE('Monthly EOP Balance'!S19,'Monthly EOP Balance'!T19)</x:f>
        <x:v>373073.3333333333</x:v>
      </x:c>
      <x:c r="T19" s="35" t="n">
        <x:f>AVERAGE('Monthly EOP Balance'!T19,'Monthly EOP Balance'!U19)</x:f>
        <x:v>373373.6666666667</x:v>
      </x:c>
      <x:c r="U19" s="35" t="n">
        <x:f>AVERAGE('Monthly EOP Balance'!U19,'Monthly EOP Balance'!V19)</x:f>
        <x:v>375028.5</x:v>
      </x:c>
      <x:c r="V19" s="35" t="n">
        <x:f>AVERAGE('Monthly EOP Balance'!V19,'Monthly EOP Balance'!W19)</x:f>
        <x:v>376170.3333333334</x:v>
      </x:c>
      <x:c r="W19" s="35" t="n">
        <x:f>AVERAGE('Monthly EOP Balance'!W19,'Monthly EOP Balance'!X19)</x:f>
        <x:v>378003.3333333334</x:v>
      </x:c>
      <x:c r="X19" s="35" t="n">
        <x:f>AVERAGE('Monthly EOP Balance'!X19,'Monthly EOP Balance'!Y19)</x:f>
        <x:v>380319</x:v>
      </x:c>
      <x:c r="Y19" s="35" t="n">
        <x:f>AVERAGE('Monthly EOP Balance'!Y19,'Monthly EOP Balance'!Z19)</x:f>
        <x:v>381704.6666666666</x:v>
      </x:c>
      <x:c r="Z19" s="35" t="n">
        <x:f>AVERAGE('Monthly EOP Balance'!Z19,'Monthly EOP Balance'!AA19)</x:f>
        <x:v>384015</x:v>
      </x:c>
      <x:c r="AA19" s="35" t="n">
        <x:f>AVERAGE('Monthly EOP Balance'!AA19,'Monthly EOP Balance'!AB19)</x:f>
        <x:v>385964.5</x:v>
      </x:c>
      <x:c r="AB19" s="35" t="n">
        <x:f>AVERAGE('Monthly EOP Balance'!AB19,'Monthly EOP Balance'!AC19)</x:f>
        <x:v>384413</x:v>
      </x:c>
      <x:c r="AC19" s="35" t="n">
        <x:f>AVERAGE('Monthly EOP Balance'!AC19,'Monthly EOP Balance'!AD19)</x:f>
        <x:v>399027.6666666667</x:v>
      </x:c>
      <x:c r="AD19" s="35" t="n">
        <x:f>AVERAGE('Monthly EOP Balance'!AD19,'Monthly EOP Balance'!AE19)</x:f>
        <x:v>433742.5</x:v>
      </x:c>
      <x:c r="AE19" s="35" t="n">
        <x:f>AVERAGE('Monthly EOP Balance'!AE19,'Monthly EOP Balance'!AF19)</x:f>
        <x:v>472824.3333333333</x:v>
      </x:c>
      <x:c r="AF19" s="99" t="n">
        <x:f>SUM(AF15:AF18)</x:f>
        <x:v>493457.62630364235</x:v>
      </x:c>
      <x:c r="AG19" s="99" t="n">
        <x:f>SUM(AG15:AG18)</x:f>
        <x:v>493459.0632855139</x:v>
      </x:c>
      <x:c r="AH19" s="99" t="n">
        <x:f>SUM(AH15:AH18)</x:f>
        <x:v>493460.8680946859</x:v>
      </x:c>
      <x:c r="AI19" s="99" t="n">
        <x:f>SUM(AI15:AI18)</x:f>
        <x:v>493463.03889202204</x:v>
      </x:c>
      <x:c r="AJ19" s="99" t="n">
        <x:f>SUM(AJ15:AJ18)</x:f>
        <x:v>493465.5738475813</x:v>
      </x:c>
      <x:c r="AK19" s="99" t="n">
        <x:f>SUM(AK15:AK18)</x:f>
        <x:v>493468.4711405727</x:v>
      </x:c>
      <x:c r="AL19" s="99" t="n">
        <x:f>SUM(AL15:AL18)</x:f>
        <x:v>493471.72895930905</x:v>
      </x:c>
      <x:c r="AM19" s="99" t="n">
        <x:f>SUM(AM15:AM18)</x:f>
        <x:v>493475.3455011617</x:v>
      </x:c>
      <x:c r="AN19" s="99" t="n">
        <x:f>SUM(AN15:AN18)</x:f>
        <x:v>493479.31897251477</x:v>
      </x:c>
      <x:c r="AO19" s="99" t="n">
        <x:f>SUM(AO15:AO18)</x:f>
        <x:v>493483.6475887212</x:v>
      </x:c>
      <x:c r="AP19" s="99" t="n">
        <x:f>SUM(AP15:AP18)</x:f>
        <x:v>493488.3295740564</x:v>
      </x:c>
      <x:c r="AQ19" s="99" t="n">
        <x:f>SUM(AQ15:AQ18)</x:f>
        <x:v>493493.3631616748</x:v>
      </x:c>
    </x:row>
    <x:row r="20">
      <x:c r="A20" s="20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  <x:c r="AA20" s="38"/>
      <x:c r="AB20" s="38"/>
      <x:c r="AC20" s="38"/>
      <x:c r="AD20" s="38"/>
      <x:c r="AE20" s="38"/>
      <x:c r="AF20" s="94"/>
      <x:c r="AG20" s="94"/>
      <x:c r="AH20" s="94"/>
      <x:c r="AI20" s="94"/>
      <x:c r="AJ20" s="94"/>
      <x:c r="AK20" s="94"/>
      <x:c r="AL20" s="94"/>
      <x:c r="AM20" s="94"/>
      <x:c r="AN20" s="94"/>
      <x:c r="AO20" s="94"/>
      <x:c r="AP20" s="94"/>
      <x:c r="AQ20" s="94"/>
    </x:row>
    <x:row r="21">
      <x:c r="A21" s="26" t="str">
        <x:v>Net earning assets (assets − liabilities)</x:v>
      </x:c>
      <x:c r="B21" s="35" t="n">
        <x:f>B12-B19</x:f>
        <x:v>71450</x:v>
      </x:c>
      <x:c r="C21" s="35" t="n">
        <x:f>C12-C19</x:f>
        <x:v>74698.5</x:v>
      </x:c>
      <x:c r="D21" s="35" t="n">
        <x:f>D12-D19</x:f>
        <x:v>81928</x:v>
      </x:c>
      <x:c r="E21" s="35" t="n">
        <x:f>E12-E19</x:f>
        <x:v>79085.33333333331</x:v>
      </x:c>
      <x:c r="F21" s="35" t="n">
        <x:f>F12-F19</x:f>
        <x:v>69880.5</x:v>
      </x:c>
      <x:c r="G21" s="35" t="n">
        <x:f>G12-G19</x:f>
        <x:v>72076.66666666669</x:v>
      </x:c>
      <x:c r="H21" s="35" t="n">
        <x:f>H12-H19</x:f>
        <x:v>75002</x:v>
      </x:c>
      <x:c r="I21" s="35" t="n">
        <x:f>I12-I19</x:f>
        <x:v>74406</x:v>
      </x:c>
      <x:c r="J21" s="35" t="n">
        <x:f>J12-J19</x:f>
        <x:v>76710</x:v>
      </x:c>
      <x:c r="K21" s="35" t="n">
        <x:f>K12-K19</x:f>
        <x:v>79010.33333333337</x:v>
      </x:c>
      <x:c r="L21" s="35" t="n">
        <x:f>L12-L19</x:f>
        <x:v>78514.5</x:v>
      </x:c>
      <x:c r="M21" s="35" t="n">
        <x:f>M12-M19</x:f>
        <x:v>75333.66666666669</x:v>
      </x:c>
      <x:c r="N21" s="35" t="n">
        <x:f>N12-N19</x:f>
        <x:v>77518</x:v>
      </x:c>
      <x:c r="O21" s="35" t="n">
        <x:f>O12-O19</x:f>
        <x:v>81671.5</x:v>
      </x:c>
      <x:c r="P21" s="35" t="n">
        <x:f>P12-P19</x:f>
        <x:v>76348</x:v>
      </x:c>
      <x:c r="Q21" s="35" t="n">
        <x:f>Q12-Q19</x:f>
        <x:v>76885</x:v>
      </x:c>
      <x:c r="R21" s="35" t="n">
        <x:f>R12-R19</x:f>
        <x:v>82708</x:v>
      </x:c>
      <x:c r="S21" s="35" t="n">
        <x:f>S12-S19</x:f>
        <x:v>77905</x:v>
      </x:c>
      <x:c r="T21" s="35" t="n">
        <x:f>T12-T19</x:f>
        <x:v>78377.99999999994</x:v>
      </x:c>
      <x:c r="U21" s="35" t="n">
        <x:f>U12-U19</x:f>
        <x:v>84576</x:v>
      </x:c>
      <x:c r="V21" s="35" t="n">
        <x:f>V12-V19</x:f>
        <x:v>81046</x:v>
      </x:c>
      <x:c r="W21" s="35" t="n">
        <x:f>W12-W19</x:f>
        <x:v>82354.33333333326</x:v>
      </x:c>
      <x:c r="X21" s="35" t="n">
        <x:f>X12-X19</x:f>
        <x:v>87100.5</x:v>
      </x:c>
      <x:c r="Y21" s="35" t="n">
        <x:f>Y12-Y19</x:f>
        <x:v>79317.66666666674</x:v>
      </x:c>
      <x:c r="Z21" s="35" t="n">
        <x:f>Z12-Z19</x:f>
        <x:v>77934</x:v>
      </x:c>
      <x:c r="AA21" s="35" t="n">
        <x:f>AA12-AA19</x:f>
        <x:v>83885.5</x:v>
      </x:c>
      <x:c r="AB21" s="35" t="n">
        <x:f>AB12-AB19</x:f>
        <x:v>79180</x:v>
      </x:c>
      <x:c r="AC21" s="35" t="n">
        <x:f>AC12-AC19</x:f>
        <x:v>82186</x:v>
      </x:c>
      <x:c r="AD21" s="35" t="n">
        <x:f>AD12-AD19</x:f>
        <x:v>93617.5</x:v>
      </x:c>
      <x:c r="AE21" s="35" t="n">
        <x:f>AE12-AE19</x:f>
        <x:v>95819.99999999994</x:v>
      </x:c>
      <x:c r="AF21" s="99" t="n">
        <x:f>AF12-AF19</x:f>
        <x:v>94639.87970529957</x:v>
      </x:c>
      <x:c r="AG21" s="99" t="n">
        <x:f>AG12-AG19</x:f>
        <x:v>94691.45474131138</x:v>
      </x:c>
      <x:c r="AH21" s="99" t="n">
        <x:f>AH12-AH19</x:f>
        <x:v>94742.66195002297</x:v>
      </x:c>
      <x:c r="AI21" s="99" t="n">
        <x:f>AI12-AI19</x:f>
        <x:v>94793.50317057042</x:v>
      </x:c>
      <x:c r="AJ21" s="99" t="n">
        <x:f>AJ12-AJ19</x:f>
        <x:v>94843.98023289477</x:v>
      </x:c>
      <x:c r="AK21" s="99" t="n">
        <x:f>AK12-AK19</x:f>
        <x:v>94894.09495778696</x:v>
      </x:c>
      <x:c r="AL21" s="99" t="n">
        <x:f>AL12-AL19</x:f>
        <x:v>94943.84915693419</x:v>
      </x:c>
      <x:c r="AM21" s="99" t="n">
        <x:f>AM12-AM19</x:f>
        <x:v>94993.24463296513</x:v>
      </x:c>
      <x:c r="AN21" s="99" t="n">
        <x:f>AN12-AN19</x:f>
        <x:v>95042.28317949566</x:v>
      </x:c>
      <x:c r="AO21" s="99" t="n">
        <x:f>AO12-AO19</x:f>
        <x:v>95090.96658117283</x:v>
      </x:c>
      <x:c r="AP21" s="99" t="n">
        <x:f>AP12-AP19</x:f>
        <x:v>95139.29661372124</x:v>
      </x:c>
      <x:c r="AQ21" s="99" t="n">
        <x:f>AQ12-AQ19</x:f>
        <x:v>95187.27504398639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RowHeight="15"/>
  <x:cols>
    <x:col min="1" max="1" width="4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</x:cols>
  <x:sheetData>
    <x:row r="1">
      <x:c r="A1" s="28" t="str">
        <x:v>Capital One - Imputed Monthly Interest Income / Expense by line item ($mm)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  <x:c r="AA1" s="20"/>
      <x:c r="AB1" s="20"/>
      <x:c r="AC1" s="20"/>
      <x:c r="AD1" s="20"/>
      <x:c r="AE1" s="20"/>
      <x:c r="AF1" s="20"/>
      <x:c r="AG1" s="20"/>
      <x:c r="AH1" s="20"/>
      <x:c r="AI1" s="20"/>
      <x:c r="AJ1" s="20"/>
      <x:c r="AK1" s="20"/>
      <x:c r="AL1" s="20"/>
      <x:c r="AM1" s="20"/>
      <x:c r="AN1" s="20"/>
      <x:c r="AO1" s="20"/>
      <x:c r="AP1" s="20"/>
      <x:c r="AQ1" s="20"/>
    </x:row>
    <x:row r="2" ht="31" customHeight="1">
      <x:c r="A2" s="30" t="str">
        <x:v>Monthly interest income or expense equals monthly average balance times annualized forecast rate divided by 12.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0"/>
      <x:c r="AB2" s="30"/>
      <x:c r="AC2" s="30"/>
      <x:c r="AD2" s="30"/>
      <x:c r="AE2" s="30"/>
      <x:c r="AF2" s="30"/>
      <x:c r="AG2" s="30"/>
      <x:c r="AH2" s="30"/>
      <x:c r="AI2" s="30"/>
      <x:c r="AJ2" s="30"/>
      <x:c r="AK2" s="30"/>
      <x:c r="AL2" s="30"/>
      <x:c r="AM2" s="30"/>
      <x:c r="AN2" s="30"/>
      <x:c r="AO2" s="30"/>
      <x:c r="AP2" s="30"/>
      <x:c r="AQ2" s="3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</x:row>
    <x:row r="4">
      <x:c r="A4" s="26" t="str">
        <x:v>Line item (as disclosed)</x:v>
      </x:c>
      <x:c r="B4" s="31" t="n">
        <x:v>44957</x:v>
      </x:c>
      <x:c r="C4" s="31" t="n">
        <x:v>44985</x:v>
      </x:c>
      <x:c r="D4" s="31" t="n">
        <x:v>45016</x:v>
      </x:c>
      <x:c r="E4" s="31" t="n">
        <x:v>45046</x:v>
      </x:c>
      <x:c r="F4" s="31" t="n">
        <x:v>45077</x:v>
      </x:c>
      <x:c r="G4" s="31" t="n">
        <x:v>45107</x:v>
      </x:c>
      <x:c r="H4" s="31" t="n">
        <x:v>45138</x:v>
      </x:c>
      <x:c r="I4" s="31" t="n">
        <x:v>45169</x:v>
      </x:c>
      <x:c r="J4" s="31" t="n">
        <x:v>45199</x:v>
      </x:c>
      <x:c r="K4" s="31" t="n">
        <x:v>45230</x:v>
      </x:c>
      <x:c r="L4" s="31" t="n">
        <x:v>45260</x:v>
      </x:c>
      <x:c r="M4" s="31" t="n">
        <x:v>45291</x:v>
      </x:c>
      <x:c r="N4" s="31" t="n">
        <x:v>45322</x:v>
      </x:c>
      <x:c r="O4" s="31" t="n">
        <x:v>45351</x:v>
      </x:c>
      <x:c r="P4" s="31" t="n">
        <x:v>45382</x:v>
      </x:c>
      <x:c r="Q4" s="31" t="n">
        <x:v>45412</x:v>
      </x:c>
      <x:c r="R4" s="31" t="n">
        <x:v>45443</x:v>
      </x:c>
      <x:c r="S4" s="31" t="n">
        <x:v>45473</x:v>
      </x:c>
      <x:c r="T4" s="31" t="n">
        <x:v>45504</x:v>
      </x:c>
      <x:c r="U4" s="31" t="n">
        <x:v>45535</x:v>
      </x:c>
      <x:c r="V4" s="31" t="n">
        <x:v>45565</x:v>
      </x:c>
      <x:c r="W4" s="31" t="n">
        <x:v>45596</x:v>
      </x:c>
      <x:c r="X4" s="31" t="n">
        <x:v>45626</x:v>
      </x:c>
      <x:c r="Y4" s="31" t="n">
        <x:v>45657</x:v>
      </x:c>
      <x:c r="Z4" s="31" t="n">
        <x:v>45688</x:v>
      </x:c>
      <x:c r="AA4" s="31" t="n">
        <x:v>45716</x:v>
      </x:c>
      <x:c r="AB4" s="31" t="n">
        <x:v>45747</x:v>
      </x:c>
      <x:c r="AC4" s="31" t="n">
        <x:v>45777</x:v>
      </x:c>
      <x:c r="AD4" s="31" t="n">
        <x:v>45808</x:v>
      </x:c>
      <x:c r="AE4" s="31" t="n">
        <x:v>45838</x:v>
      </x:c>
      <x:c r="AF4" s="93" t="n">
        <x:v>45869</x:v>
      </x:c>
      <x:c r="AG4" s="93" t="n">
        <x:v>45900</x:v>
      </x:c>
      <x:c r="AH4" s="93" t="n">
        <x:v>45930</x:v>
      </x:c>
      <x:c r="AI4" s="93" t="n">
        <x:v>45961</x:v>
      </x:c>
      <x:c r="AJ4" s="93" t="n">
        <x:v>45991</x:v>
      </x:c>
      <x:c r="AK4" s="93" t="n">
        <x:v>46022</x:v>
      </x:c>
      <x:c r="AL4" s="93" t="n">
        <x:v>46053</x:v>
      </x:c>
      <x:c r="AM4" s="93" t="n">
        <x:v>46081</x:v>
      </x:c>
      <x:c r="AN4" s="93" t="n">
        <x:v>46112</x:v>
      </x:c>
      <x:c r="AO4" s="93" t="n">
        <x:v>46142</x:v>
      </x:c>
      <x:c r="AP4" s="93" t="n">
        <x:v>46173</x:v>
      </x:c>
      <x:c r="AQ4" s="93" t="n">
        <x:v>46203</x:v>
      </x:c>
    </x:row>
    <x:row r="5">
      <x:c r="A5" s="32" t="str">
        <x:v>INTEREST-EARNING ASSETS</x:v>
      </x:c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  <x:c r="S5" s="32"/>
      <x:c r="T5" s="32"/>
      <x:c r="U5" s="32"/>
      <x:c r="V5" s="32"/>
      <x:c r="W5" s="32"/>
      <x:c r="X5" s="32"/>
      <x:c r="Y5" s="32"/>
      <x:c r="Z5" s="32"/>
      <x:c r="AA5" s="32"/>
      <x:c r="AB5" s="32"/>
      <x:c r="AC5" s="32"/>
      <x:c r="AD5" s="32"/>
      <x:c r="AE5" s="32"/>
      <x:c r="AF5" s="32"/>
      <x:c r="AG5" s="32"/>
      <x:c r="AH5" s="32"/>
      <x:c r="AI5" s="32"/>
      <x:c r="AJ5" s="32"/>
      <x:c r="AK5" s="32"/>
      <x:c r="AL5" s="32"/>
      <x:c r="AM5" s="32"/>
      <x:c r="AN5" s="32"/>
      <x:c r="AO5" s="32"/>
      <x:c r="AP5" s="32"/>
      <x:c r="AQ5" s="32"/>
    </x:row>
    <x:row r="6">
      <x:c r="A6" s="20" t="str">
        <x:v>  Credit card</x:v>
      </x:c>
      <x:c r="B6" s="43" t="n">
        <x:f>IF(SUM('Monthly Avg Balance'!B6:'Monthly Avg Balance'!D6)=0,"",'Monthly Avg Balance'!B6*Rate!B6/12+('Net Interest Income'!B6-SUM('Monthly Avg Balance'!B6:'Monthly Avg Balance'!D6)*Rate!B6/12)*'Monthly Avg Balance'!B6/SUM('Monthly Avg Balance'!B6:'Monthly Avg Balance'!D6))</x:f>
        <x:v>2017.6666666666667</x:v>
      </x:c>
      <x:c r="C6" s="43" t="n">
        <x:f>IF(SUM('Monthly Avg Balance'!B6:'Monthly Avg Balance'!D6)=0,"",'Monthly Avg Balance'!C6*Rate!B6/12+('Net Interest Income'!B6-SUM('Monthly Avg Balance'!B6:'Monthly Avg Balance'!D6)*Rate!B6/12)*'Monthly Avg Balance'!C6/SUM('Monthly Avg Balance'!B6:'Monthly Avg Balance'!D6))</x:f>
        <x:v>2017.6666666666667</x:v>
      </x:c>
      <x:c r="D6" s="43" t="n">
        <x:f>IF(SUM('Monthly Avg Balance'!B6:'Monthly Avg Balance'!D6)=0,"",'Monthly Avg Balance'!D6*Rate!B6/12+('Net Interest Income'!B6-SUM('Monthly Avg Balance'!B6:'Monthly Avg Balance'!D6)*Rate!B6/12)*'Monthly Avg Balance'!D6/SUM('Monthly Avg Balance'!B6:'Monthly Avg Balance'!D6))</x:f>
        <x:v>2017.6666666666667</x:v>
      </x:c>
      <x:c r="E6" s="43" t="n">
        <x:f>IF(SUM('Monthly Avg Balance'!E6:'Monthly Avg Balance'!G6)=0,"",'Monthly Avg Balance'!E6*Rate!C6/12+('Net Interest Income'!C6-SUM('Monthly Avg Balance'!E6:'Monthly Avg Balance'!G6)*Rate!C6/12)*'Monthly Avg Balance'!E6/SUM('Monthly Avg Balance'!E6:'Monthly Avg Balance'!G6))</x:f>
        <x:v>2059.358389824944</x:v>
      </x:c>
      <x:c r="F6" s="43" t="n">
        <x:f>IF(SUM('Monthly Avg Balance'!E6:'Monthly Avg Balance'!G6)=0,"",'Monthly Avg Balance'!F6*Rate!C6/12+('Net Interest Income'!C6-SUM('Monthly Avg Balance'!E6:'Monthly Avg Balance'!G6)*Rate!C6/12)*'Monthly Avg Balance'!F6/SUM('Monthly Avg Balance'!E6:'Monthly Avg Balance'!G6))</x:f>
        <x:v>2100.6666666666665</x:v>
      </x:c>
      <x:c r="G6" s="43" t="n">
        <x:f>IF(SUM('Monthly Avg Balance'!E6:'Monthly Avg Balance'!G6)=0,"",'Monthly Avg Balance'!G6*Rate!C6/12+('Net Interest Income'!C6-SUM('Monthly Avg Balance'!E6:'Monthly Avg Balance'!G6)*Rate!C6/12)*'Monthly Avg Balance'!G6/SUM('Monthly Avg Balance'!E6:'Monthly Avg Balance'!G6))</x:f>
        <x:v>2141.9749435083895</x:v>
      </x:c>
      <x:c r="H6" s="43" t="n">
        <x:f>IF(SUM('Monthly Avg Balance'!H6:'Monthly Avg Balance'!J6)=0,"",'Monthly Avg Balance'!H6*Rate!D6/12+('Net Interest Income'!D6-SUM('Monthly Avg Balance'!H6:'Monthly Avg Balance'!J6)*Rate!D6/12)*'Monthly Avg Balance'!H6/SUM('Monthly Avg Balance'!H6:'Monthly Avg Balance'!J6))</x:f>
        <x:v>2270.6739494800136</x:v>
      </x:c>
      <x:c r="I6" s="43" t="n">
        <x:f>IF(SUM('Monthly Avg Balance'!H6:'Monthly Avg Balance'!J6)=0,"",'Monthly Avg Balance'!I6*Rate!D6/12+('Net Interest Income'!D6-SUM('Monthly Avg Balance'!H6:'Monthly Avg Balance'!J6)*Rate!D6/12)*'Monthly Avg Balance'!I6/SUM('Monthly Avg Balance'!H6:'Monthly Avg Balance'!J6))</x:f>
        <x:v>2283.333333333333</x:v>
      </x:c>
      <x:c r="J6" s="43" t="n">
        <x:f>IF(SUM('Monthly Avg Balance'!H6:'Monthly Avg Balance'!J6)=0,"",'Monthly Avg Balance'!J6*Rate!D6/12+('Net Interest Income'!D6-SUM('Monthly Avg Balance'!H6:'Monthly Avg Balance'!J6)*Rate!D6/12)*'Monthly Avg Balance'!J6/SUM('Monthly Avg Balance'!H6:'Monthly Avg Balance'!J6))</x:f>
        <x:v>2295.992717186653</x:v>
      </x:c>
      <x:c r="K6" s="43" t="n">
        <x:f>IF(SUM('Monthly Avg Balance'!K6:'Monthly Avg Balance'!M6)=0,"",'Monthly Avg Balance'!K6*Rate!E6/12+('Net Interest Income'!E6-SUM('Monthly Avg Balance'!K6:'Monthly Avg Balance'!M6)*Rate!E6/12)*'Monthly Avg Balance'!K6/SUM('Monthly Avg Balance'!K6:'Monthly Avg Balance'!M6))</x:f>
        <x:v>2318.9591596735186</x:v>
      </x:c>
      <x:c r="L6" s="43" t="n">
        <x:f>IF(SUM('Monthly Avg Balance'!K6:'Monthly Avg Balance'!M6)=0,"",'Monthly Avg Balance'!L6*Rate!E6/12+('Net Interest Income'!E6-SUM('Monthly Avg Balance'!K6:'Monthly Avg Balance'!M6)*Rate!E6/12)*'Monthly Avg Balance'!L6/SUM('Monthly Avg Balance'!K6:'Monthly Avg Balance'!M6))</x:f>
        <x:v>2364.998855757786</x:v>
      </x:c>
      <x:c r="M6" s="43" t="n">
        <x:f>IF(SUM('Monthly Avg Balance'!K6:'Monthly Avg Balance'!M6)=0,"",'Monthly Avg Balance'!M6*Rate!E6/12+('Net Interest Income'!E6-SUM('Monthly Avg Balance'!K6:'Monthly Avg Balance'!M6)*Rate!E6/12)*'Monthly Avg Balance'!M6/SUM('Monthly Avg Balance'!K6:'Monthly Avg Balance'!M6))</x:f>
        <x:v>2378.0419845686956</x:v>
      </x:c>
      <x:c r="N6" s="43" t="n">
        <x:f>IF(SUM('Monthly Avg Balance'!N6:'Monthly Avg Balance'!P6)=0,"",'Monthly Avg Balance'!N6*Rate!F6/12+('Net Interest Income'!F6-SUM('Monthly Avg Balance'!N6:'Monthly Avg Balance'!P6)*Rate!F6/12)*'Monthly Avg Balance'!N6/SUM('Monthly Avg Balance'!N6:'Monthly Avg Balance'!P6))</x:f>
        <x:v>2362.6875908147736</x:v>
      </x:c>
      <x:c r="O6" s="43" t="n">
        <x:f>IF(SUM('Monthly Avg Balance'!N6:'Monthly Avg Balance'!P6)=0,"",'Monthly Avg Balance'!O6*Rate!F6/12+('Net Interest Income'!F6-SUM('Monthly Avg Balance'!N6:'Monthly Avg Balance'!P6)*Rate!F6/12)*'Monthly Avg Balance'!O6/SUM('Monthly Avg Balance'!N6:'Monthly Avg Balance'!P6))</x:f>
        <x:v>2352.3439722756484</x:v>
      </x:c>
      <x:c r="P6" s="43" t="n">
        <x:f>IF(SUM('Monthly Avg Balance'!N6:'Monthly Avg Balance'!P6)=0,"",'Monthly Avg Balance'!P6*Rate!F6/12+('Net Interest Income'!F6-SUM('Monthly Avg Balance'!N6:'Monthly Avg Balance'!P6)*Rate!F6/12)*'Monthly Avg Balance'!P6/SUM('Monthly Avg Balance'!N6:'Monthly Avg Balance'!P6))</x:f>
        <x:v>2351.9684369095776</x:v>
      </x:c>
      <x:c r="Q6" s="43" t="n">
        <x:f>IF(SUM('Monthly Avg Balance'!Q6:'Monthly Avg Balance'!S6)=0,"",'Monthly Avg Balance'!Q6*Rate!G6/12+('Net Interest Income'!G6-SUM('Monthly Avg Balance'!Q6:'Monthly Avg Balance'!S6)*Rate!G6/12)*'Monthly Avg Balance'!Q6/SUM('Monthly Avg Balance'!Q6:'Monthly Avg Balance'!S6))</x:f>
        <x:v>2351.7987729897627</x:v>
      </x:c>
      <x:c r="R6" s="43" t="n">
        <x:f>IF(SUM('Monthly Avg Balance'!Q6:'Monthly Avg Balance'!S6)=0,"",'Monthly Avg Balance'!R6*Rate!G6/12+('Net Interest Income'!G6-SUM('Monthly Avg Balance'!Q6:'Monthly Avg Balance'!S6)*Rate!G6/12)*'Monthly Avg Balance'!R6/SUM('Monthly Avg Balance'!Q6:'Monthly Avg Balance'!S6))</x:f>
        <x:v>2362.054215645918</x:v>
      </x:c>
      <x:c r="S6" s="43" t="n">
        <x:f>IF(SUM('Monthly Avg Balance'!Q6:'Monthly Avg Balance'!S6)=0,"",'Monthly Avg Balance'!S6*Rate!G6/12+('Net Interest Income'!G6-SUM('Monthly Avg Balance'!Q6:'Monthly Avg Balance'!S6)*Rate!G6/12)*'Monthly Avg Balance'!S6/SUM('Monthly Avg Balance'!Q6:'Monthly Avg Balance'!S6))</x:f>
        <x:v>2374.1470113643186</x:v>
      </x:c>
      <x:c r="T6" s="43" t="n">
        <x:f>IF(SUM('Monthly Avg Balance'!T6:'Monthly Avg Balance'!V6)=0,"",'Monthly Avg Balance'!T6*Rate!H6/12+('Net Interest Income'!H6-SUM('Monthly Avg Balance'!T6:'Monthly Avg Balance'!V6)*Rate!H6/12)*'Monthly Avg Balance'!T6/SUM('Monthly Avg Balance'!T6:'Monthly Avg Balance'!V6))</x:f>
        <x:v>2506.27289354827</x:v>
      </x:c>
      <x:c r="U6" s="43" t="n">
        <x:f>IF(SUM('Monthly Avg Balance'!T6:'Monthly Avg Balance'!V6)=0,"",'Monthly Avg Balance'!U6*Rate!H6/12+('Net Interest Income'!H6-SUM('Monthly Avg Balance'!T6:'Monthly Avg Balance'!V6)*Rate!H6/12)*'Monthly Avg Balance'!U6/SUM('Monthly Avg Balance'!T6:'Monthly Avg Balance'!V6))</x:f>
        <x:v>2533.7773433799084</x:v>
      </x:c>
      <x:c r="V6" s="43" t="n">
        <x:f>IF(SUM('Monthly Avg Balance'!T6:'Monthly Avg Balance'!V6)=0,"",'Monthly Avg Balance'!V6*Rate!H6/12+('Net Interest Income'!H6-SUM('Monthly Avg Balance'!T6:'Monthly Avg Balance'!V6)*Rate!H6/12)*'Monthly Avg Balance'!V6/SUM('Monthly Avg Balance'!T6:'Monthly Avg Balance'!V6))</x:f>
        <x:v>2537.9497630718215</x:v>
      </x:c>
      <x:c r="W6" s="43" t="n">
        <x:f>IF(SUM('Monthly Avg Balance'!W6:'Monthly Avg Balance'!Y6)=0,"",'Monthly Avg Balance'!W6*Rate!I6/12+('Net Interest Income'!I6-SUM('Monthly Avg Balance'!W6:'Monthly Avg Balance'!Y6)*Rate!I6/12)*'Monthly Avg Balance'!W6/SUM('Monthly Avg Balance'!W6:'Monthly Avg Balance'!Y6))</x:f>
        <x:v>2471.009896653427</x:v>
      </x:c>
      <x:c r="X6" s="43" t="n">
        <x:f>IF(SUM('Monthly Avg Balance'!W6:'Monthly Avg Balance'!Y6)=0,"",'Monthly Avg Balance'!X6*Rate!I6/12+('Net Interest Income'!I6-SUM('Monthly Avg Balance'!W6:'Monthly Avg Balance'!Y6)*Rate!I6/12)*'Monthly Avg Balance'!X6/SUM('Monthly Avg Balance'!W6:'Monthly Avg Balance'!Y6))</x:f>
        <x:v>2496.4464547991233</x:v>
      </x:c>
      <x:c r="Y6" s="43" t="n">
        <x:f>IF(SUM('Monthly Avg Balance'!W6:'Monthly Avg Balance'!Y6)=0,"",'Monthly Avg Balance'!Y6*Rate!I6/12+('Net Interest Income'!I6-SUM('Monthly Avg Balance'!W6:'Monthly Avg Balance'!Y6)*Rate!I6/12)*'Monthly Avg Balance'!Y6/SUM('Monthly Avg Balance'!W6:'Monthly Avg Balance'!Y6))</x:f>
        <x:v>2525.543648547452</x:v>
      </x:c>
      <x:c r="Z6" s="43" t="n">
        <x:f>IF(SUM('Monthly Avg Balance'!Z6:'Monthly Avg Balance'!AB6)=0,"",'Monthly Avg Balance'!Z6*Rate!J6/12+('Net Interest Income'!J6-SUM('Monthly Avg Balance'!Z6:'Monthly Avg Balance'!AB6)*Rate!J6/12)*'Monthly Avg Balance'!Z6/SUM('Monthly Avg Balance'!Z6:'Monthly Avg Balance'!AB6))</x:f>
        <x:v>2443.226974345392</x:v>
      </x:c>
      <x:c r="AA6" s="43" t="n">
        <x:f>IF(SUM('Monthly Avg Balance'!Z6:'Monthly Avg Balance'!AB6)=0,"",'Monthly Avg Balance'!AA6*Rate!J6/12+('Net Interest Income'!J6-SUM('Monthly Avg Balance'!Z6:'Monthly Avg Balance'!AB6)*Rate!J6/12)*'Monthly Avg Balance'!AA6/SUM('Monthly Avg Balance'!Z6:'Monthly Avg Balance'!AB6))</x:f>
        <x:v>2395.088906614942</x:v>
      </x:c>
      <x:c r="AB6" s="43" t="n">
        <x:f>IF(SUM('Monthly Avg Balance'!Z6:'Monthly Avg Balance'!AB6)=0,"",'Monthly Avg Balance'!AB6*Rate!J6/12+('Net Interest Income'!J6-SUM('Monthly Avg Balance'!Z6:'Monthly Avg Balance'!AB6)*Rate!J6/12)*'Monthly Avg Balance'!AB6/SUM('Monthly Avg Balance'!Z6:'Monthly Avg Balance'!AB6))</x:f>
        <x:v>2409.684119039666</x:v>
      </x:c>
      <x:c r="AC6" s="43" t="n">
        <x:f>IF(SUM('Monthly Avg Balance'!AC6:'Monthly Avg Balance'!AE6)=0,"",'Monthly Avg Balance'!AC6*Rate!K6/12+('Net Interest Income'!K6-SUM('Monthly Avg Balance'!AC6:'Monthly Avg Balance'!AE6)*Rate!K6/12)*'Monthly Avg Balance'!AC6/SUM('Monthly Avg Balance'!AC6:'Monthly Avg Balance'!AE6))</x:f>
        <x:v>2663.586169109826</x:v>
      </x:c>
      <x:c r="AD6" s="43" t="n">
        <x:f>IF(SUM('Monthly Avg Balance'!AC6:'Monthly Avg Balance'!AE6)=0,"",'Monthly Avg Balance'!AD6*Rate!K6/12+('Net Interest Income'!K6-SUM('Monthly Avg Balance'!AC6:'Monthly Avg Balance'!AE6)*Rate!K6/12)*'Monthly Avg Balance'!AD6/SUM('Monthly Avg Balance'!AC6:'Monthly Avg Balance'!AE6))</x:f>
        <x:v>3230.0586424556936</x:v>
      </x:c>
      <x:c r="AE6" s="43" t="n">
        <x:f>IF(SUM('Monthly Avg Balance'!AC6:'Monthly Avg Balance'!AE6)=0,"",'Monthly Avg Balance'!AE6*Rate!K6/12+('Net Interest Income'!K6-SUM('Monthly Avg Balance'!AC6:'Monthly Avg Balance'!AE6)*Rate!K6/12)*'Monthly Avg Balance'!AE6/SUM('Monthly Avg Balance'!AC6:'Monthly Avg Balance'!AE6))</x:f>
        <x:v>3513.35518843448</x:v>
      </x:c>
      <x:c r="AF6" s="104" t="n">
        <x:f>'Monthly Avg Balance'!AF6*'Monthly Rate'!AF6/12</x:f>
        <x:v>3584.5148016329517</x:v>
      </x:c>
      <x:c r="AG6" s="104" t="n">
        <x:f>'Monthly Avg Balance'!AG6*'Monthly Rate'!AG6/12</x:f>
        <x:v>3567.376538731036</x:v>
      </x:c>
      <x:c r="AH6" s="104" t="n">
        <x:f>'Monthly Avg Balance'!AH6*'Monthly Rate'!AH6/12</x:f>
        <x:v>3567.984159712472</x:v>
      </x:c>
      <x:c r="AI6" s="104" t="n">
        <x:f>'Monthly Avg Balance'!AI6*'Monthly Rate'!AI6/12</x:f>
        <x:v>3568.5917806939074</x:v>
      </x:c>
      <x:c r="AJ6" s="104" t="n">
        <x:f>'Monthly Avg Balance'!AJ6*'Monthly Rate'!AJ6/12</x:f>
        <x:v>3551.4414253109494</x:v>
      </x:c>
      <x:c r="AK6" s="104" t="n">
        <x:f>'Monthly Avg Balance'!AK6*'Monthly Rate'!AK6/12</x:f>
        <x:v>3552.046023172124</x:v>
      </x:c>
      <x:c r="AL6" s="104" t="n">
        <x:f>'Monthly Avg Balance'!AL6*'Monthly Rate'!AL6/12</x:f>
        <x:v>3552.650621033299</x:v>
      </x:c>
      <x:c r="AM6" s="104" t="n">
        <x:f>'Monthly Avg Balance'!AM6*'Monthly Rate'!AM6/12</x:f>
        <x:v>3535.488173169297</x:v>
      </x:c>
      <x:c r="AN6" s="104" t="n">
        <x:f>'Monthly Avg Balance'!AN6*'Monthly Rate'!AN6/12</x:f>
        <x:v>3536.089747910211</x:v>
      </x:c>
      <x:c r="AO6" s="104" t="n">
        <x:f>'Monthly Avg Balance'!AO6*'Monthly Rate'!AO6/12</x:f>
        <x:v>3536.6913226511247</x:v>
      </x:c>
      <x:c r="AP6" s="104" t="n">
        <x:f>'Monthly Avg Balance'!AP6*'Monthly Rate'!AP6/12</x:f>
        <x:v>3519.5167823060783</x:v>
      </x:c>
      <x:c r="AQ6" s="104" t="n">
        <x:f>'Monthly Avg Balance'!AQ6*'Monthly Rate'!AQ6/12</x:f>
        <x:v>3520.1153339267316</x:v>
      </x:c>
    </x:row>
    <x:row r="7">
      <x:c r="A7" s="20" t="str">
        <x:v>  Consumer banking</x:v>
      </x:c>
      <x:c r="B7" s="43" t="n">
        <x:f>IF(SUM('Monthly Avg Balance'!B7:'Monthly Avg Balance'!D7)=0,"",'Monthly Avg Balance'!B7*Rate!B7/12+('Net Interest Income'!B7-SUM('Monthly Avg Balance'!B7:'Monthly Avg Balance'!D7)*Rate!B7/12)*'Monthly Avg Balance'!B7/SUM('Monthly Avg Balance'!B7:'Monthly Avg Balance'!D7))</x:f>
        <x:v>487</x:v>
      </x:c>
      <x:c r="C7" s="43" t="n">
        <x:f>IF(SUM('Monthly Avg Balance'!B7:'Monthly Avg Balance'!D7)=0,"",'Monthly Avg Balance'!C7*Rate!B7/12+('Net Interest Income'!B7-SUM('Monthly Avg Balance'!B7:'Monthly Avg Balance'!D7)*Rate!B7/12)*'Monthly Avg Balance'!C7/SUM('Monthly Avg Balance'!B7:'Monthly Avg Balance'!D7))</x:f>
        <x:v>487</x:v>
      </x:c>
      <x:c r="D7" s="43" t="n">
        <x:f>IF(SUM('Monthly Avg Balance'!B7:'Monthly Avg Balance'!D7)=0,"",'Monthly Avg Balance'!D7*Rate!B7/12+('Net Interest Income'!B7-SUM('Monthly Avg Balance'!B7:'Monthly Avg Balance'!D7)*Rate!B7/12)*'Monthly Avg Balance'!D7/SUM('Monthly Avg Balance'!B7:'Monthly Avg Balance'!D7))</x:f>
        <x:v>487</x:v>
      </x:c>
      <x:c r="E7" s="43" t="n">
        <x:f>IF(SUM('Monthly Avg Balance'!E7:'Monthly Avg Balance'!G7)=0,"",'Monthly Avg Balance'!E7*Rate!C7/12+('Net Interest Income'!C7-SUM('Monthly Avg Balance'!E7:'Monthly Avg Balance'!G7)*Rate!C7/12)*'Monthly Avg Balance'!E7/SUM('Monthly Avg Balance'!E7:'Monthly Avg Balance'!G7))</x:f>
        <x:v>500.86260798437274</x:v>
      </x:c>
      <x:c r="F7" s="43" t="n">
        <x:f>IF(SUM('Monthly Avg Balance'!E7:'Monthly Avg Balance'!G7)=0,"",'Monthly Avg Balance'!F7*Rate!C7/12+('Net Interest Income'!C7-SUM('Monthly Avg Balance'!E7:'Monthly Avg Balance'!G7)*Rate!C7/12)*'Monthly Avg Balance'!F7/SUM('Monthly Avg Balance'!E7:'Monthly Avg Balance'!G7))</x:f>
        <x:v>495.3333333333333</x:v>
      </x:c>
      <x:c r="G7" s="43" t="n">
        <x:f>IF(SUM('Monthly Avg Balance'!E7:'Monthly Avg Balance'!G7)=0,"",'Monthly Avg Balance'!G7*Rate!C7/12+('Net Interest Income'!C7-SUM('Monthly Avg Balance'!E7:'Monthly Avg Balance'!G7)*Rate!C7/12)*'Monthly Avg Balance'!G7/SUM('Monthly Avg Balance'!E7:'Monthly Avg Balance'!G7))</x:f>
        <x:v>489.8040586822939</x:v>
      </x:c>
      <x:c r="H7" s="43" t="n">
        <x:f>IF(SUM('Monthly Avg Balance'!H7:'Monthly Avg Balance'!J7)=0,"",'Monthly Avg Balance'!H7*Rate!D7/12+('Net Interest Income'!D7-SUM('Monthly Avg Balance'!H7:'Monthly Avg Balance'!J7)*Rate!D7/12)*'Monthly Avg Balance'!H7/SUM('Monthly Avg Balance'!H7:'Monthly Avg Balance'!J7))</x:f>
        <x:v>508.9865723099256</x:v>
      </x:c>
      <x:c r="I7" s="43" t="n">
        <x:f>IF(SUM('Monthly Avg Balance'!H7:'Monthly Avg Balance'!J7)=0,"",'Monthly Avg Balance'!I7*Rate!D7/12+('Net Interest Income'!D7-SUM('Monthly Avg Balance'!H7:'Monthly Avg Balance'!J7)*Rate!D7/12)*'Monthly Avg Balance'!I7/SUM('Monthly Avg Balance'!H7:'Monthly Avg Balance'!J7))</x:f>
        <x:v>512.3333333333334</x:v>
      </x:c>
      <x:c r="J7" s="43" t="n">
        <x:f>IF(SUM('Monthly Avg Balance'!H7:'Monthly Avg Balance'!J7)=0,"",'Monthly Avg Balance'!J7*Rate!D7/12+('Net Interest Income'!D7-SUM('Monthly Avg Balance'!H7:'Monthly Avg Balance'!J7)*Rate!D7/12)*'Monthly Avg Balance'!J7/SUM('Monthly Avg Balance'!H7:'Monthly Avg Balance'!J7))</x:f>
        <x:v>515.6800943567409</x:v>
      </x:c>
      <x:c r="K7" s="43" t="n">
        <x:f>IF(SUM('Monthly Avg Balance'!K7:'Monthly Avg Balance'!M7)=0,"",'Monthly Avg Balance'!K7*Rate!E7/12+('Net Interest Income'!E7-SUM('Monthly Avg Balance'!K7:'Monthly Avg Balance'!M7)*Rate!E7/12)*'Monthly Avg Balance'!K7/SUM('Monthly Avg Balance'!K7:'Monthly Avg Balance'!M7))</x:f>
        <x:v>523.742288716155</x:v>
      </x:c>
      <x:c r="L7" s="43" t="n">
        <x:f>IF(SUM('Monthly Avg Balance'!K7:'Monthly Avg Balance'!M7)=0,"",'Monthly Avg Balance'!L7*Rate!E7/12+('Net Interest Income'!E7-SUM('Monthly Avg Balance'!K7:'Monthly Avg Balance'!M7)*Rate!E7/12)*'Monthly Avg Balance'!L7/SUM('Monthly Avg Balance'!K7:'Monthly Avg Balance'!M7))</x:f>
        <x:v>513.0910842902849</x:v>
      </x:c>
      <x:c r="M7" s="43" t="n">
        <x:f>IF(SUM('Monthly Avg Balance'!K7:'Monthly Avg Balance'!M7)=0,"",'Monthly Avg Balance'!M7*Rate!E7/12+('Net Interest Income'!E7-SUM('Monthly Avg Balance'!K7:'Monthly Avg Balance'!M7)*Rate!E7/12)*'Monthly Avg Balance'!M7/SUM('Monthly Avg Balance'!K7:'Monthly Avg Balance'!M7))</x:f>
        <x:v>520.1666269935604</x:v>
      </x:c>
      <x:c r="N7" s="43" t="n">
        <x:f>IF(SUM('Monthly Avg Balance'!N7:'Monthly Avg Balance'!P7)=0,"",'Monthly Avg Balance'!N7*Rate!F7/12+('Net Interest Income'!F7-SUM('Monthly Avg Balance'!N7:'Monthly Avg Balance'!P7)*Rate!F7/12)*'Monthly Avg Balance'!N7/SUM('Monthly Avg Balance'!N7:'Monthly Avg Balance'!P7))</x:f>
        <x:v>528.5437191535032</x:v>
      </x:c>
      <x:c r="O7" s="43" t="n">
        <x:f>IF(SUM('Monthly Avg Balance'!N7:'Monthly Avg Balance'!P7)=0,"",'Monthly Avg Balance'!O7*Rate!F7/12+('Net Interest Income'!F7-SUM('Monthly Avg Balance'!N7:'Monthly Avg Balance'!P7)*Rate!F7/12)*'Monthly Avg Balance'!O7/SUM('Monthly Avg Balance'!N7:'Monthly Avg Balance'!P7))</x:f>
        <x:v>516.8280173666229</x:v>
      </x:c>
      <x:c r="P7" s="43" t="n">
        <x:f>IF(SUM('Monthly Avg Balance'!N7:'Monthly Avg Balance'!P7)=0,"",'Monthly Avg Balance'!P7*Rate!F7/12+('Net Interest Income'!F7-SUM('Monthly Avg Balance'!N7:'Monthly Avg Balance'!P7)*Rate!F7/12)*'Monthly Avg Balance'!P7/SUM('Monthly Avg Balance'!N7:'Monthly Avg Balance'!P7))</x:f>
        <x:v>518.6282634798739</x:v>
      </x:c>
      <x:c r="Q7" s="43" t="n">
        <x:f>IF(SUM('Monthly Avg Balance'!Q7:'Monthly Avg Balance'!S7)=0,"",'Monthly Avg Balance'!Q7*Rate!G7/12+('Net Interest Income'!G7-SUM('Monthly Avg Balance'!Q7:'Monthly Avg Balance'!S7)*Rate!G7/12)*'Monthly Avg Balance'!Q7/SUM('Monthly Avg Balance'!Q7:'Monthly Avg Balance'!S7))</x:f>
        <x:v>534.9322400493379</x:v>
      </x:c>
      <x:c r="R7" s="43" t="n">
        <x:f>IF(SUM('Monthly Avg Balance'!Q7:'Monthly Avg Balance'!S7)=0,"",'Monthly Avg Balance'!R7*Rate!G7/12+('Net Interest Income'!G7-SUM('Monthly Avg Balance'!Q7:'Monthly Avg Balance'!S7)*Rate!G7/12)*'Monthly Avg Balance'!R7/SUM('Monthly Avg Balance'!Q7:'Monthly Avg Balance'!S7))</x:f>
        <x:v>536.5921151480338</x:v>
      </x:c>
      <x:c r="S7" s="43" t="n">
        <x:f>IF(SUM('Monthly Avg Balance'!Q7:'Monthly Avg Balance'!S7)=0,"",'Monthly Avg Balance'!S7*Rate!G7/12+('Net Interest Income'!G7-SUM('Monthly Avg Balance'!Q7:'Monthly Avg Balance'!S7)*Rate!G7/12)*'Monthly Avg Balance'!S7/SUM('Monthly Avg Balance'!Q7:'Monthly Avg Balance'!S7))</x:f>
        <x:v>539.4756448026283</x:v>
      </x:c>
      <x:c r="T7" s="43" t="n">
        <x:f>IF(SUM('Monthly Avg Balance'!T7:'Monthly Avg Balance'!V7)=0,"",'Monthly Avg Balance'!T7*Rate!H7/12+('Net Interest Income'!H7-SUM('Monthly Avg Balance'!T7:'Monthly Avg Balance'!V7)*Rate!H7/12)*'Monthly Avg Balance'!T7/SUM('Monthly Avg Balance'!T7:'Monthly Avg Balance'!V7))</x:f>
        <x:v>562.6903246469626</x:v>
      </x:c>
      <x:c r="U7" s="43" t="n">
        <x:f>IF(SUM('Monthly Avg Balance'!T7:'Monthly Avg Balance'!V7)=0,"",'Monthly Avg Balance'!U7*Rate!H7/12+('Net Interest Income'!H7-SUM('Monthly Avg Balance'!T7:'Monthly Avg Balance'!V7)*Rate!H7/12)*'Monthly Avg Balance'!U7/SUM('Monthly Avg Balance'!T7:'Monthly Avg Balance'!V7))</x:f>
        <x:v>563.6710072492539</x:v>
      </x:c>
      <x:c r="V7" s="43" t="n">
        <x:f>IF(SUM('Monthly Avg Balance'!T7:'Monthly Avg Balance'!V7)=0,"",'Monthly Avg Balance'!V7*Rate!H7/12+('Net Interest Income'!H7-SUM('Monthly Avg Balance'!T7:'Monthly Avg Balance'!V7)*Rate!H7/12)*'Monthly Avg Balance'!V7/SUM('Monthly Avg Balance'!T7:'Monthly Avg Balance'!V7))</x:f>
        <x:v>565.6386681037834</x:v>
      </x:c>
      <x:c r="W7" s="43" t="n">
        <x:f>IF(SUM('Monthly Avg Balance'!W7:'Monthly Avg Balance'!Y7)=0,"",'Monthly Avg Balance'!W7*Rate!I7/12+('Net Interest Income'!I7-SUM('Monthly Avg Balance'!W7:'Monthly Avg Balance'!Y7)*Rate!I7/12)*'Monthly Avg Balance'!W7/SUM('Monthly Avg Balance'!W7:'Monthly Avg Balance'!Y7))</x:f>
        <x:v>577.427804393058</x:v>
      </x:c>
      <x:c r="X7" s="43" t="n">
        <x:f>IF(SUM('Monthly Avg Balance'!W7:'Monthly Avg Balance'!Y7)=0,"",'Monthly Avg Balance'!X7*Rate!I7/12+('Net Interest Income'!I7-SUM('Monthly Avg Balance'!W7:'Monthly Avg Balance'!Y7)*Rate!I7/12)*'Monthly Avg Balance'!X7/SUM('Monthly Avg Balance'!W7:'Monthly Avg Balance'!Y7))</x:f>
        <x:v>580.0647745308466</x:v>
      </x:c>
      <x:c r="Y7" s="43" t="n">
        <x:f>IF(SUM('Monthly Avg Balance'!W7:'Monthly Avg Balance'!Y7)=0,"",'Monthly Avg Balance'!Y7*Rate!I7/12+('Net Interest Income'!I7-SUM('Monthly Avg Balance'!W7:'Monthly Avg Balance'!Y7)*Rate!I7/12)*'Monthly Avg Balance'!Y7/SUM('Monthly Avg Balance'!W7:'Monthly Avg Balance'!Y7))</x:f>
        <x:v>587.5074210760955</x:v>
      </x:c>
      <x:c r="Z7" s="43" t="n">
        <x:f>IF(SUM('Monthly Avg Balance'!Z7:'Monthly Avg Balance'!AB7)=0,"",'Monthly Avg Balance'!Z7*Rate!J7/12+('Net Interest Income'!J7-SUM('Monthly Avg Balance'!Z7:'Monthly Avg Balance'!AB7)*Rate!J7/12)*'Monthly Avg Balance'!Z7/SUM('Monthly Avg Balance'!Z7:'Monthly Avg Balance'!AB7))</x:f>
        <x:v>591.0189003236532</x:v>
      </x:c>
      <x:c r="AA7" s="43" t="n">
        <x:f>IF(SUM('Monthly Avg Balance'!Z7:'Monthly Avg Balance'!AB7)=0,"",'Monthly Avg Balance'!AA7*Rate!J7/12+('Net Interest Income'!J7-SUM('Monthly Avg Balance'!Z7:'Monthly Avg Balance'!AB7)*Rate!J7/12)*'Monthly Avg Balance'!AA7/SUM('Monthly Avg Balance'!Z7:'Monthly Avg Balance'!AB7))</x:f>
        <x:v>590.3148246091349</x:v>
      </x:c>
      <x:c r="AB7" s="43" t="n">
        <x:f>IF(SUM('Monthly Avg Balance'!Z7:'Monthly Avg Balance'!AB7)=0,"",'Monthly Avg Balance'!AB7*Rate!J7/12+('Net Interest Income'!J7-SUM('Monthly Avg Balance'!Z7:'Monthly Avg Balance'!AB7)*Rate!J7/12)*'Monthly Avg Balance'!AB7/SUM('Monthly Avg Balance'!Z7:'Monthly Avg Balance'!AB7))</x:f>
        <x:v>591.666275067212</x:v>
      </x:c>
      <x:c r="AC7" s="43" t="n">
        <x:f>IF(SUM('Monthly Avg Balance'!AC7:'Monthly Avg Balance'!AE7)=0,"",'Monthly Avg Balance'!AC7*Rate!K7/12+('Net Interest Income'!K7-SUM('Monthly Avg Balance'!AC7:'Monthly Avg Balance'!AE7)*Rate!K7/12)*'Monthly Avg Balance'!AC7/SUM('Monthly Avg Balance'!AC7:'Monthly Avg Balance'!AE7))</x:f>
        <x:v>597.7234481978982</x:v>
      </x:c>
      <x:c r="AD7" s="43" t="n">
        <x:f>IF(SUM('Monthly Avg Balance'!AC7:'Monthly Avg Balance'!AE7)=0,"",'Monthly Avg Balance'!AD7*Rate!K7/12+('Net Interest Income'!K7-SUM('Monthly Avg Balance'!AC7:'Monthly Avg Balance'!AE7)*Rate!K7/12)*'Monthly Avg Balance'!AD7/SUM('Monthly Avg Balance'!AC7:'Monthly Avg Balance'!AE7))</x:f>
        <x:v>590.0732805480247</x:v>
      </x:c>
      <x:c r="AE7" s="43" t="n">
        <x:f>IF(SUM('Monthly Avg Balance'!AC7:'Monthly Avg Balance'!AE7)=0,"",'Monthly Avg Balance'!AE7*Rate!K7/12+('Net Interest Income'!K7-SUM('Monthly Avg Balance'!AC7:'Monthly Avg Balance'!AE7)*Rate!K7/12)*'Monthly Avg Balance'!AE7/SUM('Monthly Avg Balance'!AC7:'Monthly Avg Balance'!AE7))</x:f>
        <x:v>673.203271254077</x:v>
      </x:c>
      <x:c r="AF7" s="104" t="n">
        <x:f>'Monthly Avg Balance'!AF7*'Monthly Rate'!AF7/12</x:f>
        <x:v>737.2688189202913</x:v>
      </x:c>
      <x:c r="AG7" s="104" t="n">
        <x:f>'Monthly Avg Balance'!AG7*'Monthly Rate'!AG7/12</x:f>
        <x:v>737.008977694943</x:v>
      </x:c>
      <x:c r="AH7" s="104" t="n">
        <x:f>'Monthly Avg Balance'!AH7*'Monthly Rate'!AH7/12</x:f>
        <x:v>736.7491822646343</x:v>
      </x:c>
      <x:c r="AI7" s="104" t="n">
        <x:f>'Monthly Avg Balance'!AI7*'Monthly Rate'!AI7/12</x:f>
        <x:v>736.4894326293653</x:v>
      </x:c>
      <x:c r="AJ7" s="104" t="n">
        <x:f>'Monthly Avg Balance'!AJ7*'Monthly Rate'!AJ7/12</x:f>
        <x:v>736.2297287891356</x:v>
      </x:c>
      <x:c r="AK7" s="104" t="n">
        <x:f>'Monthly Avg Balance'!AK7*'Monthly Rate'!AK7/12</x:f>
        <x:v>735.9700707439455</x:v>
      </x:c>
      <x:c r="AL7" s="104" t="n">
        <x:f>'Monthly Avg Balance'!AL7*'Monthly Rate'!AL7/12</x:f>
        <x:v>735.710458493795</x:v>
      </x:c>
      <x:c r="AM7" s="104" t="n">
        <x:f>'Monthly Avg Balance'!AM7*'Monthly Rate'!AM7/12</x:f>
        <x:v>735.4508920386842</x:v>
      </x:c>
      <x:c r="AN7" s="104" t="n">
        <x:f>'Monthly Avg Balance'!AN7*'Monthly Rate'!AN7/12</x:f>
        <x:v>735.1913713786126</x:v>
      </x:c>
      <x:c r="AO7" s="104" t="n">
        <x:f>'Monthly Avg Balance'!AO7*'Monthly Rate'!AO7/12</x:f>
        <x:v>734.9318965135807</x:v>
      </x:c>
      <x:c r="AP7" s="104" t="n">
        <x:f>'Monthly Avg Balance'!AP7*'Monthly Rate'!AP7/12</x:f>
        <x:v>734.6724674435883</x:v>
      </x:c>
      <x:c r="AQ7" s="104" t="n">
        <x:f>'Monthly Avg Balance'!AQ7*'Monthly Rate'!AQ7/12</x:f>
        <x:v>734.4130841686355</x:v>
      </x:c>
    </x:row>
    <x:row r="8">
      <x:c r="A8" s="20" t="str">
        <x:v>  Commercial banking</x:v>
      </x:c>
      <x:c r="B8" s="43" t="n">
        <x:f>IF(SUM('Monthly Avg Balance'!B8:'Monthly Avg Balance'!D8)=0,"",'Monthly Avg Balance'!B8*Rate!B8/12+('Net Interest Income'!B8-SUM('Monthly Avg Balance'!B8:'Monthly Avg Balance'!D8)*Rate!B8/12)*'Monthly Avg Balance'!B8/SUM('Monthly Avg Balance'!B8:'Monthly Avg Balance'!D8))</x:f>
        <x:v>495.99999999999994</x:v>
      </x:c>
      <x:c r="C8" s="43" t="n">
        <x:f>IF(SUM('Monthly Avg Balance'!B8:'Monthly Avg Balance'!D8)=0,"",'Monthly Avg Balance'!C8*Rate!B8/12+('Net Interest Income'!B8-SUM('Monthly Avg Balance'!B8:'Monthly Avg Balance'!D8)*Rate!B8/12)*'Monthly Avg Balance'!C8/SUM('Monthly Avg Balance'!B8:'Monthly Avg Balance'!D8))</x:f>
        <x:v>495.99999999999994</x:v>
      </x:c>
      <x:c r="D8" s="43" t="n">
        <x:f>IF(SUM('Monthly Avg Balance'!B8:'Monthly Avg Balance'!D8)=0,"",'Monthly Avg Balance'!D8*Rate!B8/12+('Net Interest Income'!B8-SUM('Monthly Avg Balance'!B8:'Monthly Avg Balance'!D8)*Rate!B8/12)*'Monthly Avg Balance'!D8/SUM('Monthly Avg Balance'!B8:'Monthly Avg Balance'!D8))</x:f>
        <x:v>495.99999999999994</x:v>
      </x:c>
      <x:c r="E8" s="43" t="n">
        <x:f>IF(SUM('Monthly Avg Balance'!E8:'Monthly Avg Balance'!G8)=0,"",'Monthly Avg Balance'!E8*Rate!C8/12+('Net Interest Income'!C8-SUM('Monthly Avg Balance'!E8:'Monthly Avg Balance'!G8)*Rate!C8/12)*'Monthly Avg Balance'!E8/SUM('Monthly Avg Balance'!E8:'Monthly Avg Balance'!G8))</x:f>
        <x:v>528.8060828581101</x:v>
      </x:c>
      <x:c r="F8" s="43" t="n">
        <x:f>IF(SUM('Monthly Avg Balance'!E8:'Monthly Avg Balance'!G8)=0,"",'Monthly Avg Balance'!F8*Rate!C8/12+('Net Interest Income'!C8-SUM('Monthly Avg Balance'!E8:'Monthly Avg Balance'!G8)*Rate!C8/12)*'Monthly Avg Balance'!F8/SUM('Monthly Avg Balance'!E8:'Monthly Avg Balance'!G8))</x:f>
        <x:v>526.6666666666666</x:v>
      </x:c>
      <x:c r="G8" s="43" t="n">
        <x:f>IF(SUM('Monthly Avg Balance'!E8:'Monthly Avg Balance'!G8)=0,"",'Monthly Avg Balance'!G8*Rate!C8/12+('Net Interest Income'!C8-SUM('Monthly Avg Balance'!E8:'Monthly Avg Balance'!G8)*Rate!C8/12)*'Monthly Avg Balance'!G8/SUM('Monthly Avg Balance'!E8:'Monthly Avg Balance'!G8))</x:f>
        <x:v>524.5272504752232</x:v>
      </x:c>
      <x:c r="H8" s="43" t="n">
        <x:f>IF(SUM('Monthly Avg Balance'!H8:'Monthly Avg Balance'!J8)=0,"",'Monthly Avg Balance'!H8*Rate!D8/12+('Net Interest Income'!D8-SUM('Monthly Avg Balance'!H8:'Monthly Avg Balance'!J8)*Rate!D8/12)*'Monthly Avg Balance'!H8/SUM('Monthly Avg Balance'!H8:'Monthly Avg Balance'!J8))</x:f>
        <x:v>551.4784495944771</x:v>
      </x:c>
      <x:c r="I8" s="43" t="n">
        <x:f>IF(SUM('Monthly Avg Balance'!H8:'Monthly Avg Balance'!J8)=0,"",'Monthly Avg Balance'!I8*Rate!D8/12+('Net Interest Income'!D8-SUM('Monthly Avg Balance'!H8:'Monthly Avg Balance'!J8)*Rate!D8/12)*'Monthly Avg Balance'!I8/SUM('Monthly Avg Balance'!H8:'Monthly Avg Balance'!J8))</x:f>
        <x:v>547.3333333333334</x:v>
      </x:c>
      <x:c r="J8" s="43" t="n">
        <x:f>IF(SUM('Monthly Avg Balance'!H8:'Monthly Avg Balance'!J8)=0,"",'Monthly Avg Balance'!J8*Rate!D8/12+('Net Interest Income'!D8-SUM('Monthly Avg Balance'!H8:'Monthly Avg Balance'!J8)*Rate!D8/12)*'Monthly Avg Balance'!J8/SUM('Monthly Avg Balance'!H8:'Monthly Avg Balance'!J8))</x:f>
        <x:v>543.1882170721897</x:v>
      </x:c>
      <x:c r="K8" s="43" t="n">
        <x:f>IF(SUM('Monthly Avg Balance'!K8:'Monthly Avg Balance'!M8)=0,"",'Monthly Avg Balance'!K8*Rate!E8/12+('Net Interest Income'!E8-SUM('Monthly Avg Balance'!K8:'Monthly Avg Balance'!M8)*Rate!E8/12)*'Monthly Avg Balance'!K8/SUM('Monthly Avg Balance'!K8:'Monthly Avg Balance'!M8))</x:f>
        <x:v>549.3700769381404</x:v>
      </x:c>
      <x:c r="L8" s="43" t="n">
        <x:f>IF(SUM('Monthly Avg Balance'!K8:'Monthly Avg Balance'!M8)=0,"",'Monthly Avg Balance'!L8*Rate!E8/12+('Net Interest Income'!E8-SUM('Monthly Avg Balance'!K8:'Monthly Avg Balance'!M8)*Rate!E8/12)*'Monthly Avg Balance'!L8/SUM('Monthly Avg Balance'!K8:'Monthly Avg Balance'!M8))</x:f>
        <x:v>549.181553827876</x:v>
      </x:c>
      <x:c r="M8" s="43" t="n">
        <x:f>IF(SUM('Monthly Avg Balance'!K8:'Monthly Avg Balance'!M8)=0,"",'Monthly Avg Balance'!M8*Rate!E8/12+('Net Interest Income'!E8-SUM('Monthly Avg Balance'!K8:'Monthly Avg Balance'!M8)*Rate!E8/12)*'Monthly Avg Balance'!M8/SUM('Monthly Avg Balance'!K8:'Monthly Avg Balance'!M8))</x:f>
        <x:v>554.4483692339837</x:v>
      </x:c>
      <x:c r="N8" s="43" t="n">
        <x:f>IF(SUM('Monthly Avg Balance'!N8:'Monthly Avg Balance'!P8)=0,"",'Monthly Avg Balance'!N8*Rate!F8/12+('Net Interest Income'!F8-SUM('Monthly Avg Balance'!N8:'Monthly Avg Balance'!P8)*Rate!F8/12)*'Monthly Avg Balance'!N8/SUM('Monthly Avg Balance'!N8:'Monthly Avg Balance'!P8))</x:f>
        <x:v>543.5455188212056</x:v>
      </x:c>
      <x:c r="O8" s="43" t="n">
        <x:f>IF(SUM('Monthly Avg Balance'!N8:'Monthly Avg Balance'!P8)=0,"",'Monthly Avg Balance'!O8*Rate!F8/12+('Net Interest Income'!F8-SUM('Monthly Avg Balance'!N8:'Monthly Avg Balance'!P8)*Rate!F8/12)*'Monthly Avg Balance'!O8/SUM('Monthly Avg Balance'!N8:'Monthly Avg Balance'!P8))</x:f>
        <x:v>533.5025066714576</x:v>
      </x:c>
      <x:c r="P8" s="43" t="n">
        <x:f>IF(SUM('Monthly Avg Balance'!N8:'Monthly Avg Balance'!P8)=0,"",'Monthly Avg Balance'!P8*Rate!F8/12+('Net Interest Income'!F8-SUM('Monthly Avg Balance'!N8:'Monthly Avg Balance'!P8)*Rate!F8/12)*'Monthly Avg Balance'!P8/SUM('Monthly Avg Balance'!N8:'Monthly Avg Balance'!P8))</x:f>
        <x:v>534.9519745073371</x:v>
      </x:c>
      <x:c r="Q8" s="43" t="n">
        <x:f>IF(SUM('Monthly Avg Balance'!Q8:'Monthly Avg Balance'!S8)=0,"",'Monthly Avg Balance'!Q8*Rate!G8/12+('Net Interest Income'!G8-SUM('Monthly Avg Balance'!Q8:'Monthly Avg Balance'!S8)*Rate!G8/12)*'Monthly Avg Balance'!Q8/SUM('Monthly Avg Balance'!Q8:'Monthly Avg Balance'!S8))</x:f>
        <x:v>540.2084747760507</x:v>
      </x:c>
      <x:c r="R8" s="43" t="n">
        <x:f>IF(SUM('Monthly Avg Balance'!Q8:'Monthly Avg Balance'!S8)=0,"",'Monthly Avg Balance'!R8*Rate!G8/12+('Net Interest Income'!G8-SUM('Monthly Avg Balance'!Q8:'Monthly Avg Balance'!S8)*Rate!G8/12)*'Monthly Avg Balance'!R8/SUM('Monthly Avg Balance'!Q8:'Monthly Avg Balance'!S8))</x:f>
        <x:v>535.8428439365877</x:v>
      </x:c>
      <x:c r="S8" s="43" t="n">
        <x:f>IF(SUM('Monthly Avg Balance'!Q8:'Monthly Avg Balance'!S8)=0,"",'Monthly Avg Balance'!S8*Rate!G8/12+('Net Interest Income'!G8-SUM('Monthly Avg Balance'!Q8:'Monthly Avg Balance'!S8)*Rate!G8/12)*'Monthly Avg Balance'!S8/SUM('Monthly Avg Balance'!Q8:'Monthly Avg Balance'!S8))</x:f>
        <x:v>539.9486812873616</x:v>
      </x:c>
      <x:c r="T8" s="43" t="n">
        <x:f>IF(SUM('Monthly Avg Balance'!T8:'Monthly Avg Balance'!V8)=0,"",'Monthly Avg Balance'!T8*Rate!H8/12+('Net Interest Income'!H8-SUM('Monthly Avg Balance'!T8:'Monthly Avg Balance'!V8)*Rate!H8/12)*'Monthly Avg Balance'!T8/SUM('Monthly Avg Balance'!T8:'Monthly Avg Balance'!V8))</x:f>
        <x:v>538.9036419937056</x:v>
      </x:c>
      <x:c r="U8" s="43" t="n">
        <x:f>IF(SUM('Monthly Avg Balance'!T8:'Monthly Avg Balance'!V8)=0,"",'Monthly Avg Balance'!U8*Rate!H8/12+('Net Interest Income'!H8-SUM('Monthly Avg Balance'!T8:'Monthly Avg Balance'!V8)*Rate!H8/12)*'Monthly Avg Balance'!U8/SUM('Monthly Avg Balance'!T8:'Monthly Avg Balance'!V8))</x:f>
        <x:v>529.0332879007824</x:v>
      </x:c>
      <x:c r="V8" s="43" t="n">
        <x:f>IF(SUM('Monthly Avg Balance'!T8:'Monthly Avg Balance'!V8)=0,"",'Monthly Avg Balance'!V8*Rate!H8/12+('Net Interest Income'!H8-SUM('Monthly Avg Balance'!T8:'Monthly Avg Balance'!V8)*Rate!H8/12)*'Monthly Avg Balance'!V8/SUM('Monthly Avg Balance'!T8:'Monthly Avg Balance'!V8))</x:f>
        <x:v>533.0630701055115</x:v>
      </x:c>
      <x:c r="W8" s="43" t="n">
        <x:f>IF(SUM('Monthly Avg Balance'!W8:'Monthly Avg Balance'!Y8)=0,"",'Monthly Avg Balance'!W8*Rate!I8/12+('Net Interest Income'!I8-SUM('Monthly Avg Balance'!W8:'Monthly Avg Balance'!Y8)*Rate!I8/12)*'Monthly Avg Balance'!W8/SUM('Monthly Avg Balance'!W8:'Monthly Avg Balance'!Y8))</x:f>
        <x:v>492.4239112796171</x:v>
      </x:c>
      <x:c r="X8" s="43" t="n">
        <x:f>IF(SUM('Monthly Avg Balance'!W8:'Monthly Avg Balance'!Y8)=0,"",'Monthly Avg Balance'!X8*Rate!I8/12+('Net Interest Income'!I8-SUM('Monthly Avg Balance'!W8:'Monthly Avg Balance'!Y8)*Rate!I8/12)*'Monthly Avg Balance'!X8/SUM('Monthly Avg Balance'!W8:'Monthly Avg Balance'!Y8))</x:f>
        <x:v>485.74652108655175</x:v>
      </x:c>
      <x:c r="Y8" s="43" t="n">
        <x:f>IF(SUM('Monthly Avg Balance'!W8:'Monthly Avg Balance'!Y8)=0,"",'Monthly Avg Balance'!Y8*Rate!I8/12+('Net Interest Income'!I8-SUM('Monthly Avg Balance'!W8:'Monthly Avg Balance'!Y8)*Rate!I8/12)*'Monthly Avg Balance'!Y8/SUM('Monthly Avg Balance'!W8:'Monthly Avg Balance'!Y8))</x:f>
        <x:v>493.8295676338312</x:v>
      </x:c>
      <x:c r="Z8" s="43" t="n">
        <x:f>IF(SUM('Monthly Avg Balance'!Z8:'Monthly Avg Balance'!AB8)=0,"",'Monthly Avg Balance'!Z8*Rate!J8/12+('Net Interest Income'!J8-SUM('Monthly Avg Balance'!Z8:'Monthly Avg Balance'!AB8)*Rate!J8/12)*'Monthly Avg Balance'!Z8/SUM('Monthly Avg Balance'!Z8:'Monthly Avg Balance'!AB8))</x:f>
        <x:v>463.8538289447215</x:v>
      </x:c>
      <x:c r="AA8" s="43" t="n">
        <x:f>IF(SUM('Monthly Avg Balance'!Z8:'Monthly Avg Balance'!AB8)=0,"",'Monthly Avg Balance'!AA8*Rate!J8/12+('Net Interest Income'!J8-SUM('Monthly Avg Balance'!Z8:'Monthly Avg Balance'!AB8)*Rate!J8/12)*'Monthly Avg Balance'!AA8/SUM('Monthly Avg Balance'!Z8:'Monthly Avg Balance'!AB8))</x:f>
        <x:v>458.0164363341271</x:v>
      </x:c>
      <x:c r="AB8" s="43" t="n">
        <x:f>IF(SUM('Monthly Avg Balance'!Z8:'Monthly Avg Balance'!AB8)=0,"",'Monthly Avg Balance'!AB8*Rate!J8/12+('Net Interest Income'!J8-SUM('Monthly Avg Balance'!Z8:'Monthly Avg Balance'!AB8)*Rate!J8/12)*'Monthly Avg Balance'!AB8/SUM('Monthly Avg Balance'!Z8:'Monthly Avg Balance'!AB8))</x:f>
        <x:v>460.1297347211513</x:v>
      </x:c>
      <x:c r="AC8" s="43" t="n">
        <x:f>IF(SUM('Monthly Avg Balance'!AC8:'Monthly Avg Balance'!AE8)=0,"",'Monthly Avg Balance'!AC8*Rate!K8/12+('Net Interest Income'!K8-SUM('Monthly Avg Balance'!AC8:'Monthly Avg Balance'!AE8)*Rate!K8/12)*'Monthly Avg Balance'!AC8/SUM('Monthly Avg Balance'!AC8:'Monthly Avg Balance'!AE8))</x:f>
        <x:v>458.90989538554174</x:v>
      </x:c>
      <x:c r="AD8" s="43" t="n">
        <x:f>IF(SUM('Monthly Avg Balance'!AC8:'Monthly Avg Balance'!AE8)=0,"",'Monthly Avg Balance'!AD8*Rate!K8/12+('Net Interest Income'!K8-SUM('Monthly Avg Balance'!AC8:'Monthly Avg Balance'!AE8)*Rate!K8/12)*'Monthly Avg Balance'!AD8/SUM('Monthly Avg Balance'!AC8:'Monthly Avg Balance'!AE8))</x:f>
        <x:v>448.8276199505677</x:v>
      </x:c>
      <x:c r="AE8" s="43" t="n">
        <x:f>IF(SUM('Monthly Avg Balance'!AC8:'Monthly Avg Balance'!AE8)=0,"",'Monthly Avg Balance'!AE8*Rate!K8/12+('Net Interest Income'!K8-SUM('Monthly Avg Balance'!AC8:'Monthly Avg Balance'!AE8)*Rate!K8/12)*'Monthly Avg Balance'!AE8/SUM('Monthly Avg Balance'!AC8:'Monthly Avg Balance'!AE8))</x:f>
        <x:v>513.2624846638906</x:v>
      </x:c>
      <x:c r="AF8" s="104" t="n">
        <x:f>'Monthly Avg Balance'!AF8*'Monthly Rate'!AF8/12</x:f>
        <x:v>562.0113576299135</x:v>
      </x:c>
      <x:c r="AG8" s="104" t="n">
        <x:f>'Monthly Avg Balance'!AG8*'Monthly Rate'!AG8/12</x:f>
        <x:v>559.9608358942612</x:v>
      </x:c>
      <x:c r="AH8" s="104" t="n">
        <x:f>'Monthly Avg Balance'!AH8*'Monthly Rate'!AH8/12</x:f>
        <x:v>557.9095830247267</x:v>
      </x:c>
      <x:c r="AI8" s="104" t="n">
        <x:f>'Monthly Avg Balance'!AI8*'Monthly Rate'!AI8/12</x:f>
        <x:v>555.8575990213099</x:v>
      </x:c>
      <x:c r="AJ8" s="104" t="n">
        <x:f>'Monthly Avg Balance'!AJ8*'Monthly Rate'!AJ8/12</x:f>
        <x:v>553.8048838840109</x:v>
      </x:c>
      <x:c r="AK8" s="104" t="n">
        <x:f>'Monthly Avg Balance'!AK8*'Monthly Rate'!AK8/12</x:f>
        <x:v>551.7514376128297</x:v>
      </x:c>
      <x:c r="AL8" s="104" t="n">
        <x:f>'Monthly Avg Balance'!AL8*'Monthly Rate'!AL8/12</x:f>
        <x:v>549.6972602077662</x:v>
      </x:c>
      <x:c r="AM8" s="104" t="n">
        <x:f>'Monthly Avg Balance'!AM8*'Monthly Rate'!AM8/12</x:f>
        <x:v>547.6423516688204</x:v>
      </x:c>
      <x:c r="AN8" s="104" t="n">
        <x:f>'Monthly Avg Balance'!AN8*'Monthly Rate'!AN8/12</x:f>
        <x:v>545.5867119959925</x:v>
      </x:c>
      <x:c r="AO8" s="104" t="n">
        <x:f>'Monthly Avg Balance'!AO8*'Monthly Rate'!AO8/12</x:f>
        <x:v>543.5303411892824</x:v>
      </x:c>
      <x:c r="AP8" s="104" t="n">
        <x:f>'Monthly Avg Balance'!AP8*'Monthly Rate'!AP8/12</x:f>
        <x:v>541.47323924869</x:v>
      </x:c>
      <x:c r="AQ8" s="104" t="n">
        <x:f>'Monthly Avg Balance'!AQ8*'Monthly Rate'!AQ8/12</x:f>
        <x:v>539.4154061742151</x:v>
      </x:c>
    </x:row>
    <x:row r="9">
      <x:c r="A9" s="26" t="str">
        <x:v>  Total loans (incl. HFS)</x:v>
      </x:c>
      <x:c r="B9" s="46" t="n">
        <x:f>IF(SUM('Monthly Avg Balance'!B9:'Monthly Avg Balance'!D9)=0,"",'Monthly Avg Balance'!B9*Rate!B9/12+('Net Interest Income'!B9-SUM('Monthly Avg Balance'!B9:'Monthly Avg Balance'!D9)*Rate!B9/12)*'Monthly Avg Balance'!B9/SUM('Monthly Avg Balance'!B9:'Monthly Avg Balance'!D9))</x:f>
        <x:v>2907.6666666666665</x:v>
      </x:c>
      <x:c r="C9" s="46" t="n">
        <x:f>IF(SUM('Monthly Avg Balance'!B9:'Monthly Avg Balance'!D9)=0,"",'Monthly Avg Balance'!C9*Rate!B9/12+('Net Interest Income'!B9-SUM('Monthly Avg Balance'!B9:'Monthly Avg Balance'!D9)*Rate!B9/12)*'Monthly Avg Balance'!C9/SUM('Monthly Avg Balance'!B9:'Monthly Avg Balance'!D9))</x:f>
        <x:v>2907.6666666666665</x:v>
      </x:c>
      <x:c r="D9" s="46" t="n">
        <x:f>IF(SUM('Monthly Avg Balance'!B9:'Monthly Avg Balance'!D9)=0,"",'Monthly Avg Balance'!D9*Rate!B9/12+('Net Interest Income'!B9-SUM('Monthly Avg Balance'!B9:'Monthly Avg Balance'!D9)*Rate!B9/12)*'Monthly Avg Balance'!D9/SUM('Monthly Avg Balance'!B9:'Monthly Avg Balance'!D9))</x:f>
        <x:v>2907.6666666666665</x:v>
      </x:c>
      <x:c r="E9" s="46" t="n">
        <x:f>IF(SUM('Monthly Avg Balance'!E9:'Monthly Avg Balance'!G9)=0,"",'Monthly Avg Balance'!E9*Rate!C9/12+('Net Interest Income'!C9-SUM('Monthly Avg Balance'!E9:'Monthly Avg Balance'!G9)*Rate!C9/12)*'Monthly Avg Balance'!E9/SUM('Monthly Avg Balance'!E9:'Monthly Avg Balance'!G9))</x:f>
        <x:v>3004.6022685162807</x:v>
      </x:c>
      <x:c r="F9" s="46" t="n">
        <x:f>IF(SUM('Monthly Avg Balance'!E9:'Monthly Avg Balance'!G9)=0,"",'Monthly Avg Balance'!F9*Rate!C9/12+('Net Interest Income'!C9-SUM('Monthly Avg Balance'!E9:'Monthly Avg Balance'!G9)*Rate!C9/12)*'Monthly Avg Balance'!F9/SUM('Monthly Avg Balance'!E9:'Monthly Avg Balance'!G9))</x:f>
        <x:v>3019</x:v>
      </x:c>
      <x:c r="G9" s="46" t="n">
        <x:f>IF(SUM('Monthly Avg Balance'!E9:'Monthly Avg Balance'!G9)=0,"",'Monthly Avg Balance'!G9*Rate!C9/12+('Net Interest Income'!C9-SUM('Monthly Avg Balance'!E9:'Monthly Avg Balance'!G9)*Rate!C9/12)*'Monthly Avg Balance'!G9/SUM('Monthly Avg Balance'!E9:'Monthly Avg Balance'!G9))</x:f>
        <x:v>3033.397731483719</x:v>
      </x:c>
      <x:c r="H9" s="46" t="n">
        <x:f>IF(SUM('Monthly Avg Balance'!H9:'Monthly Avg Balance'!J9)=0,"",'Monthly Avg Balance'!H9*Rate!D9/12+('Net Interest Income'!D9-SUM('Monthly Avg Balance'!H9:'Monthly Avg Balance'!J9)*Rate!D9/12)*'Monthly Avg Balance'!H9/SUM('Monthly Avg Balance'!H9:'Monthly Avg Balance'!J9))</x:f>
        <x:v>3225.7723416948206</x:v>
      </x:c>
      <x:c r="I9" s="46" t="n">
        <x:f>IF(SUM('Monthly Avg Balance'!H9:'Monthly Avg Balance'!J9)=0,"",'Monthly Avg Balance'!I9*Rate!D9/12+('Net Interest Income'!D9-SUM('Monthly Avg Balance'!H9:'Monthly Avg Balance'!J9)*Rate!D9/12)*'Monthly Avg Balance'!I9/SUM('Monthly Avg Balance'!H9:'Monthly Avg Balance'!J9))</x:f>
        <x:v>3232.000000000001</x:v>
      </x:c>
      <x:c r="J9" s="46" t="n">
        <x:f>IF(SUM('Monthly Avg Balance'!H9:'Monthly Avg Balance'!J9)=0,"",'Monthly Avg Balance'!J9*Rate!D9/12+('Net Interest Income'!D9-SUM('Monthly Avg Balance'!H9:'Monthly Avg Balance'!J9)*Rate!D9/12)*'Monthly Avg Balance'!J9/SUM('Monthly Avg Balance'!H9:'Monthly Avg Balance'!J9))</x:f>
        <x:v>3238.2276583051803</x:v>
      </x:c>
      <x:c r="K9" s="46" t="n">
        <x:f>IF(SUM('Monthly Avg Balance'!K9:'Monthly Avg Balance'!M9)=0,"",'Monthly Avg Balance'!K9*Rate!E9/12+('Net Interest Income'!E9-SUM('Monthly Avg Balance'!K9:'Monthly Avg Balance'!M9)*Rate!E9/12)*'Monthly Avg Balance'!K9/SUM('Monthly Avg Balance'!K9:'Monthly Avg Balance'!M9))</x:f>
        <x:v>3292.4777324481324</x:v>
      </x:c>
      <x:c r="L9" s="46" t="n">
        <x:f>IF(SUM('Monthly Avg Balance'!K9:'Monthly Avg Balance'!M9)=0,"",'Monthly Avg Balance'!L9*Rate!E9/12+('Net Interest Income'!E9-SUM('Monthly Avg Balance'!K9:'Monthly Avg Balance'!M9)*Rate!E9/12)*'Monthly Avg Balance'!L9/SUM('Monthly Avg Balance'!K9:'Monthly Avg Balance'!M9))</x:f>
        <x:v>3306.461184172763</x:v>
      </x:c>
      <x:c r="M9" s="46" t="n">
        <x:f>IF(SUM('Monthly Avg Balance'!K9:'Monthly Avg Balance'!M9)=0,"",'Monthly Avg Balance'!M9*Rate!E9/12+('Net Interest Income'!E9-SUM('Monthly Avg Balance'!K9:'Monthly Avg Balance'!M9)*Rate!E9/12)*'Monthly Avg Balance'!M9/SUM('Monthly Avg Balance'!K9:'Monthly Avg Balance'!M9))</x:f>
        <x:v>3335.0610833791043</x:v>
      </x:c>
      <x:c r="N9" s="46" t="n">
        <x:f>IF(SUM('Monthly Avg Balance'!N9:'Monthly Avg Balance'!P9)=0,"",'Monthly Avg Balance'!N9*Rate!F9/12+('Net Interest Income'!F9-SUM('Monthly Avg Balance'!N9:'Monthly Avg Balance'!P9)*Rate!F9/12)*'Monthly Avg Balance'!N9/SUM('Monthly Avg Balance'!N9:'Monthly Avg Balance'!P9))</x:f>
        <x:v>3333.163722943815</x:v>
      </x:c>
      <x:c r="O9" s="46" t="n">
        <x:f>IF(SUM('Monthly Avg Balance'!N9:'Monthly Avg Balance'!P9)=0,"",'Monthly Avg Balance'!O9*Rate!F9/12+('Net Interest Income'!F9-SUM('Monthly Avg Balance'!N9:'Monthly Avg Balance'!P9)*Rate!F9/12)*'Monthly Avg Balance'!O9/SUM('Monthly Avg Balance'!N9:'Monthly Avg Balance'!P9))</x:f>
        <x:v>3290.9112817238592</x:v>
      </x:c>
      <x:c r="P9" s="46" t="n">
        <x:f>IF(SUM('Monthly Avg Balance'!N9:'Monthly Avg Balance'!P9)=0,"",'Monthly Avg Balance'!P9*Rate!F9/12+('Net Interest Income'!F9-SUM('Monthly Avg Balance'!N9:'Monthly Avg Balance'!P9)*Rate!F9/12)*'Monthly Avg Balance'!P9/SUM('Monthly Avg Balance'!N9:'Monthly Avg Balance'!P9))</x:f>
        <x:v>3295.9249953323256</x:v>
      </x:c>
      <x:c r="Q9" s="46" t="n">
        <x:f>IF(SUM('Monthly Avg Balance'!Q9:'Monthly Avg Balance'!S9)=0,"",'Monthly Avg Balance'!Q9*Rate!G9/12+('Net Interest Income'!G9-SUM('Monthly Avg Balance'!Q9:'Monthly Avg Balance'!S9)*Rate!G9/12)*'Monthly Avg Balance'!Q9/SUM('Monthly Avg Balance'!Q9:'Monthly Avg Balance'!S9))</x:f>
        <x:v>3323.3113608177287</x:v>
      </x:c>
      <x:c r="R9" s="46" t="n">
        <x:f>IF(SUM('Monthly Avg Balance'!Q9:'Monthly Avg Balance'!S9)=0,"",'Monthly Avg Balance'!R9*Rate!G9/12+('Net Interest Income'!G9-SUM('Monthly Avg Balance'!Q9:'Monthly Avg Balance'!S9)*Rate!G9/12)*'Monthly Avg Balance'!R9/SUM('Monthly Avg Balance'!Q9:'Monthly Avg Balance'!S9))</x:f>
        <x:v>3325.0391053662383</x:v>
      </x:c>
      <x:c r="S9" s="46" t="n">
        <x:f>IF(SUM('Monthly Avg Balance'!Q9:'Monthly Avg Balance'!S9)=0,"",'Monthly Avg Balance'!S9*Rate!G9/12+('Net Interest Income'!G9-SUM('Monthly Avg Balance'!Q9:'Monthly Avg Balance'!S9)*Rate!G9/12)*'Monthly Avg Balance'!S9/SUM('Monthly Avg Balance'!Q9:'Monthly Avg Balance'!S9))</x:f>
        <x:v>3344.6495338160316</x:v>
      </x:c>
      <x:c r="T9" s="46" t="n">
        <x:f>IF(SUM('Monthly Avg Balance'!T9:'Monthly Avg Balance'!V9)=0,"",'Monthly Avg Balance'!T9*Rate!H9/12+('Net Interest Income'!H9-SUM('Monthly Avg Balance'!T9:'Monthly Avg Balance'!V9)*Rate!H9/12)*'Monthly Avg Balance'!T9/SUM('Monthly Avg Balance'!T9:'Monthly Avg Balance'!V9))</x:f>
        <x:v>3509.936873732641</x:v>
      </x:c>
      <x:c r="U9" s="46" t="n">
        <x:f>IF(SUM('Monthly Avg Balance'!T9:'Monthly Avg Balance'!V9)=0,"",'Monthly Avg Balance'!U9*Rate!H9/12+('Net Interest Income'!H9-SUM('Monthly Avg Balance'!T9:'Monthly Avg Balance'!V9)*Rate!H9/12)*'Monthly Avg Balance'!U9/SUM('Monthly Avg Balance'!T9:'Monthly Avg Balance'!V9))</x:f>
        <x:v>3511.9915057414073</x:v>
      </x:c>
      <x:c r="V9" s="46" t="n">
        <x:f>IF(SUM('Monthly Avg Balance'!T9:'Monthly Avg Balance'!V9)=0,"",'Monthly Avg Balance'!V9*Rate!H9/12+('Net Interest Income'!H9-SUM('Monthly Avg Balance'!T9:'Monthly Avg Balance'!V9)*Rate!H9/12)*'Monthly Avg Balance'!V9/SUM('Monthly Avg Balance'!T9:'Monthly Avg Balance'!V9))</x:f>
        <x:v>3525.071620525952</x:v>
      </x:c>
      <x:c r="W9" s="46" t="n">
        <x:f>IF(SUM('Monthly Avg Balance'!W9:'Monthly Avg Balance'!Y9)=0,"",'Monthly Avg Balance'!W9*Rate!I9/12+('Net Interest Income'!I9-SUM('Monthly Avg Balance'!W9:'Monthly Avg Balance'!Y9)*Rate!I9/12)*'Monthly Avg Balance'!W9/SUM('Monthly Avg Balance'!W9:'Monthly Avg Balance'!Y9))</x:f>
        <x:v>3457.14734576594</x:v>
      </x:c>
      <x:c r="X9" s="46" t="n">
        <x:f>IF(SUM('Monthly Avg Balance'!W9:'Monthly Avg Balance'!Y9)=0,"",'Monthly Avg Balance'!X9*Rate!I9/12+('Net Interest Income'!I9-SUM('Monthly Avg Balance'!W9:'Monthly Avg Balance'!Y9)*Rate!I9/12)*'Monthly Avg Balance'!X9/SUM('Monthly Avg Balance'!W9:'Monthly Avg Balance'!Y9))</x:f>
        <x:v>3465.414886176057</x:v>
      </x:c>
      <x:c r="Y9" s="46" t="n">
        <x:f>IF(SUM('Monthly Avg Balance'!W9:'Monthly Avg Balance'!Y9)=0,"",'Monthly Avg Balance'!Y9*Rate!I9/12+('Net Interest Income'!I9-SUM('Monthly Avg Balance'!W9:'Monthly Avg Balance'!Y9)*Rate!I9/12)*'Monthly Avg Balance'!Y9/SUM('Monthly Avg Balance'!W9:'Monthly Avg Balance'!Y9))</x:f>
        <x:v>3511.437768058004</x:v>
      </x:c>
      <x:c r="Z9" s="46" t="n">
        <x:f>IF(SUM('Monthly Avg Balance'!Z9:'Monthly Avg Balance'!AB9)=0,"",'Monthly Avg Balance'!Z9*Rate!J9/12+('Net Interest Income'!J9-SUM('Monthly Avg Balance'!Z9:'Monthly Avg Balance'!AB9)*Rate!J9/12)*'Monthly Avg Balance'!Z9/SUM('Monthly Avg Balance'!Z9:'Monthly Avg Balance'!AB9))</x:f>
        <x:v>3410.5365836562996</x:v>
      </x:c>
      <x:c r="AA9" s="46" t="n">
        <x:f>IF(SUM('Monthly Avg Balance'!Z9:'Monthly Avg Balance'!AB9)=0,"",'Monthly Avg Balance'!AA9*Rate!J9/12+('Net Interest Income'!J9-SUM('Monthly Avg Balance'!Z9:'Monthly Avg Balance'!AB9)*Rate!J9/12)*'Monthly Avg Balance'!AA9/SUM('Monthly Avg Balance'!Z9:'Monthly Avg Balance'!AB9))</x:f>
        <x:v>3365.224341892985</x:v>
      </x:c>
      <x:c r="AB9" s="46" t="n">
        <x:f>IF(SUM('Monthly Avg Balance'!Z9:'Monthly Avg Balance'!AB9)=0,"",'Monthly Avg Balance'!AB9*Rate!J9/12+('Net Interest Income'!J9-SUM('Monthly Avg Balance'!Z9:'Monthly Avg Balance'!AB9)*Rate!J9/12)*'Monthly Avg Balance'!AB9/SUM('Monthly Avg Balance'!Z9:'Monthly Avg Balance'!AB9))</x:f>
        <x:v>3381.239074450717</x:v>
      </x:c>
      <x:c r="AC9" s="46" t="n">
        <x:f>IF(SUM('Monthly Avg Balance'!AC9:'Monthly Avg Balance'!AE9)=0,"",'Monthly Avg Balance'!AC9*Rate!K9/12+('Net Interest Income'!K9-SUM('Monthly Avg Balance'!AC9:'Monthly Avg Balance'!AE9)*Rate!K9/12)*'Monthly Avg Balance'!AC9/SUM('Monthly Avg Balance'!AC9:'Monthly Avg Balance'!AE9))</x:f>
        <x:v>3736.4641662410622</x:v>
      </x:c>
      <x:c r="AD9" s="46" t="n">
        <x:f>IF(SUM('Monthly Avg Balance'!AC9:'Monthly Avg Balance'!AE9)=0,"",'Monthly Avg Balance'!AD9*Rate!K9/12+('Net Interest Income'!K9-SUM('Monthly Avg Balance'!AC9:'Monthly Avg Balance'!AE9)*Rate!K9/12)*'Monthly Avg Balance'!AD9/SUM('Monthly Avg Balance'!AC9:'Monthly Avg Balance'!AE9))</x:f>
        <x:v>4128.341338685734</x:v>
      </x:c>
      <x:c r="AE9" s="46" t="n">
        <x:f>IF(SUM('Monthly Avg Balance'!AC9:'Monthly Avg Balance'!AE9)=0,"",'Monthly Avg Balance'!AE9*Rate!K9/12+('Net Interest Income'!K9-SUM('Monthly Avg Balance'!AC9:'Monthly Avg Balance'!AE9)*Rate!K9/12)*'Monthly Avg Balance'!AE9/SUM('Monthly Avg Balance'!AC9:'Monthly Avg Balance'!AE9))</x:f>
        <x:v>4584.194495073206</x:v>
      </x:c>
      <x:c r="AF9" s="108" t="n">
        <x:f>SUM(AF6:AF8)</x:f>
        <x:v>4883.794978183157</x:v>
      </x:c>
      <x:c r="AG9" s="108" t="n">
        <x:f>SUM(AG6:AG8)</x:f>
        <x:v>4864.34635232024</x:v>
      </x:c>
      <x:c r="AH9" s="108" t="n">
        <x:f>SUM(AH6:AH8)</x:f>
        <x:v>4862.642925001833</x:v>
      </x:c>
      <x:c r="AI9" s="108" t="n">
        <x:f>SUM(AI6:AI8)</x:f>
        <x:v>4860.938812344582</x:v>
      </x:c>
      <x:c r="AJ9" s="108" t="n">
        <x:f>SUM(AJ6:AJ8)</x:f>
        <x:v>4841.4760379840955</x:v>
      </x:c>
      <x:c r="AK9" s="108" t="n">
        <x:f>SUM(AK6:AK8)</x:f>
        <x:v>4839.7675315289</x:v>
      </x:c>
      <x:c r="AL9" s="108" t="n">
        <x:f>SUM(AL6:AL8)</x:f>
        <x:v>4838.05833973486</x:v>
      </x:c>
      <x:c r="AM9" s="108" t="n">
        <x:f>SUM(AM6:AM8)</x:f>
        <x:v>4818.581416876801</x:v>
      </x:c>
      <x:c r="AN9" s="108" t="n">
        <x:f>SUM(AN6:AN8)</x:f>
        <x:v>4816.867831284816</x:v>
      </x:c>
      <x:c r="AO9" s="108" t="n">
        <x:f>SUM(AO6:AO8)</x:f>
        <x:v>4815.153560353987</x:v>
      </x:c>
      <x:c r="AP9" s="108" t="n">
        <x:f>SUM(AP6:AP8)</x:f>
        <x:v>4795.662488998357</x:v>
      </x:c>
      <x:c r="AQ9" s="108" t="n">
        <x:f>SUM(AQ6:AQ8)</x:f>
        <x:v>4793.9438242695815</x:v>
      </x:c>
    </x:row>
    <x:row r="10">
      <x:c r="A10" s="20" t="str">
        <x:v>  Investment securities</x:v>
      </x:c>
      <x:c r="B10" s="43" t="n">
        <x:f>IF(SUM('Monthly Avg Balance'!B10:'Monthly Avg Balance'!D10)=0,"",'Monthly Avg Balance'!B10*Rate!B10/12+('Net Interest Income'!B10-SUM('Monthly Avg Balance'!B10:'Monthly Avg Balance'!D10)*Rate!B10/12)*'Monthly Avg Balance'!B10/SUM('Monthly Avg Balance'!B10:'Monthly Avg Balance'!D10))</x:f>
        <x:v>205</x:v>
      </x:c>
      <x:c r="C10" s="43" t="n">
        <x:f>IF(SUM('Monthly Avg Balance'!B10:'Monthly Avg Balance'!D10)=0,"",'Monthly Avg Balance'!C10*Rate!B10/12+('Net Interest Income'!B10-SUM('Monthly Avg Balance'!B10:'Monthly Avg Balance'!D10)*Rate!B10/12)*'Monthly Avg Balance'!C10/SUM('Monthly Avg Balance'!B10:'Monthly Avg Balance'!D10))</x:f>
        <x:v>205</x:v>
      </x:c>
      <x:c r="D10" s="43" t="n">
        <x:f>IF(SUM('Monthly Avg Balance'!B10:'Monthly Avg Balance'!D10)=0,"",'Monthly Avg Balance'!D10*Rate!B10/12+('Net Interest Income'!B10-SUM('Monthly Avg Balance'!B10:'Monthly Avg Balance'!D10)*Rate!B10/12)*'Monthly Avg Balance'!D10/SUM('Monthly Avg Balance'!B10:'Monthly Avg Balance'!D10))</x:f>
        <x:v>205</x:v>
      </x:c>
      <x:c r="E10" s="43" t="n">
        <x:f>IF(SUM('Monthly Avg Balance'!E10:'Monthly Avg Balance'!G10)=0,"",'Monthly Avg Balance'!E10*Rate!C10/12+('Net Interest Income'!C10-SUM('Monthly Avg Balance'!E10:'Monthly Avg Balance'!G10)*Rate!C10/12)*'Monthly Avg Balance'!E10/SUM('Monthly Avg Balance'!E10:'Monthly Avg Balance'!G10))</x:f>
        <x:v>212.94635197902087</x:v>
      </x:c>
      <x:c r="F10" s="43" t="n">
        <x:f>IF(SUM('Monthly Avg Balance'!E10:'Monthly Avg Balance'!G10)=0,"",'Monthly Avg Balance'!F10*Rate!C10/12+('Net Interest Income'!C10-SUM('Monthly Avg Balance'!E10:'Monthly Avg Balance'!G10)*Rate!C10/12)*'Monthly Avg Balance'!F10/SUM('Monthly Avg Balance'!E10:'Monthly Avg Balance'!G10))</x:f>
        <x:v>213</x:v>
      </x:c>
      <x:c r="G10" s="43" t="n">
        <x:f>IF(SUM('Monthly Avg Balance'!E10:'Monthly Avg Balance'!G10)=0,"",'Monthly Avg Balance'!G10*Rate!C10/12+('Net Interest Income'!C10-SUM('Monthly Avg Balance'!E10:'Monthly Avg Balance'!G10)*Rate!C10/12)*'Monthly Avg Balance'!G10/SUM('Monthly Avg Balance'!E10:'Monthly Avg Balance'!G10))</x:f>
        <x:v>213.05364802097918</x:v>
      </x:c>
      <x:c r="H10" s="43" t="n">
        <x:f>IF(SUM('Monthly Avg Balance'!H10:'Monthly Avg Balance'!J10)=0,"",'Monthly Avg Balance'!H10*Rate!D10/12+('Net Interest Income'!D10-SUM('Monthly Avg Balance'!H10:'Monthly Avg Balance'!J10)*Rate!D10/12)*'Monthly Avg Balance'!H10/SUM('Monthly Avg Balance'!H10:'Monthly Avg Balance'!J10))</x:f>
        <x:v>212.46251541540977</x:v>
      </x:c>
      <x:c r="I10" s="43" t="n">
        <x:f>IF(SUM('Monthly Avg Balance'!H10:'Monthly Avg Balance'!J10)=0,"",'Monthly Avg Balance'!I10*Rate!D10/12+('Net Interest Income'!D10-SUM('Monthly Avg Balance'!H10:'Monthly Avg Balance'!J10)*Rate!D10/12)*'Monthly Avg Balance'!I10/SUM('Monthly Avg Balance'!H10:'Monthly Avg Balance'!J10))</x:f>
        <x:v>209.00000000000003</x:v>
      </x:c>
      <x:c r="J10" s="43" t="n">
        <x:f>IF(SUM('Monthly Avg Balance'!H10:'Monthly Avg Balance'!J10)=0,"",'Monthly Avg Balance'!J10*Rate!D10/12+('Net Interest Income'!D10-SUM('Monthly Avg Balance'!H10:'Monthly Avg Balance'!J10)*Rate!D10/12)*'Monthly Avg Balance'!J10/SUM('Monthly Avg Balance'!H10:'Monthly Avg Balance'!J10))</x:f>
        <x:v>205.53748458459032</x:v>
      </x:c>
      <x:c r="K10" s="43" t="n">
        <x:f>IF(SUM('Monthly Avg Balance'!K10:'Monthly Avg Balance'!M10)=0,"",'Monthly Avg Balance'!K10*Rate!E10/12+('Net Interest Income'!E10-SUM('Monthly Avg Balance'!K10:'Monthly Avg Balance'!M10)*Rate!E10/12)*'Monthly Avg Balance'!K10/SUM('Monthly Avg Balance'!K10:'Monthly Avg Balance'!M10))</x:f>
        <x:v>223.2388268900462</x:v>
      </x:c>
      <x:c r="L10" s="43" t="n">
        <x:f>IF(SUM('Monthly Avg Balance'!K10:'Monthly Avg Balance'!M10)=0,"",'Monthly Avg Balance'!L10*Rate!E10/12+('Net Interest Income'!E10-SUM('Monthly Avg Balance'!K10:'Monthly Avg Balance'!M10)*Rate!E10/12)*'Monthly Avg Balance'!L10/SUM('Monthly Avg Balance'!K10:'Monthly Avg Balance'!M10))</x:f>
        <x:v>233.24702543330304</x:v>
      </x:c>
      <x:c r="M10" s="43" t="n">
        <x:f>IF(SUM('Monthly Avg Balance'!K10:'Monthly Avg Balance'!M10)=0,"",'Monthly Avg Balance'!M10*Rate!E10/12+('Net Interest Income'!E10-SUM('Monthly Avg Balance'!K10:'Monthly Avg Balance'!M10)*Rate!E10/12)*'Monthly Avg Balance'!M10/SUM('Monthly Avg Balance'!K10:'Monthly Avg Balance'!M10))</x:f>
        <x:v>212.51414767665082</x:v>
      </x:c>
      <x:c r="N10" s="43" t="n">
        <x:f>IF(SUM('Monthly Avg Balance'!N10:'Monthly Avg Balance'!P10)=0,"",'Monthly Avg Balance'!N10*Rate!F10/12+('Net Interest Income'!F10-SUM('Monthly Avg Balance'!N10:'Monthly Avg Balance'!P10)*Rate!F10/12)*'Monthly Avg Balance'!N10/SUM('Monthly Avg Balance'!N10:'Monthly Avg Balance'!P10))</x:f>
        <x:v>221.43402046330013</x:v>
      </x:c>
      <x:c r="O10" s="43" t="n">
        <x:f>IF(SUM('Monthly Avg Balance'!N10:'Monthly Avg Balance'!P10)=0,"",'Monthly Avg Balance'!O10*Rate!F10/12+('Net Interest Income'!F10-SUM('Monthly Avg Balance'!N10:'Monthly Avg Balance'!P10)*Rate!F10/12)*'Monthly Avg Balance'!O10/SUM('Monthly Avg Balance'!N10:'Monthly Avg Balance'!P10))</x:f>
        <x:v>245.32695919133857</x:v>
      </x:c>
      <x:c r="P10" s="43" t="n">
        <x:f>IF(SUM('Monthly Avg Balance'!N10:'Monthly Avg Balance'!P10)=0,"",'Monthly Avg Balance'!P10*Rate!F10/12+('Net Interest Income'!F10-SUM('Monthly Avg Balance'!N10:'Monthly Avg Balance'!P10)*Rate!F10/12)*'Monthly Avg Balance'!P10/SUM('Monthly Avg Balance'!N10:'Monthly Avg Balance'!P10))</x:f>
        <x:v>220.2390203453613</x:v>
      </x:c>
      <x:c r="Q10" s="43" t="n">
        <x:f>IF(SUM('Monthly Avg Balance'!Q10:'Monthly Avg Balance'!S10)=0,"",'Monthly Avg Balance'!Q10*Rate!G10/12+('Net Interest Income'!G10-SUM('Monthly Avg Balance'!Q10:'Monthly Avg Balance'!S10)*Rate!G10/12)*'Monthly Avg Balance'!Q10/SUM('Monthly Avg Balance'!Q10:'Monthly Avg Balance'!S10))</x:f>
        <x:v>223.69761444229528</x:v>
      </x:c>
      <x:c r="R10" s="43" t="n">
        <x:f>IF(SUM('Monthly Avg Balance'!Q10:'Monthly Avg Balance'!S10)=0,"",'Monthly Avg Balance'!R10*Rate!G10/12+('Net Interest Income'!G10-SUM('Monthly Avg Balance'!Q10:'Monthly Avg Balance'!S10)*Rate!G10/12)*'Monthly Avg Balance'!R10/SUM('Monthly Avg Balance'!Q10:'Monthly Avg Balance'!S10))</x:f>
        <x:v>251.18060032953647</x:v>
      </x:c>
      <x:c r="S10" s="43" t="n">
        <x:f>IF(SUM('Monthly Avg Balance'!Q10:'Monthly Avg Balance'!S10)=0,"",'Monthly Avg Balance'!S10*Rate!G10/12+('Net Interest Income'!G10-SUM('Monthly Avg Balance'!Q10:'Monthly Avg Balance'!S10)*Rate!G10/12)*'Monthly Avg Balance'!S10/SUM('Monthly Avg Balance'!Q10:'Monthly Avg Balance'!S10))</x:f>
        <x:v>225.1217852281682</x:v>
      </x:c>
      <x:c r="T10" s="43" t="n">
        <x:f>IF(SUM('Monthly Avg Balance'!T10:'Monthly Avg Balance'!V10)=0,"",'Monthly Avg Balance'!T10*Rate!H10/12+('Net Interest Income'!H10-SUM('Monthly Avg Balance'!T10:'Monthly Avg Balance'!V10)*Rate!H10/12)*'Monthly Avg Balance'!T10/SUM('Monthly Avg Balance'!T10:'Monthly Avg Balance'!V10))</x:f>
        <x:v>232.58678074876457</x:v>
      </x:c>
      <x:c r="U10" s="43" t="n">
        <x:f>IF(SUM('Monthly Avg Balance'!T10:'Monthly Avg Balance'!V10)=0,"",'Monthly Avg Balance'!U10*Rate!H10/12+('Net Interest Income'!H10-SUM('Monthly Avg Balance'!T10:'Monthly Avg Balance'!V10)*Rate!H10/12)*'Monthly Avg Balance'!U10/SUM('Monthly Avg Balance'!T10:'Monthly Avg Balance'!V10))</x:f>
        <x:v>260.440855473487</x:v>
      </x:c>
      <x:c r="V10" s="43" t="n">
        <x:f>IF(SUM('Monthly Avg Balance'!T10:'Monthly Avg Balance'!V10)=0,"",'Monthly Avg Balance'!V10*Rate!H10/12+('Net Interest Income'!H10-SUM('Monthly Avg Balance'!T10:'Monthly Avg Balance'!V10)*Rate!H10/12)*'Monthly Avg Balance'!V10/SUM('Monthly Avg Balance'!T10:'Monthly Avg Balance'!V10))</x:f>
        <x:v>239.97236377774857</x:v>
      </x:c>
      <x:c r="W10" s="43" t="n">
        <x:f>IF(SUM('Monthly Avg Balance'!W10:'Monthly Avg Balance'!Y10)=0,"",'Monthly Avg Balance'!W10*Rate!I10/12+('Net Interest Income'!I10-SUM('Monthly Avg Balance'!W10:'Monthly Avg Balance'!Y10)*Rate!I10/12)*'Monthly Avg Balance'!W10/SUM('Monthly Avg Balance'!W10:'Monthly Avg Balance'!Y10))</x:f>
        <x:v>243.52006676382652</x:v>
      </x:c>
      <x:c r="X10" s="43" t="n">
        <x:f>IF(SUM('Monthly Avg Balance'!W10:'Monthly Avg Balance'!Y10)=0,"",'Monthly Avg Balance'!X10*Rate!I10/12+('Net Interest Income'!I10-SUM('Monthly Avg Balance'!W10:'Monthly Avg Balance'!Y10)*Rate!I10/12)*'Monthly Avg Balance'!X10/SUM('Monthly Avg Balance'!W10:'Monthly Avg Balance'!Y10))</x:f>
        <x:v>266.8153182391566</x:v>
      </x:c>
      <x:c r="Y10" s="43" t="n">
        <x:f>IF(SUM('Monthly Avg Balance'!W10:'Monthly Avg Balance'!Y10)=0,"",'Monthly Avg Balance'!Y10*Rate!I10/12+('Net Interest Income'!I10-SUM('Monthly Avg Balance'!W10:'Monthly Avg Balance'!Y10)*Rate!I10/12)*'Monthly Avg Balance'!Y10/SUM('Monthly Avg Balance'!W10:'Monthly Avg Balance'!Y10))</x:f>
        <x:v>242.66461499701694</x:v>
      </x:c>
      <x:c r="Z10" s="43" t="n">
        <x:f>IF(SUM('Monthly Avg Balance'!Z10:'Monthly Avg Balance'!AB10)=0,"",'Monthly Avg Balance'!Z10*Rate!J10/12+('Net Interest Income'!J10-SUM('Monthly Avg Balance'!Z10:'Monthly Avg Balance'!AB10)*Rate!J10/12)*'Monthly Avg Balance'!Z10/SUM('Monthly Avg Balance'!Z10:'Monthly Avg Balance'!AB10))</x:f>
        <x:v>247.43529471897105</x:v>
      </x:c>
      <x:c r="AA10" s="43" t="n">
        <x:f>IF(SUM('Monthly Avg Balance'!Z10:'Monthly Avg Balance'!AB10)=0,"",'Monthly Avg Balance'!AA10*Rate!J10/12+('Net Interest Income'!J10-SUM('Monthly Avg Balance'!Z10:'Monthly Avg Balance'!AB10)*Rate!J10/12)*'Monthly Avg Balance'!AA10/SUM('Monthly Avg Balance'!Z10:'Monthly Avg Balance'!AB10))</x:f>
        <x:v>272.71613198884114</x:v>
      </x:c>
      <x:c r="AB10" s="43" t="n">
        <x:f>IF(SUM('Monthly Avg Balance'!Z10:'Monthly Avg Balance'!AB10)=0,"",'Monthly Avg Balance'!AB10*Rate!J10/12+('Net Interest Income'!J10-SUM('Monthly Avg Balance'!Z10:'Monthly Avg Balance'!AB10)*Rate!J10/12)*'Monthly Avg Balance'!AB10/SUM('Monthly Avg Balance'!Z10:'Monthly Avg Balance'!AB10))</x:f>
        <x:v>249.84857329218767</x:v>
      </x:c>
      <x:c r="AC10" s="43" t="n">
        <x:f>IF(SUM('Monthly Avg Balance'!AC10:'Monthly Avg Balance'!AE10)=0,"",'Monthly Avg Balance'!AC10*Rate!K10/12+('Net Interest Income'!K10-SUM('Monthly Avg Balance'!AC10:'Monthly Avg Balance'!AE10)*Rate!K10/12)*'Monthly Avg Balance'!AC10/SUM('Monthly Avg Balance'!AC10:'Monthly Avg Balance'!AE10))</x:f>
        <x:v>252.13381438522106</x:v>
      </x:c>
      <x:c r="AD10" s="43" t="n">
        <x:f>IF(SUM('Monthly Avg Balance'!AC10:'Monthly Avg Balance'!AE10)=0,"",'Monthly Avg Balance'!AD10*Rate!K10/12+('Net Interest Income'!K10-SUM('Monthly Avg Balance'!AC10:'Monthly Avg Balance'!AE10)*Rate!K10/12)*'Monthly Avg Balance'!AD10/SUM('Monthly Avg Balance'!AC10:'Monthly Avg Balance'!AE10))</x:f>
        <x:v>274.55895388677584</x:v>
      </x:c>
      <x:c r="AE10" s="43" t="n">
        <x:f>IF(SUM('Monthly Avg Balance'!AC10:'Monthly Avg Balance'!AE10)=0,"",'Monthly Avg Balance'!AE10*Rate!K10/12+('Net Interest Income'!K10-SUM('Monthly Avg Balance'!AC10:'Monthly Avg Balance'!AE10)*Rate!K10/12)*'Monthly Avg Balance'!AE10/SUM('Monthly Avg Balance'!AC10:'Monthly Avg Balance'!AE10))</x:f>
        <x:v>257.3072317280031</x:v>
      </x:c>
      <x:c r="AF10" s="104" t="n">
        <x:f>'Monthly Avg Balance'!AF10*'Monthly Rate'!AF10/12</x:f>
        <x:v>235.25009412242377</x:v>
      </x:c>
      <x:c r="AG10" s="104" t="n">
        <x:f>'Monthly Avg Balance'!AG10*'Monthly Rate'!AG10/12</x:f>
        <x:v>231.73803301131264</x:v>
      </x:c>
      <x:c r="AH10" s="104" t="n">
        <x:f>'Monthly Avg Balance'!AH10*'Monthly Rate'!AH10/12</x:f>
        <x:v>228.22597190020153</x:v>
      </x:c>
      <x:c r="AI10" s="104" t="n">
        <x:f>'Monthly Avg Balance'!AI10*'Monthly Rate'!AI10/12</x:f>
        <x:v>224.71391078909042</x:v>
      </x:c>
      <x:c r="AJ10" s="104" t="n">
        <x:f>'Monthly Avg Balance'!AJ10*'Monthly Rate'!AJ10/12</x:f>
        <x:v>221.2018496779793</x:v>
      </x:c>
      <x:c r="AK10" s="104" t="n">
        <x:f>'Monthly Avg Balance'!AK10*'Monthly Rate'!AK10/12</x:f>
        <x:v>217.68978856686817</x:v>
      </x:c>
      <x:c r="AL10" s="104" t="n">
        <x:f>'Monthly Avg Balance'!AL10*'Monthly Rate'!AL10/12</x:f>
        <x:v>214.17772745575712</x:v>
      </x:c>
      <x:c r="AM10" s="104" t="n">
        <x:f>'Monthly Avg Balance'!AM10*'Monthly Rate'!AM10/12</x:f>
        <x:v>210.66566634464598</x:v>
      </x:c>
      <x:c r="AN10" s="104" t="n">
        <x:f>'Monthly Avg Balance'!AN10*'Monthly Rate'!AN10/12</x:f>
        <x:v>207.15360523353488</x:v>
      </x:c>
      <x:c r="AO10" s="104" t="n">
        <x:f>'Monthly Avg Balance'!AO10*'Monthly Rate'!AO10/12</x:f>
        <x:v>203.64154412242377</x:v>
      </x:c>
      <x:c r="AP10" s="104" t="n">
        <x:f>'Monthly Avg Balance'!AP10*'Monthly Rate'!AP10/12</x:f>
        <x:v>200.12948301131266</x:v>
      </x:c>
      <x:c r="AQ10" s="104" t="n">
        <x:f>'Monthly Avg Balance'!AQ10*'Monthly Rate'!AQ10/12</x:f>
        <x:v>196.61742190020152</x:v>
      </x:c>
    </x:row>
    <x:row r="11">
      <x:c r="A11" s="20" t="str">
        <x:v>  Cash equivalents and other</x:v>
      </x:c>
      <x:c r="B11" s="43" t="n">
        <x:f>IF(SUM('Monthly Avg Balance'!B11:'Monthly Avg Balance'!D11)=0,"",'Monthly Avg Balance'!B11*Rate!B11/12+('Net Interest Income'!B11-SUM('Monthly Avg Balance'!B11:'Monthly Avg Balance'!D11)*Rate!B11/12)*'Monthly Avg Balance'!B11/SUM('Monthly Avg Balance'!B11:'Monthly Avg Balance'!D11))</x:f>
        <x:v>121.26511338754725</x:v>
      </x:c>
      <x:c r="C11" s="43" t="n">
        <x:f>IF(SUM('Monthly Avg Balance'!B11:'Monthly Avg Balance'!D11)=0,"",'Monthly Avg Balance'!C11*Rate!B11/12+('Net Interest Income'!B11-SUM('Monthly Avg Balance'!B11:'Monthly Avg Balance'!D11)*Rate!B11/12)*'Monthly Avg Balance'!C11/SUM('Monthly Avg Balance'!B11:'Monthly Avg Balance'!D11))</x:f>
        <x:v>133.619816879454</x:v>
      </x:c>
      <x:c r="D11" s="43" t="n">
        <x:f>IF(SUM('Monthly Avg Balance'!B11:'Monthly Avg Balance'!D11)=0,"",'Monthly Avg Balance'!D11*Rate!B11/12+('Net Interest Income'!B11-SUM('Monthly Avg Balance'!B11:'Monthly Avg Balance'!D11)*Rate!B11/12)*'Monthly Avg Balance'!D11/SUM('Monthly Avg Balance'!B11:'Monthly Avg Balance'!D11))</x:f>
        <x:v>161.1150697329987</x:v>
      </x:c>
      <x:c r="E11" s="43" t="n">
        <x:f>IF(SUM('Monthly Avg Balance'!E11:'Monthly Avg Balance'!G11)=0,"",'Monthly Avg Balance'!E11*Rate!C11/12+('Net Interest Income'!C11-SUM('Monthly Avg Balance'!E11:'Monthly Avg Balance'!G11)*Rate!C11/12)*'Monthly Avg Balance'!E11/SUM('Monthly Avg Balance'!E11:'Monthly Avg Balance'!G11))</x:f>
        <x:v>171.70025452416328</x:v>
      </x:c>
      <x:c r="F11" s="43" t="n">
        <x:f>IF(SUM('Monthly Avg Balance'!E11:'Monthly Avg Balance'!G11)=0,"",'Monthly Avg Balance'!F11*Rate!C11/12+('Net Interest Income'!C11-SUM('Monthly Avg Balance'!E11:'Monthly Avg Balance'!G11)*Rate!C11/12)*'Monthly Avg Balance'!F11/SUM('Monthly Avg Balance'!E11:'Monthly Avg Balance'!G11))</x:f>
        <x:v>140.53585539535536</x:v>
      </x:c>
      <x:c r="G11" s="43" t="n">
        <x:f>IF(SUM('Monthly Avg Balance'!E11:'Monthly Avg Balance'!G11)=0,"",'Monthly Avg Balance'!G11*Rate!C11/12+('Net Interest Income'!C11-SUM('Monthly Avg Balance'!E11:'Monthly Avg Balance'!G11)*Rate!C11/12)*'Monthly Avg Balance'!G11/SUM('Monthly Avg Balance'!E11:'Monthly Avg Balance'!G11))</x:f>
        <x:v>157.7638900804814</x:v>
      </x:c>
      <x:c r="H11" s="43" t="n">
        <x:f>IF(SUM('Monthly Avg Balance'!H11:'Monthly Avg Balance'!J11)=0,"",'Monthly Avg Balance'!H11*Rate!D11/12+('Net Interest Income'!D11-SUM('Monthly Avg Balance'!H11:'Monthly Avg Balance'!J11)*Rate!D11/12)*'Monthly Avg Balance'!H11/SUM('Monthly Avg Balance'!H11:'Monthly Avg Balance'!J11))</x:f>
        <x:v>180.68935594808403</x:v>
      </x:c>
      <x:c r="I11" s="43" t="n">
        <x:f>IF(SUM('Monthly Avg Balance'!H11:'Monthly Avg Balance'!J11)=0,"",'Monthly Avg Balance'!I11*Rate!D11/12+('Net Interest Income'!D11-SUM('Monthly Avg Balance'!H11:'Monthly Avg Balance'!J11)*Rate!D11/12)*'Monthly Avg Balance'!I11/SUM('Monthly Avg Balance'!H11:'Monthly Avg Balance'!J11))</x:f>
        <x:v>179.087743955026</x:v>
      </x:c>
      <x:c r="J11" s="43" t="n">
        <x:f>IF(SUM('Monthly Avg Balance'!H11:'Monthly Avg Balance'!J11)=0,"",'Monthly Avg Balance'!J11*Rate!D11/12+('Net Interest Income'!D11-SUM('Monthly Avg Balance'!H11:'Monthly Avg Balance'!J11)*Rate!D11/12)*'Monthly Avg Balance'!J11/SUM('Monthly Avg Balance'!H11:'Monthly Avg Balance'!J11))</x:f>
        <x:v>190.22290009688987</x:v>
      </x:c>
      <x:c r="K11" s="43" t="n">
        <x:f>IF(SUM('Monthly Avg Balance'!K11:'Monthly Avg Balance'!M11)=0,"",'Monthly Avg Balance'!K11*Rate!E11/12+('Net Interest Income'!E11-SUM('Monthly Avg Balance'!K11:'Monthly Avg Balance'!M11)*Rate!E11/12)*'Monthly Avg Balance'!K11/SUM('Monthly Avg Balance'!K11:'Monthly Avg Balance'!M11))</x:f>
        <x:v>187.2633355333188</x:v>
      </x:c>
      <x:c r="L11" s="43" t="n">
        <x:f>IF(SUM('Monthly Avg Balance'!K11:'Monthly Avg Balance'!M11)=0,"",'Monthly Avg Balance'!L11*Rate!E11/12+('Net Interest Income'!E11-SUM('Monthly Avg Balance'!K11:'Monthly Avg Balance'!M11)*Rate!E11/12)*'Monthly Avg Balance'!L11/SUM('Monthly Avg Balance'!K11:'Monthly Avg Balance'!M11))</x:f>
        <x:v>172.06218716820868</x:v>
      </x:c>
      <x:c r="M11" s="43" t="n">
        <x:f>IF(SUM('Monthly Avg Balance'!K11:'Monthly Avg Balance'!M11)=0,"",'Monthly Avg Balance'!M11*Rate!E11/12+('Net Interest Income'!E11-SUM('Monthly Avg Balance'!K11:'Monthly Avg Balance'!M11)*Rate!E11/12)*'Monthly Avg Balance'!M11/SUM('Monthly Avg Balance'!K11:'Monthly Avg Balance'!M11))</x:f>
        <x:v>182.67447729847248</x:v>
      </x:c>
      <x:c r="N11" s="43" t="n">
        <x:f>IF(SUM('Monthly Avg Balance'!N11:'Monthly Avg Balance'!P11)=0,"",'Monthly Avg Balance'!N11*Rate!F11/12+('Net Interest Income'!F11-SUM('Monthly Avg Balance'!N11:'Monthly Avg Balance'!P11)*Rate!F11/12)*'Monthly Avg Balance'!N11/SUM('Monthly Avg Balance'!N11:'Monthly Avg Balance'!P11))</x:f>
        <x:v>184.34895577032853</x:v>
      </x:c>
      <x:c r="O11" s="43" t="n">
        <x:f>IF(SUM('Monthly Avg Balance'!N11:'Monthly Avg Balance'!P11)=0,"",'Monthly Avg Balance'!O11*Rate!F11/12+('Net Interest Income'!F11-SUM('Monthly Avg Balance'!N11:'Monthly Avg Balance'!P11)*Rate!F11/12)*'Monthly Avg Balance'!O11/SUM('Monthly Avg Balance'!N11:'Monthly Avg Balance'!P11))</x:f>
        <x:v>178.12345727614513</x:v>
      </x:c>
      <x:c r="P11" s="43" t="n">
        <x:f>IF(SUM('Monthly Avg Balance'!N11:'Monthly Avg Balance'!P11)=0,"",'Monthly Avg Balance'!P11*Rate!F11/12+('Net Interest Income'!F11-SUM('Monthly Avg Balance'!N11:'Monthly Avg Balance'!P11)*Rate!F11/12)*'Monthly Avg Balance'!P11/SUM('Monthly Avg Balance'!N11:'Monthly Avg Balance'!P11))</x:f>
        <x:v>207.52758695352634</x:v>
      </x:c>
      <x:c r="Q11" s="43" t="n">
        <x:f>IF(SUM('Monthly Avg Balance'!Q11:'Monthly Avg Balance'!S11)=0,"",'Monthly Avg Balance'!Q11*Rate!G11/12+('Net Interest Income'!G11-SUM('Monthly Avg Balance'!Q11:'Monthly Avg Balance'!S11)*Rate!G11/12)*'Monthly Avg Balance'!Q11/SUM('Monthly Avg Balance'!Q11:'Monthly Avg Balance'!S11))</x:f>
        <x:v>207.10324952922215</x:v>
      </x:c>
      <x:c r="R11" s="43" t="n">
        <x:f>IF(SUM('Monthly Avg Balance'!Q11:'Monthly Avg Balance'!S11)=0,"",'Monthly Avg Balance'!R11*Rate!G11/12+('Net Interest Income'!G11-SUM('Monthly Avg Balance'!Q11:'Monthly Avg Balance'!S11)*Rate!G11/12)*'Monthly Avg Balance'!R11/SUM('Monthly Avg Balance'!Q11:'Monthly Avg Balance'!S11))</x:f>
        <x:v>183.62761503122397</x:v>
      </x:c>
      <x:c r="S11" s="43" t="n">
        <x:f>IF(SUM('Monthly Avg Balance'!Q11:'Monthly Avg Balance'!S11)=0,"",'Monthly Avg Balance'!S11*Rate!G11/12+('Net Interest Income'!G11-SUM('Monthly Avg Balance'!Q11:'Monthly Avg Balance'!S11)*Rate!G11/12)*'Monthly Avg Balance'!S11/SUM('Monthly Avg Balance'!Q11:'Monthly Avg Balance'!S11))</x:f>
        <x:v>196.2691354395539</x:v>
      </x:c>
      <x:c r="T11" s="43" t="n">
        <x:f>IF(SUM('Monthly Avg Balance'!T11:'Monthly Avg Balance'!V11)=0,"",'Monthly Avg Balance'!T11*Rate!H11/12+('Net Interest Income'!H11-SUM('Monthly Avg Balance'!T11:'Monthly Avg Balance'!V11)*Rate!H11/12)*'Monthly Avg Balance'!T11/SUM('Monthly Avg Balance'!T11:'Monthly Avg Balance'!V11))</x:f>
        <x:v>195.91500538997616</x:v>
      </x:c>
      <x:c r="U11" s="43" t="n">
        <x:f>IF(SUM('Monthly Avg Balance'!T11:'Monthly Avg Balance'!V11)=0,"",'Monthly Avg Balance'!U11*Rate!H11/12+('Net Interest Income'!H11-SUM('Monthly Avg Balance'!T11:'Monthly Avg Balance'!V11)*Rate!H11/12)*'Monthly Avg Balance'!U11/SUM('Monthly Avg Balance'!T11:'Monthly Avg Balance'!V11))</x:f>
        <x:v>182.62210953038883</x:v>
      </x:c>
      <x:c r="V11" s="43" t="n">
        <x:f>IF(SUM('Monthly Avg Balance'!T11:'Monthly Avg Balance'!V11)=0,"",'Monthly Avg Balance'!V11*Rate!H11/12+('Net Interest Income'!H11-SUM('Monthly Avg Balance'!T11:'Monthly Avg Balance'!V11)*Rate!H11/12)*'Monthly Avg Balance'!V11/SUM('Monthly Avg Balance'!T11:'Monthly Avg Balance'!V11))</x:f>
        <x:v>201.46288507963502</x:v>
      </x:c>
      <x:c r="W11" s="43" t="n">
        <x:f>IF(SUM('Monthly Avg Balance'!W11:'Monthly Avg Balance'!Y11)=0,"",'Monthly Avg Balance'!W11*Rate!I11/12+('Net Interest Income'!I11-SUM('Monthly Avg Balance'!W11:'Monthly Avg Balance'!Y11)*Rate!I11/12)*'Monthly Avg Balance'!W11/SUM('Monthly Avg Balance'!W11:'Monthly Avg Balance'!Y11))</x:f>
        <x:v>185.08686482137807</x:v>
      </x:c>
      <x:c r="X11" s="43" t="n">
        <x:f>IF(SUM('Monthly Avg Balance'!W11:'Monthly Avg Balance'!Y11)=0,"",'Monthly Avg Balance'!X11*Rate!I11/12+('Net Interest Income'!I11-SUM('Monthly Avg Balance'!W11:'Monthly Avg Balance'!Y11)*Rate!I11/12)*'Monthly Avg Balance'!X11/SUM('Monthly Avg Balance'!W11:'Monthly Avg Balance'!Y11))</x:f>
        <x:v>175.31451805788086</x:v>
      </x:c>
      <x:c r="Y11" s="43" t="n">
        <x:f>IF(SUM('Monthly Avg Balance'!W11:'Monthly Avg Balance'!Y11)=0,"",'Monthly Avg Balance'!Y11*Rate!I11/12+('Net Interest Income'!I11-SUM('Monthly Avg Balance'!W11:'Monthly Avg Balance'!Y11)*Rate!I11/12)*'Monthly Avg Balance'!Y11/SUM('Monthly Avg Balance'!W11:'Monthly Avg Balance'!Y11))</x:f>
        <x:v>169.59861712074098</x:v>
      </x:c>
      <x:c r="Z11" s="43" t="n">
        <x:f>IF(SUM('Monthly Avg Balance'!Z11:'Monthly Avg Balance'!AB11)=0,"",'Monthly Avg Balance'!Z11*Rate!J11/12+('Net Interest Income'!J11-SUM('Monthly Avg Balance'!Z11:'Monthly Avg Balance'!AB11)*Rate!J11/12)*'Monthly Avg Balance'!Z11/SUM('Monthly Avg Balance'!Z11:'Monthly Avg Balance'!AB11))</x:f>
        <x:v>156.4399873230706</x:v>
      </x:c>
      <x:c r="AA11" s="43" t="n">
        <x:f>IF(SUM('Monthly Avg Balance'!Z11:'Monthly Avg Balance'!AB11)=0,"",'Monthly Avg Balance'!AA11*Rate!J11/12+('Net Interest Income'!J11-SUM('Monthly Avg Balance'!Z11:'Monthly Avg Balance'!AB11)*Rate!J11/12)*'Monthly Avg Balance'!AA11/SUM('Monthly Avg Balance'!Z11:'Monthly Avg Balance'!AB11))</x:f>
        <x:v>166.00538303435354</x:v>
      </x:c>
      <x:c r="AB11" s="43" t="n">
        <x:f>IF(SUM('Monthly Avg Balance'!Z11:'Monthly Avg Balance'!AB11)=0,"",'Monthly Avg Balance'!AB11*Rate!J11/12+('Net Interest Income'!J11-SUM('Monthly Avg Balance'!Z11:'Monthly Avg Balance'!AB11)*Rate!J11/12)*'Monthly Avg Balance'!AB11/SUM('Monthly Avg Balance'!Z11:'Monthly Avg Balance'!AB11))</x:f>
        <x:v>168.55462964257586</x:v>
      </x:c>
      <x:c r="AC11" s="43" t="n">
        <x:f>IF(SUM('Monthly Avg Balance'!AC11:'Monthly Avg Balance'!AE11)=0,"",'Monthly Avg Balance'!AC11*Rate!K11/12+('Net Interest Income'!K11-SUM('Monthly Avg Balance'!AC11:'Monthly Avg Balance'!AE11)*Rate!K11/12)*'Monthly Avg Balance'!AC11/SUM('Monthly Avg Balance'!AC11:'Monthly Avg Balance'!AE11))</x:f>
        <x:v>184.90701146119432</x:v>
      </x:c>
      <x:c r="AD11" s="43" t="n">
        <x:f>IF(SUM('Monthly Avg Balance'!AC11:'Monthly Avg Balance'!AE11)=0,"",'Monthly Avg Balance'!AD11*Rate!K11/12+('Net Interest Income'!K11-SUM('Monthly Avg Balance'!AC11:'Monthly Avg Balance'!AE11)*Rate!K11/12)*'Monthly Avg Balance'!AD11/SUM('Monthly Avg Balance'!AC11:'Monthly Avg Balance'!AE11))</x:f>
        <x:v>193.56056080732992</x:v>
      </x:c>
      <x:c r="AE11" s="43" t="n">
        <x:f>IF(SUM('Monthly Avg Balance'!AC11:'Monthly Avg Balance'!AE11)=0,"",'Monthly Avg Balance'!AE11*Rate!K11/12+('Net Interest Income'!K11-SUM('Monthly Avg Balance'!AC11:'Monthly Avg Balance'!AE11)*Rate!K11/12)*'Monthly Avg Balance'!AE11/SUM('Monthly Avg Balance'!AC11:'Monthly Avg Balance'!AE11))</x:f>
        <x:v>216.53242773147576</x:v>
      </x:c>
      <x:c r="AF11" s="104" t="n">
        <x:f>'Monthly Avg Balance'!AF11*'Monthly Rate'!AF11/12</x:f>
        <x:v>230.33468505185974</x:v>
      </x:c>
      <x:c r="AG11" s="104" t="n">
        <x:f>'Monthly Avg Balance'!AG11*'Monthly Rate'!AG11/12</x:f>
        <x:v>229.09072113310359</x:v>
      </x:c>
      <x:c r="AH11" s="104" t="n">
        <x:f>'Monthly Avg Balance'!AH11*'Monthly Rate'!AH11/12</x:f>
        <x:v>227.84632008585018</x:v>
      </x:c>
      <x:c r="AI11" s="104" t="n">
        <x:f>'Monthly Avg Balance'!AI11*'Monthly Rate'!AI11/12</x:f>
        <x:v>226.60148191009944</x:v>
      </x:c>
      <x:c r="AJ11" s="104" t="n">
        <x:f>'Monthly Avg Balance'!AJ11*'Monthly Rate'!AJ11/12</x:f>
        <x:v>225.35620660585138</x:v>
      </x:c>
      <x:c r="AK11" s="104" t="n">
        <x:f>'Monthly Avg Balance'!AK11*'Monthly Rate'!AK11/12</x:f>
        <x:v>224.11049417310596</x:v>
      </x:c>
      <x:c r="AL11" s="104" t="n">
        <x:f>'Monthly Avg Balance'!AL11*'Monthly Rate'!AL11/12</x:f>
        <x:v>222.86434461186323</x:v>
      </x:c>
      <x:c r="AM11" s="104" t="n">
        <x:f>'Monthly Avg Balance'!AM11*'Monthly Rate'!AM11/12</x:f>
        <x:v>221.61775792212322</x:v>
      </x:c>
      <x:c r="AN11" s="104" t="n">
        <x:f>'Monthly Avg Balance'!AN11*'Monthly Rate'!AN11/12</x:f>
        <x:v>220.37073410388578</x:v>
      </x:c>
      <x:c r="AO11" s="104" t="n">
        <x:f>'Monthly Avg Balance'!AO11*'Monthly Rate'!AO11/12</x:f>
        <x:v>219.1232731571511</x:v>
      </x:c>
      <x:c r="AP11" s="104" t="n">
        <x:f>'Monthly Avg Balance'!AP11*'Monthly Rate'!AP11/12</x:f>
        <x:v>217.87537508191903</x:v>
      </x:c>
      <x:c r="AQ11" s="104" t="n">
        <x:f>'Monthly Avg Balance'!AQ11*'Monthly Rate'!AQ11/12</x:f>
        <x:v>216.62703987818966</x:v>
      </x:c>
    </x:row>
    <x:row r="12">
      <x:c r="A12" s="26" t="str">
        <x:v>  Total interest-earning assets</x:v>
      </x:c>
      <x:c r="B12" s="46" t="n">
        <x:f>SUM(B9:B11)</x:f>
        <x:v>3233.931780054214</x:v>
      </x:c>
      <x:c r="C12" s="46" t="n">
        <x:f>SUM(C9:C11)</x:f>
        <x:v>3246.2864835461205</x:v>
      </x:c>
      <x:c r="D12" s="46" t="n">
        <x:f>SUM(D9:D11)</x:f>
        <x:v>3273.781736399665</x:v>
      </x:c>
      <x:c r="E12" s="46" t="n">
        <x:f>SUM(E9:E11)</x:f>
        <x:v>3389.2488750194652</x:v>
      </x:c>
      <x:c r="F12" s="46" t="n">
        <x:f>SUM(F9:F11)</x:f>
        <x:v>3372.535855395355</x:v>
      </x:c>
      <x:c r="G12" s="46" t="n">
        <x:f>SUM(G9:G11)</x:f>
        <x:v>3404.2152695851796</x:v>
      </x:c>
      <x:c r="H12" s="46" t="n">
        <x:f>SUM(H9:H11)</x:f>
        <x:v>3618.9242130583143</x:v>
      </x:c>
      <x:c r="I12" s="46" t="n">
        <x:f>SUM(I9:I11)</x:f>
        <x:v>3620.087743955027</x:v>
      </x:c>
      <x:c r="J12" s="46" t="n">
        <x:f>SUM(J9:J11)</x:f>
        <x:v>3633.9880429866607</x:v>
      </x:c>
      <x:c r="K12" s="46" t="n">
        <x:f>SUM(K9:K11)</x:f>
        <x:v>3702.9798948714974</x:v>
      </x:c>
      <x:c r="L12" s="46" t="n">
        <x:f>SUM(L9:L11)</x:f>
        <x:v>3711.7703967742746</x:v>
      </x:c>
      <x:c r="M12" s="46" t="n">
        <x:f>SUM(M9:M11)</x:f>
        <x:v>3730.2497083542276</x:v>
      </x:c>
      <x:c r="N12" s="46" t="n">
        <x:f>SUM(N9:N11)</x:f>
        <x:v>3738.9466991774434</x:v>
      </x:c>
      <x:c r="O12" s="46" t="n">
        <x:f>SUM(O9:O11)</x:f>
        <x:v>3714.361698191343</x:v>
      </x:c>
      <x:c r="P12" s="46" t="n">
        <x:f>SUM(P9:P11)</x:f>
        <x:v>3723.6916026312133</x:v>
      </x:c>
      <x:c r="Q12" s="46" t="n">
        <x:f>SUM(Q9:Q11)</x:f>
        <x:v>3754.112224789246</x:v>
      </x:c>
      <x:c r="R12" s="46" t="n">
        <x:f>SUM(R9:R11)</x:f>
        <x:v>3759.847320726999</x:v>
      </x:c>
      <x:c r="S12" s="46" t="n">
        <x:f>SUM(S9:S11)</x:f>
        <x:v>3766.040454483754</x:v>
      </x:c>
      <x:c r="T12" s="46" t="n">
        <x:f>SUM(T9:T11)</x:f>
        <x:v>3938.4386598713813</x:v>
      </x:c>
      <x:c r="U12" s="46" t="n">
        <x:f>SUM(U9:U11)</x:f>
        <x:v>3955.054470745283</x:v>
      </x:c>
      <x:c r="V12" s="46" t="n">
        <x:f>SUM(V9:V11)</x:f>
        <x:v>3966.506869383335</x:v>
      </x:c>
      <x:c r="W12" s="46" t="n">
        <x:f>SUM(W9:W11)</x:f>
        <x:v>3885.7542773511445</x:v>
      </x:c>
      <x:c r="X12" s="46" t="n">
        <x:f>SUM(X9:X11)</x:f>
        <x:v>3907.544722473094</x:v>
      </x:c>
      <x:c r="Y12" s="46" t="n">
        <x:f>SUM(Y9:Y11)</x:f>
        <x:v>3923.701000175762</x:v>
      </x:c>
      <x:c r="Z12" s="46" t="n">
        <x:f>SUM(Z9:Z11)</x:f>
        <x:v>3814.411865698341</x:v>
      </x:c>
      <x:c r="AA12" s="46" t="n">
        <x:f>SUM(AA9:AA11)</x:f>
        <x:v>3803.9458569161798</x:v>
      </x:c>
      <x:c r="AB12" s="46" t="n">
        <x:f>SUM(AB9:AB11)</x:f>
        <x:v>3799.6422773854806</x:v>
      </x:c>
      <x:c r="AC12" s="46" t="n">
        <x:f>SUM(AC9:AC11)</x:f>
        <x:v>4173.504992087477</x:v>
      </x:c>
      <x:c r="AD12" s="46" t="n">
        <x:f>SUM(AD9:AD11)</x:f>
        <x:v>4596.46085337984</x:v>
      </x:c>
      <x:c r="AE12" s="46" t="n">
        <x:f>SUM(AE9:AE11)</x:f>
        <x:v>5058.034154532685</x:v>
      </x:c>
      <x:c r="AF12" s="108" t="n">
        <x:f>SUM(AF9:AF11)</x:f>
        <x:v>5349.37975735744</x:v>
      </x:c>
      <x:c r="AG12" s="108" t="n">
        <x:f>SUM(AG9:AG11)</x:f>
        <x:v>5325.175106464656</x:v>
      </x:c>
      <x:c r="AH12" s="108" t="n">
        <x:f>SUM(AH9:AH11)</x:f>
        <x:v>5318.715216987885</x:v>
      </x:c>
      <x:c r="AI12" s="108" t="n">
        <x:f>SUM(AI9:AI11)</x:f>
        <x:v>5312.254205043772</x:v>
      </x:c>
      <x:c r="AJ12" s="108" t="n">
        <x:f>SUM(AJ9:AJ11)</x:f>
        <x:v>5288.034094267926</x:v>
      </x:c>
      <x:c r="AK12" s="108" t="n">
        <x:f>SUM(AK9:AK11)</x:f>
        <x:v>5281.567814268874</x:v>
      </x:c>
      <x:c r="AL12" s="108" t="n">
        <x:f>SUM(AL9:AL11)</x:f>
        <x:v>5275.10041180248</x:v>
      </x:c>
      <x:c r="AM12" s="108" t="n">
        <x:f>SUM(AM9:AM11)</x:f>
        <x:v>5250.86484114357</x:v>
      </x:c>
      <x:c r="AN12" s="108" t="n">
        <x:f>SUM(AN9:AN11)</x:f>
        <x:v>5244.392170622237</x:v>
      </x:c>
      <x:c r="AO12" s="108" t="n">
        <x:f>SUM(AO9:AO11)</x:f>
        <x:v>5237.918377633561</x:v>
      </x:c>
      <x:c r="AP12" s="108" t="n">
        <x:f>SUM(AP9:AP11)</x:f>
        <x:v>5213.667347091588</x:v>
      </x:c>
      <x:c r="AQ12" s="108" t="n">
        <x:f>SUM(AQ9:AQ11)</x:f>
        <x:v>5207.188286047973</x:v>
      </x:c>
    </x:row>
    <x:row r="13">
      <x:c r="A13" s="20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  <x:c r="AA13" s="43"/>
      <x:c r="AB13" s="43"/>
      <x:c r="AC13" s="43"/>
      <x:c r="AD13" s="43"/>
      <x:c r="AE13" s="43"/>
      <x:c r="AF13" s="104"/>
      <x:c r="AG13" s="104"/>
      <x:c r="AH13" s="104"/>
      <x:c r="AI13" s="104"/>
      <x:c r="AJ13" s="104"/>
      <x:c r="AK13" s="104"/>
      <x:c r="AL13" s="104"/>
      <x:c r="AM13" s="104"/>
      <x:c r="AN13" s="104"/>
      <x:c r="AO13" s="104"/>
      <x:c r="AP13" s="104"/>
      <x:c r="AQ13" s="104"/>
    </x:row>
    <x:row r="14">
      <x:c r="A14" s="32" t="str">
        <x:v>INTEREST-BEARING LIABILITIES</x:v>
      </x:c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 s="45"/>
      <x:c r="AB14" s="45"/>
      <x:c r="AC14" s="45"/>
      <x:c r="AD14" s="45"/>
      <x:c r="AE14" s="45"/>
      <x:c r="AF14" s="109"/>
      <x:c r="AG14" s="109"/>
      <x:c r="AH14" s="109"/>
      <x:c r="AI14" s="109"/>
      <x:c r="AJ14" s="109"/>
      <x:c r="AK14" s="109"/>
      <x:c r="AL14" s="109"/>
      <x:c r="AM14" s="109"/>
      <x:c r="AN14" s="109"/>
      <x:c r="AO14" s="109"/>
      <x:c r="AP14" s="109"/>
      <x:c r="AQ14" s="109"/>
    </x:row>
    <x:row r="15">
      <x:c r="A15" s="20" t="str">
        <x:v>  Interest-bearing deposits</x:v>
      </x:c>
      <x:c r="B15" s="43" t="n">
        <x:f>IF(SUM('Monthly Avg Balance'!B15:'Monthly Avg Balance'!D15)=0,"",'Monthly Avg Balance'!B15*Rate!B15/12+('Net Interest Income'!B15-SUM('Monthly Avg Balance'!B15:'Monthly Avg Balance'!D15)*Rate!B15/12)*'Monthly Avg Balance'!B15/SUM('Monthly Avg Balance'!B15:'Monthly Avg Balance'!D15))</x:f>
        <x:v>618.6666666666666</x:v>
      </x:c>
      <x:c r="C15" s="43" t="n">
        <x:f>IF(SUM('Monthly Avg Balance'!B15:'Monthly Avg Balance'!D15)=0,"",'Monthly Avg Balance'!C15*Rate!B15/12+('Net Interest Income'!B15-SUM('Monthly Avg Balance'!B15:'Monthly Avg Balance'!D15)*Rate!B15/12)*'Monthly Avg Balance'!C15/SUM('Monthly Avg Balance'!B15:'Monthly Avg Balance'!D15))</x:f>
        <x:v>618.6666666666666</x:v>
      </x:c>
      <x:c r="D15" s="43" t="n">
        <x:f>IF(SUM('Monthly Avg Balance'!B15:'Monthly Avg Balance'!D15)=0,"",'Monthly Avg Balance'!D15*Rate!B15/12+('Net Interest Income'!B15-SUM('Monthly Avg Balance'!B15:'Monthly Avg Balance'!D15)*Rate!B15/12)*'Monthly Avg Balance'!D15/SUM('Monthly Avg Balance'!B15:'Monthly Avg Balance'!D15))</x:f>
        <x:v>618.6666666666666</x:v>
      </x:c>
      <x:c r="E15" s="43" t="n">
        <x:f>IF(SUM('Monthly Avg Balance'!E15:'Monthly Avg Balance'!G15)=0,"",'Monthly Avg Balance'!E15*Rate!C15/12+('Net Interest Income'!C15-SUM('Monthly Avg Balance'!E15:'Monthly Avg Balance'!G15)*Rate!C15/12)*'Monthly Avg Balance'!E15/SUM('Monthly Avg Balance'!E15:'Monthly Avg Balance'!G15))</x:f>
        <x:v>751.8609066847164</x:v>
      </x:c>
      <x:c r="F15" s="43" t="n">
        <x:f>IF(SUM('Monthly Avg Balance'!E15:'Monthly Avg Balance'!G15)=0,"",'Monthly Avg Balance'!F15*Rate!C15/12+('Net Interest Income'!C15-SUM('Monthly Avg Balance'!E15:'Monthly Avg Balance'!G15)*Rate!C15/12)*'Monthly Avg Balance'!F15/SUM('Monthly Avg Balance'!E15:'Monthly Avg Balance'!G15))</x:f>
        <x:v>759</x:v>
      </x:c>
      <x:c r="G15" s="43" t="n">
        <x:f>IF(SUM('Monthly Avg Balance'!E15:'Monthly Avg Balance'!G15)=0,"",'Monthly Avg Balance'!G15*Rate!C15/12+('Net Interest Income'!C15-SUM('Monthly Avg Balance'!E15:'Monthly Avg Balance'!G15)*Rate!C15/12)*'Monthly Avg Balance'!G15/SUM('Monthly Avg Balance'!E15:'Monthly Avg Balance'!G15))</x:f>
        <x:v>766.1390933152834</x:v>
      </x:c>
      <x:c r="H15" s="43" t="n">
        <x:f>IF(SUM('Monthly Avg Balance'!H15:'Monthly Avg Balance'!J15)=0,"",'Monthly Avg Balance'!H15*Rate!D15/12+('Net Interest Income'!D15-SUM('Monthly Avg Balance'!H15:'Monthly Avg Balance'!J15)*Rate!D15/12)*'Monthly Avg Balance'!H15/SUM('Monthly Avg Balance'!H15:'Monthly Avg Balance'!J15))</x:f>
        <x:v>873.2598541357273</x:v>
      </x:c>
      <x:c r="I15" s="43" t="n">
        <x:f>IF(SUM('Monthly Avg Balance'!H15:'Monthly Avg Balance'!J15)=0,"",'Monthly Avg Balance'!I15*Rate!D15/12+('Net Interest Income'!D15-SUM('Monthly Avg Balance'!H15:'Monthly Avg Balance'!J15)*Rate!D15/12)*'Monthly Avg Balance'!I15/SUM('Monthly Avg Balance'!H15:'Monthly Avg Balance'!J15))</x:f>
        <x:v>870.3333333333334</x:v>
      </x:c>
      <x:c r="J15" s="43" t="n">
        <x:f>IF(SUM('Monthly Avg Balance'!H15:'Monthly Avg Balance'!J15)=0,"",'Monthly Avg Balance'!J15*Rate!D15/12+('Net Interest Income'!D15-SUM('Monthly Avg Balance'!H15:'Monthly Avg Balance'!J15)*Rate!D15/12)*'Monthly Avg Balance'!J15/SUM('Monthly Avg Balance'!H15:'Monthly Avg Balance'!J15))</x:f>
        <x:v>867.4068125309393</x:v>
      </x:c>
      <x:c r="K15" s="43" t="n">
        <x:f>IF(SUM('Monthly Avg Balance'!K15:'Monthly Avg Balance'!M15)=0,"",'Monthly Avg Balance'!K15*Rate!E15/12+('Net Interest Income'!E15-SUM('Monthly Avg Balance'!K15:'Monthly Avg Balance'!M15)*Rate!E15/12)*'Monthly Avg Balance'!K15/SUM('Monthly Avg Balance'!K15:'Monthly Avg Balance'!M15))</x:f>
        <x:v>909.8184439359992</x:v>
      </x:c>
      <x:c r="L15" s="43" t="n">
        <x:f>IF(SUM('Monthly Avg Balance'!K15:'Monthly Avg Balance'!M15)=0,"",'Monthly Avg Balance'!L15*Rate!E15/12+('Net Interest Income'!E15-SUM('Monthly Avg Balance'!K15:'Monthly Avg Balance'!M15)*Rate!E15/12)*'Monthly Avg Balance'!L15/SUM('Monthly Avg Balance'!K15:'Monthly Avg Balance'!M15))</x:f>
        <x:v>913.8990577969787</x:v>
      </x:c>
      <x:c r="M15" s="43" t="n">
        <x:f>IF(SUM('Monthly Avg Balance'!K15:'Monthly Avg Balance'!M15)=0,"",'Monthly Avg Balance'!M15*Rate!E15/12+('Net Interest Income'!E15-SUM('Monthly Avg Balance'!K15:'Monthly Avg Balance'!M15)*Rate!E15/12)*'Monthly Avg Balance'!M15/SUM('Monthly Avg Balance'!K15:'Monthly Avg Balance'!M15))</x:f>
        <x:v>921.2824982670222</x:v>
      </x:c>
      <x:c r="N15" s="43" t="n">
        <x:f>IF(SUM('Monthly Avg Balance'!N15:'Monthly Avg Balance'!P15)=0,"",'Monthly Avg Balance'!N15*Rate!F15/12+('Net Interest Income'!F15-SUM('Monthly Avg Balance'!N15:'Monthly Avg Balance'!P15)*Rate!F15/12)*'Monthly Avg Balance'!N15/SUM('Monthly Avg Balance'!N15:'Monthly Avg Balance'!P15))</x:f>
        <x:v>937.783818374505</x:v>
      </x:c>
      <x:c r="O15" s="43" t="n">
        <x:f>IF(SUM('Monthly Avg Balance'!N15:'Monthly Avg Balance'!P15)=0,"",'Monthly Avg Balance'!O15*Rate!F15/12+('Net Interest Income'!F15-SUM('Monthly Avg Balance'!N15:'Monthly Avg Balance'!P15)*Rate!F15/12)*'Monthly Avg Balance'!O15/SUM('Monthly Avg Balance'!N15:'Monthly Avg Balance'!P15))</x:f>
        <x:v>930.5972280510268</x:v>
      </x:c>
      <x:c r="P15" s="43" t="n">
        <x:f>IF(SUM('Monthly Avg Balance'!N15:'Monthly Avg Balance'!P15)=0,"",'Monthly Avg Balance'!P15*Rate!F15/12+('Net Interest Income'!F15-SUM('Monthly Avg Balance'!N15:'Monthly Avg Balance'!P15)*Rate!F15/12)*'Monthly Avg Balance'!P15/SUM('Monthly Avg Balance'!N15:'Monthly Avg Balance'!P15))</x:f>
        <x:v>943.6189535744679</x:v>
      </x:c>
      <x:c r="Q15" s="43" t="n">
        <x:f>IF(SUM('Monthly Avg Balance'!Q15:'Monthly Avg Balance'!S15)=0,"",'Monthly Avg Balance'!Q15*Rate!G15/12+('Net Interest Income'!G15-SUM('Monthly Avg Balance'!Q15:'Monthly Avg Balance'!S15)*Rate!G15/12)*'Monthly Avg Balance'!Q15/SUM('Monthly Avg Balance'!Q15:'Monthly Avg Balance'!S15))</x:f>
        <x:v>958.2265069516194</x:v>
      </x:c>
      <x:c r="R15" s="43" t="n">
        <x:f>IF(SUM('Monthly Avg Balance'!Q15:'Monthly Avg Balance'!S15)=0,"",'Monthly Avg Balance'!R15*Rate!G15/12+('Net Interest Income'!G15-SUM('Monthly Avg Balance'!Q15:'Monthly Avg Balance'!S15)*Rate!G15/12)*'Monthly Avg Balance'!R15/SUM('Monthly Avg Balance'!Q15:'Monthly Avg Balance'!S15))</x:f>
        <x:v>955.3959135146432</x:v>
      </x:c>
      <x:c r="S15" s="43" t="n">
        <x:f>IF(SUM('Monthly Avg Balance'!Q15:'Monthly Avg Balance'!S15)=0,"",'Monthly Avg Balance'!S15*Rate!G15/12+('Net Interest Income'!G15-SUM('Monthly Avg Balance'!Q15:'Monthly Avg Balance'!S15)*Rate!G15/12)*'Monthly Avg Balance'!S15/SUM('Monthly Avg Balance'!Q15:'Monthly Avg Balance'!S15))</x:f>
        <x:v>960.3775795337372</x:v>
      </x:c>
      <x:c r="T15" s="43" t="n">
        <x:f>IF(SUM('Monthly Avg Balance'!T15:'Monthly Avg Balance'!V15)=0,"",'Monthly Avg Balance'!T15*Rate!H15/12+('Net Interest Income'!H15-SUM('Monthly Avg Balance'!T15:'Monthly Avg Balance'!V15)*Rate!H15/12)*'Monthly Avg Balance'!T15/SUM('Monthly Avg Balance'!T15:'Monthly Avg Balance'!V15))</x:f>
        <x:v>980.1722415314139</x:v>
      </x:c>
      <x:c r="U15" s="43" t="n">
        <x:f>IF(SUM('Monthly Avg Balance'!T15:'Monthly Avg Balance'!V15)=0,"",'Monthly Avg Balance'!U15*Rate!H15/12+('Net Interest Income'!H15-SUM('Monthly Avg Balance'!T15:'Monthly Avg Balance'!V15)*Rate!H15/12)*'Monthly Avg Balance'!U15/SUM('Monthly Avg Balance'!T15:'Monthly Avg Balance'!V15))</x:f>
        <x:v>978.9686234495075</x:v>
      </x:c>
      <x:c r="V15" s="43" t="n">
        <x:f>IF(SUM('Monthly Avg Balance'!T15:'Monthly Avg Balance'!V15)=0,"",'Monthly Avg Balance'!V15*Rate!H15/12+('Net Interest Income'!H15-SUM('Monthly Avg Balance'!T15:'Monthly Avg Balance'!V15)*Rate!H15/12)*'Monthly Avg Balance'!V15/SUM('Monthly Avg Balance'!T15:'Monthly Avg Balance'!V15))</x:f>
        <x:v>985.8591350190788</x:v>
      </x:c>
      <x:c r="W15" s="43" t="n">
        <x:f>IF(SUM('Monthly Avg Balance'!W15:'Monthly Avg Balance'!Y15)=0,"",'Monthly Avg Balance'!W15*Rate!I15/12+('Net Interest Income'!I15-SUM('Monthly Avg Balance'!W15:'Monthly Avg Balance'!Y15)*Rate!I15/12)*'Monthly Avg Balance'!W15/SUM('Monthly Avg Balance'!W15:'Monthly Avg Balance'!Y15))</x:f>
        <x:v>945.3353911926971</x:v>
      </x:c>
      <x:c r="X15" s="43" t="n">
        <x:f>IF(SUM('Monthly Avg Balance'!W15:'Monthly Avg Balance'!Y15)=0,"",'Monthly Avg Balance'!X15*Rate!I15/12+('Net Interest Income'!I15-SUM('Monthly Avg Balance'!W15:'Monthly Avg Balance'!Y15)*Rate!I15/12)*'Monthly Avg Balance'!X15/SUM('Monthly Avg Balance'!W15:'Monthly Avg Balance'!Y15))</x:f>
        <x:v>953.426388125012</x:v>
      </x:c>
      <x:c r="Y15" s="43" t="n">
        <x:f>IF(SUM('Monthly Avg Balance'!W15:'Monthly Avg Balance'!Y15)=0,"",'Monthly Avg Balance'!Y15*Rate!I15/12+('Net Interest Income'!I15-SUM('Monthly Avg Balance'!W15:'Monthly Avg Balance'!Y15)*Rate!I15/12)*'Monthly Avg Balance'!Y15/SUM('Monthly Avg Balance'!W15:'Monthly Avg Balance'!Y15))</x:f>
        <x:v>963.2382206822908</x:v>
      </x:c>
      <x:c r="Z15" s="43" t="n">
        <x:f>IF(SUM('Monthly Avg Balance'!Z15:'Monthly Avg Balance'!AB15)=0,"",'Monthly Avg Balance'!Z15*Rate!J15/12+('Net Interest Income'!J15-SUM('Monthly Avg Balance'!Z15:'Monthly Avg Balance'!AB15)*Rate!J15/12)*'Monthly Avg Balance'!Z15/SUM('Monthly Avg Balance'!Z15:'Monthly Avg Balance'!AB15))</x:f>
        <x:v>901.9214723102396</x:v>
      </x:c>
      <x:c r="AA15" s="43" t="n">
        <x:f>IF(SUM('Monthly Avg Balance'!Z15:'Monthly Avg Balance'!AB15)=0,"",'Monthly Avg Balance'!AA15*Rate!J15/12+('Net Interest Income'!J15-SUM('Monthly Avg Balance'!Z15:'Monthly Avg Balance'!AB15)*Rate!J15/12)*'Monthly Avg Balance'!AA15/SUM('Monthly Avg Balance'!Z15:'Monthly Avg Balance'!AB15))</x:f>
        <x:v>903.3295780948868</x:v>
      </x:c>
      <x:c r="AB15" s="43" t="n">
        <x:f>IF(SUM('Monthly Avg Balance'!Z15:'Monthly Avg Balance'!AB15)=0,"",'Monthly Avg Balance'!AB15*Rate!J15/12+('Net Interest Income'!J15-SUM('Monthly Avg Balance'!Z15:'Monthly Avg Balance'!AB15)*Rate!J15/12)*'Monthly Avg Balance'!AB15/SUM('Monthly Avg Balance'!Z15:'Monthly Avg Balance'!AB15))</x:f>
        <x:v>909.7489495948736</x:v>
      </x:c>
      <x:c r="AC15" s="43" t="n">
        <x:f>IF(SUM('Monthly Avg Balance'!AC15:'Monthly Avg Balance'!AE15)=0,"",'Monthly Avg Balance'!AC15*Rate!K15/12+('Net Interest Income'!K15-SUM('Monthly Avg Balance'!AC15:'Monthly Avg Balance'!AE15)*Rate!K15/12)*'Monthly Avg Balance'!AC15/SUM('Monthly Avg Balance'!AC15:'Monthly Avg Balance'!AE15))</x:f>
        <x:v>953.9512858189652</x:v>
      </x:c>
      <x:c r="AD15" s="43" t="n">
        <x:f>IF(SUM('Monthly Avg Balance'!AC15:'Monthly Avg Balance'!AE15)=0,"",'Monthly Avg Balance'!AD15*Rate!K15/12+('Net Interest Income'!K15-SUM('Monthly Avg Balance'!AC15:'Monthly Avg Balance'!AE15)*Rate!K15/12)*'Monthly Avg Balance'!AD15/SUM('Monthly Avg Balance'!AC15:'Monthly Avg Balance'!AE15))</x:f>
        <x:v>1033.7876184681922</x:v>
      </x:c>
      <x:c r="AE15" s="43" t="n">
        <x:f>IF(SUM('Monthly Avg Balance'!AC15:'Monthly Avg Balance'!AE15)=0,"",'Monthly Avg Balance'!AE15*Rate!K15/12+('Net Interest Income'!K15-SUM('Monthly Avg Balance'!AC15:'Monthly Avg Balance'!AE15)*Rate!K15/12)*'Monthly Avg Balance'!AE15/SUM('Monthly Avg Balance'!AC15:'Monthly Avg Balance'!AE15))</x:f>
        <x:v>1132.261095712843</x:v>
      </x:c>
      <x:c r="AF15" s="104" t="n">
        <x:f>'Monthly Avg Balance'!AF15*'Monthly Rate'!AF15/12</x:f>
        <x:v>1179.4090980542464</x:v>
      </x:c>
      <x:c r="AG15" s="104" t="n">
        <x:f>'Monthly Avg Balance'!AG15*'Monthly Rate'!AG15/12</x:f>
        <x:v>1172.759785244016</x:v>
      </x:c>
      <x:c r="AH15" s="104" t="n">
        <x:f>'Monthly Avg Balance'!AH15*'Monthly Rate'!AH15/12</x:f>
        <x:v>1166.10813887304</x:v>
      </x:c>
      <x:c r="AI15" s="104" t="n">
        <x:f>'Monthly Avg Balance'!AI15*'Monthly Rate'!AI15/12</x:f>
        <x:v>1159.4541589413182</x:v>
      </x:c>
      <x:c r="AJ15" s="104" t="n">
        <x:f>'Monthly Avg Balance'!AJ15*'Monthly Rate'!AJ15/12</x:f>
        <x:v>1152.7978454488505</x:v>
      </x:c>
      <x:c r="AK15" s="104" t="n">
        <x:f>'Monthly Avg Balance'!AK15*'Monthly Rate'!AK15/12</x:f>
        <x:v>1146.1391983956369</x:v>
      </x:c>
      <x:c r="AL15" s="104" t="n">
        <x:f>'Monthly Avg Balance'!AL15*'Monthly Rate'!AL15/12</x:f>
        <x:v>1139.4782177816778</x:v>
      </x:c>
      <x:c r="AM15" s="104" t="n">
        <x:f>'Monthly Avg Balance'!AM15*'Monthly Rate'!AM15/12</x:f>
        <x:v>1132.8149036069728</x:v>
      </x:c>
      <x:c r="AN15" s="104" t="n">
        <x:f>'Monthly Avg Balance'!AN15*'Monthly Rate'!AN15/12</x:f>
        <x:v>1126.1492558715215</x:v>
      </x:c>
      <x:c r="AO15" s="104" t="n">
        <x:f>'Monthly Avg Balance'!AO15*'Monthly Rate'!AO15/12</x:f>
        <x:v>1119.481274575325</x:v>
      </x:c>
      <x:c r="AP15" s="104" t="n">
        <x:f>'Monthly Avg Balance'!AP15*'Monthly Rate'!AP15/12</x:f>
        <x:v>1112.8109597183825</x:v>
      </x:c>
      <x:c r="AQ15" s="104" t="n">
        <x:f>'Monthly Avg Balance'!AQ15*'Monthly Rate'!AQ15/12</x:f>
        <x:v>1106.1383113006943</x:v>
      </x:c>
    </x:row>
    <x:row r="16">
      <x:c r="A16" s="20" t="str">
        <x:v>  Securitized debt obligations</x:v>
      </x:c>
      <x:c r="B16" s="43" t="n">
        <x:f>IF(SUM('Monthly Avg Balance'!B16:'Monthly Avg Balance'!D16)=0,"",'Monthly Avg Balance'!B16*Rate!B16/12+('Net Interest Income'!B16-SUM('Monthly Avg Balance'!B16:'Monthly Avg Balance'!D16)*Rate!B16/12)*'Monthly Avg Balance'!B16/SUM('Monthly Avg Balance'!B16:'Monthly Avg Balance'!D16))</x:f>
        <x:v>70.33333333333333</x:v>
      </x:c>
      <x:c r="C16" s="43" t="n">
        <x:f>IF(SUM('Monthly Avg Balance'!B16:'Monthly Avg Balance'!D16)=0,"",'Monthly Avg Balance'!C16*Rate!B16/12+('Net Interest Income'!B16-SUM('Monthly Avg Balance'!B16:'Monthly Avg Balance'!D16)*Rate!B16/12)*'Monthly Avg Balance'!C16/SUM('Monthly Avg Balance'!B16:'Monthly Avg Balance'!D16))</x:f>
        <x:v>70.33333333333333</x:v>
      </x:c>
      <x:c r="D16" s="43" t="n">
        <x:f>IF(SUM('Monthly Avg Balance'!B16:'Monthly Avg Balance'!D16)=0,"",'Monthly Avg Balance'!D16*Rate!B16/12+('Net Interest Income'!B16-SUM('Monthly Avg Balance'!B16:'Monthly Avg Balance'!D16)*Rate!B16/12)*'Monthly Avg Balance'!D16/SUM('Monthly Avg Balance'!B16:'Monthly Avg Balance'!D16))</x:f>
        <x:v>70.33333333333333</x:v>
      </x:c>
      <x:c r="E16" s="43" t="n">
        <x:f>IF(SUM('Monthly Avg Balance'!E16:'Monthly Avg Balance'!G16)=0,"",'Monthly Avg Balance'!E16*Rate!C16/12+('Net Interest Income'!C16-SUM('Monthly Avg Balance'!E16:'Monthly Avg Balance'!G16)*Rate!C16/12)*'Monthly Avg Balance'!E16/SUM('Monthly Avg Balance'!E16:'Monthly Avg Balance'!G16))</x:f>
        <x:v>77.13208160611234</x:v>
      </x:c>
      <x:c r="F16" s="43" t="n">
        <x:f>IF(SUM('Monthly Avg Balance'!E16:'Monthly Avg Balance'!G16)=0,"",'Monthly Avg Balance'!F16*Rate!C16/12+('Net Interest Income'!C16-SUM('Monthly Avg Balance'!E16:'Monthly Avg Balance'!G16)*Rate!C16/12)*'Monthly Avg Balance'!F16/SUM('Monthly Avg Balance'!E16:'Monthly Avg Balance'!G16))</x:f>
        <x:v>78.66666666666667</x:v>
      </x:c>
      <x:c r="G16" s="43" t="n">
        <x:f>IF(SUM('Monthly Avg Balance'!E16:'Monthly Avg Balance'!G16)=0,"",'Monthly Avg Balance'!G16*Rate!C16/12+('Net Interest Income'!C16-SUM('Monthly Avg Balance'!E16:'Monthly Avg Balance'!G16)*Rate!C16/12)*'Monthly Avg Balance'!G16/SUM('Monthly Avg Balance'!E16:'Monthly Avg Balance'!G16))</x:f>
        <x:v>80.20125172722099</x:v>
      </x:c>
      <x:c r="H16" s="43" t="n">
        <x:f>IF(SUM('Monthly Avg Balance'!H16:'Monthly Avg Balance'!J16)=0,"",'Monthly Avg Balance'!H16*Rate!D16/12+('Net Interest Income'!D16-SUM('Monthly Avg Balance'!H16:'Monthly Avg Balance'!J16)*Rate!D16/12)*'Monthly Avg Balance'!H16/SUM('Monthly Avg Balance'!H16:'Monthly Avg Balance'!J16))</x:f>
        <x:v>85.01280525808828</x:v>
      </x:c>
      <x:c r="I16" s="43" t="n">
        <x:f>IF(SUM('Monthly Avg Balance'!H16:'Monthly Avg Balance'!J16)=0,"",'Monthly Avg Balance'!I16*Rate!D16/12+('Net Interest Income'!D16-SUM('Monthly Avg Balance'!H16:'Monthly Avg Balance'!J16)*Rate!D16/12)*'Monthly Avg Balance'!I16/SUM('Monthly Avg Balance'!H16:'Monthly Avg Balance'!J16))</x:f>
        <x:v>83</x:v>
      </x:c>
      <x:c r="J16" s="43" t="n">
        <x:f>IF(SUM('Monthly Avg Balance'!H16:'Monthly Avg Balance'!J16)=0,"",'Monthly Avg Balance'!J16*Rate!D16/12+('Net Interest Income'!D16-SUM('Monthly Avg Balance'!H16:'Monthly Avg Balance'!J16)*Rate!D16/12)*'Monthly Avg Balance'!J16/SUM('Monthly Avg Balance'!H16:'Monthly Avg Balance'!J16))</x:f>
        <x:v>80.98719474191172</x:v>
      </x:c>
      <x:c r="K16" s="43" t="n">
        <x:f>IF(SUM('Monthly Avg Balance'!K16:'Monthly Avg Balance'!M16)=0,"",'Monthly Avg Balance'!K16*Rate!E16/12+('Net Interest Income'!E16-SUM('Monthly Avg Balance'!K16:'Monthly Avg Balance'!M16)*Rate!E16/12)*'Monthly Avg Balance'!K16/SUM('Monthly Avg Balance'!K16:'Monthly Avg Balance'!M16))</x:f>
        <x:v>85.59558689611573</x:v>
      </x:c>
      <x:c r="L16" s="43" t="n">
        <x:f>IF(SUM('Monthly Avg Balance'!K16:'Monthly Avg Balance'!M16)=0,"",'Monthly Avg Balance'!L16*Rate!E16/12+('Net Interest Income'!E16-SUM('Monthly Avg Balance'!K16:'Monthly Avg Balance'!M16)*Rate!E16/12)*'Monthly Avg Balance'!L16/SUM('Monthly Avg Balance'!K16:'Monthly Avg Balance'!M16))</x:f>
        <x:v>90.04263126980346</x:v>
      </x:c>
      <x:c r="M16" s="43" t="n">
        <x:f>IF(SUM('Monthly Avg Balance'!K16:'Monthly Avg Balance'!M16)=0,"",'Monthly Avg Balance'!M16*Rate!E16/12+('Net Interest Income'!E16-SUM('Monthly Avg Balance'!K16:'Monthly Avg Balance'!M16)*Rate!E16/12)*'Monthly Avg Balance'!M16/SUM('Monthly Avg Balance'!K16:'Monthly Avg Balance'!M16))</x:f>
        <x:v>87.36178183408079</x:v>
      </x:c>
      <x:c r="N16" s="43" t="n">
        <x:f>IF(SUM('Monthly Avg Balance'!N16:'Monthly Avg Balance'!P16)=0,"",'Monthly Avg Balance'!N16*Rate!F16/12+('Net Interest Income'!F16-SUM('Monthly Avg Balance'!N16:'Monthly Avg Balance'!P16)*Rate!F16/12)*'Monthly Avg Balance'!N16/SUM('Monthly Avg Balance'!N16:'Monthly Avg Balance'!P16))</x:f>
        <x:v>86.40063756826255</x:v>
      </x:c>
      <x:c r="O16" s="43" t="n">
        <x:f>IF(SUM('Monthly Avg Balance'!N16:'Monthly Avg Balance'!P16)=0,"",'Monthly Avg Balance'!O16*Rate!F16/12+('Net Interest Income'!F16-SUM('Monthly Avg Balance'!N16:'Monthly Avg Balance'!P16)*Rate!F16/12)*'Monthly Avg Balance'!O16/SUM('Monthly Avg Balance'!N16:'Monthly Avg Balance'!P16))</x:f>
        <x:v>87.59514593081198</x:v>
      </x:c>
      <x:c r="P16" s="43" t="n">
        <x:f>IF(SUM('Monthly Avg Balance'!N16:'Monthly Avg Balance'!P16)=0,"",'Monthly Avg Balance'!P16*Rate!F16/12+('Net Interest Income'!F16-SUM('Monthly Avg Balance'!N16:'Monthly Avg Balance'!P16)*Rate!F16/12)*'Monthly Avg Balance'!P16/SUM('Monthly Avg Balance'!N16:'Monthly Avg Balance'!P16))</x:f>
        <x:v>87.00421650092547</x:v>
      </x:c>
      <x:c r="Q16" s="43" t="n">
        <x:f>IF(SUM('Monthly Avg Balance'!Q16:'Monthly Avg Balance'!S16)=0,"",'Monthly Avg Balance'!Q16*Rate!G16/12+('Net Interest Income'!G16-SUM('Monthly Avg Balance'!Q16:'Monthly Avg Balance'!S16)*Rate!G16/12)*'Monthly Avg Balance'!Q16/SUM('Monthly Avg Balance'!Q16:'Monthly Avg Balance'!S16))</x:f>
        <x:v>87.07361346629934</x:v>
      </x:c>
      <x:c r="R16" s="43" t="n">
        <x:f>IF(SUM('Monthly Avg Balance'!Q16:'Monthly Avg Balance'!S16)=0,"",'Monthly Avg Balance'!R16*Rate!G16/12+('Net Interest Income'!G16-SUM('Monthly Avg Balance'!Q16:'Monthly Avg Balance'!S16)*Rate!G16/12)*'Monthly Avg Balance'!R16/SUM('Monthly Avg Balance'!Q16:'Monthly Avg Balance'!S16))</x:f>
        <x:v>86.22143945656968</x:v>
      </x:c>
      <x:c r="S16" s="43" t="n">
        <x:f>IF(SUM('Monthly Avg Balance'!Q16:'Monthly Avg Balance'!S16)=0,"",'Monthly Avg Balance'!S16*Rate!G16/12+('Net Interest Income'!G16-SUM('Monthly Avg Balance'!Q16:'Monthly Avg Balance'!S16)*Rate!G16/12)*'Monthly Avg Balance'!S16/SUM('Monthly Avg Balance'!Q16:'Monthly Avg Balance'!S16))</x:f>
        <x:v>84.70494707713102</x:v>
      </x:c>
      <x:c r="T16" s="43" t="n">
        <x:f>IF(SUM('Monthly Avg Balance'!T16:'Monthly Avg Balance'!V16)=0,"",'Monthly Avg Balance'!T16*Rate!H16/12+('Net Interest Income'!H16-SUM('Monthly Avg Balance'!T16:'Monthly Avg Balance'!V16)*Rate!H16/12)*'Monthly Avg Balance'!T16/SUM('Monthly Avg Balance'!T16:'Monthly Avg Balance'!V16))</x:f>
        <x:v>80.71975151262247</x:v>
      </x:c>
      <x:c r="U16" s="43" t="n">
        <x:f>IF(SUM('Monthly Avg Balance'!T16:'Monthly Avg Balance'!V16)=0,"",'Monthly Avg Balance'!U16*Rate!H16/12+('Net Interest Income'!H16-SUM('Monthly Avg Balance'!T16:'Monthly Avg Balance'!V16)*Rate!H16/12)*'Monthly Avg Balance'!U16/SUM('Monthly Avg Balance'!T16:'Monthly Avg Balance'!V16))</x:f>
        <x:v>75.49374961305664</x:v>
      </x:c>
      <x:c r="V16" s="43" t="n">
        <x:f>IF(SUM('Monthly Avg Balance'!T16:'Monthly Avg Balance'!V16)=0,"",'Monthly Avg Balance'!V16*Rate!H16/12+('Net Interest Income'!H16-SUM('Monthly Avg Balance'!T16:'Monthly Avg Balance'!V16)*Rate!H16/12)*'Monthly Avg Balance'!V16/SUM('Monthly Avg Balance'!T16:'Monthly Avg Balance'!V16))</x:f>
        <x:v>77.78649887432086</x:v>
      </x:c>
      <x:c r="W16" s="43" t="n">
        <x:f>IF(SUM('Monthly Avg Balance'!W16:'Monthly Avg Balance'!Y16)=0,"",'Monthly Avg Balance'!W16*Rate!I16/12+('Net Interest Income'!I16-SUM('Monthly Avg Balance'!W16:'Monthly Avg Balance'!Y16)*Rate!I16/12)*'Monthly Avg Balance'!W16/SUM('Monthly Avg Balance'!W16:'Monthly Avg Balance'!Y16))</x:f>
        <x:v>71.37272710961443</x:v>
      </x:c>
      <x:c r="X16" s="43" t="n">
        <x:f>IF(SUM('Monthly Avg Balance'!W16:'Monthly Avg Balance'!Y16)=0,"",'Monthly Avg Balance'!X16*Rate!I16/12+('Net Interest Income'!I16-SUM('Monthly Avg Balance'!W16:'Monthly Avg Balance'!Y16)*Rate!I16/12)*'Monthly Avg Balance'!X16/SUM('Monthly Avg Balance'!W16:'Monthly Avg Balance'!Y16))</x:f>
        <x:v>66.85330915037068</x:v>
      </x:c>
      <x:c r="Y16" s="43" t="n">
        <x:f>IF(SUM('Monthly Avg Balance'!W16:'Monthly Avg Balance'!Y16)=0,"",'Monthly Avg Balance'!Y16*Rate!I16/12+('Net Interest Income'!I16-SUM('Monthly Avg Balance'!W16:'Monthly Avg Balance'!Y16)*Rate!I16/12)*'Monthly Avg Balance'!Y16/SUM('Monthly Avg Balance'!W16:'Monthly Avg Balance'!Y16))</x:f>
        <x:v>66.77396374001484</x:v>
      </x:c>
      <x:c r="Z16" s="43" t="n">
        <x:f>IF(SUM('Monthly Avg Balance'!Z16:'Monthly Avg Balance'!AB16)=0,"",'Monthly Avg Balance'!Z16*Rate!J16/12+('Net Interest Income'!J16-SUM('Monthly Avg Balance'!Z16:'Monthly Avg Balance'!AB16)*Rate!J16/12)*'Monthly Avg Balance'!Z16/SUM('Monthly Avg Balance'!Z16:'Monthly Avg Balance'!AB16))</x:f>
        <x:v>61.27568748544838</x:v>
      </x:c>
      <x:c r="AA16" s="43" t="n">
        <x:f>IF(SUM('Monthly Avg Balance'!Z16:'Monthly Avg Balance'!AB16)=0,"",'Monthly Avg Balance'!AA16*Rate!J16/12+('Net Interest Income'!J16-SUM('Monthly Avg Balance'!Z16:'Monthly Avg Balance'!AB16)*Rate!J16/12)*'Monthly Avg Balance'!AA16/SUM('Monthly Avg Balance'!Z16:'Monthly Avg Balance'!AB16))</x:f>
        <x:v>58.62158373503422</x:v>
      </x:c>
      <x:c r="AB16" s="43" t="n">
        <x:f>IF(SUM('Monthly Avg Balance'!Z16:'Monthly Avg Balance'!AB16)=0,"",'Monthly Avg Balance'!AB16*Rate!J16/12+('Net Interest Income'!J16-SUM('Monthly Avg Balance'!Z16:'Monthly Avg Balance'!AB16)*Rate!J16/12)*'Monthly Avg Balance'!AB16/SUM('Monthly Avg Balance'!Z16:'Monthly Avg Balance'!AB16))</x:f>
        <x:v>56.10272877951738</x:v>
      </x:c>
      <x:c r="AC16" s="43" t="n">
        <x:f>IF(SUM('Monthly Avg Balance'!AC16:'Monthly Avg Balance'!AE16)=0,"",'Monthly Avg Balance'!AC16*Rate!K16/12+('Net Interest Income'!K16-SUM('Monthly Avg Balance'!AC16:'Monthly Avg Balance'!AE16)*Rate!K16/12)*'Monthly Avg Balance'!AC16/SUM('Monthly Avg Balance'!AC16:'Monthly Avg Balance'!AE16))</x:f>
        <x:v>53.015294837759974</x:v>
      </x:c>
      <x:c r="AD16" s="43" t="n">
        <x:f>IF(SUM('Monthly Avg Balance'!AC16:'Monthly Avg Balance'!AE16)=0,"",'Monthly Avg Balance'!AD16*Rate!K16/12+('Net Interest Income'!K16-SUM('Monthly Avg Balance'!AC16:'Monthly Avg Balance'!AE16)*Rate!K16/12)*'Monthly Avg Balance'!AD16/SUM('Monthly Avg Balance'!AC16:'Monthly Avg Balance'!AE16))</x:f>
        <x:v>52.52560191902514</x:v>
      </x:c>
      <x:c r="AE16" s="43" t="n">
        <x:f>IF(SUM('Monthly Avg Balance'!AC16:'Monthly Avg Balance'!AE16)=0,"",'Monthly Avg Balance'!AE16*Rate!K16/12+('Net Interest Income'!K16-SUM('Monthly Avg Balance'!AC16:'Monthly Avg Balance'!AE16)*Rate!K16/12)*'Monthly Avg Balance'!AE16/SUM('Monthly Avg Balance'!AC16:'Monthly Avg Balance'!AE16))</x:f>
        <x:v>58.459103243214905</x:v>
      </x:c>
      <x:c r="AF16" s="104" t="n">
        <x:f>'Monthly Avg Balance'!AF16*'Monthly Rate'!AF16/12</x:f>
        <x:v>62.28146268400738</x:v>
      </x:c>
      <x:c r="AG16" s="104" t="n">
        <x:f>'Monthly Avg Balance'!AG16*'Monthly Rate'!AG16/12</x:f>
        <x:v>61.38040777297323</x:v>
      </x:c>
      <x:c r="AH16" s="104" t="n">
        <x:f>'Monthly Avg Balance'!AH16*'Monthly Rate'!AH16/12</x:f>
        <x:v>60.48680637448232</x:v>
      </x:c>
      <x:c r="AI16" s="104" t="n">
        <x:f>'Monthly Avg Balance'!AI16*'Monthly Rate'!AI16/12</x:f>
        <x:v>59.60060647978201</x:v>
      </x:c>
      <x:c r="AJ16" s="104" t="n">
        <x:f>'Monthly Avg Balance'!AJ16*'Monthly Rate'!AJ16/12</x:f>
        <x:v>58.72175641386932</x:v>
      </x:c>
      <x:c r="AK16" s="104" t="n">
        <x:f>'Monthly Avg Balance'!AK16*'Monthly Rate'!AK16/12</x:f>
        <x:v>57.850204833453766</x:v>
      </x:c>
      <x:c r="AL16" s="104" t="n">
        <x:f>'Monthly Avg Balance'!AL16*'Monthly Rate'!AL16/12</x:f>
        <x:v>56.98590072493204</x:v>
      </x:c>
      <x:c r="AM16" s="104" t="n">
        <x:f>'Monthly Avg Balance'!AM16*'Monthly Rate'!AM16/12</x:f>
        <x:v>56.128793402374676</x:v>
      </x:c>
      <x:c r="AN16" s="104" t="n">
        <x:f>'Monthly Avg Balance'!AN16*'Monthly Rate'!AN16/12</x:f>
        <x:v>55.278832505524775</x:v>
      </x:c>
      <x:c r="AO16" s="104" t="n">
        <x:f>'Monthly Avg Balance'!AO16*'Monthly Rate'!AO16/12</x:f>
        <x:v>54.4359679978083</x:v>
      </x:c>
      <x:c r="AP16" s="104" t="n">
        <x:f>'Monthly Avg Balance'!AP16*'Monthly Rate'!AP16/12</x:f>
        <x:v>53.600150164356364</x:v>
      </x:c>
      <x:c r="AQ16" s="104" t="n">
        <x:f>'Monthly Avg Balance'!AQ16*'Monthly Rate'!AQ16/12</x:f>
        <x:v>52.771329610039</x:v>
      </x:c>
    </x:row>
    <x:row r="17">
      <x:c r="A17" s="20" t="str">
        <x:v>  Senior and subordinated notes</x:v>
      </x:c>
      <x:c r="B17" s="43" t="n">
        <x:f>IF(SUM('Monthly Avg Balance'!B17:'Monthly Avg Balance'!D17)=0,"",'Monthly Avg Balance'!B17*Rate!B17/12+('Net Interest Income'!B17-SUM('Monthly Avg Balance'!B17:'Monthly Avg Balance'!D17)*Rate!B17/12)*'Monthly Avg Balance'!B17/SUM('Monthly Avg Balance'!B17:'Monthly Avg Balance'!D17))</x:f>
        <x:v>163</x:v>
      </x:c>
      <x:c r="C17" s="43" t="n">
        <x:f>IF(SUM('Monthly Avg Balance'!B17:'Monthly Avg Balance'!D17)=0,"",'Monthly Avg Balance'!C17*Rate!B17/12+('Net Interest Income'!B17-SUM('Monthly Avg Balance'!B17:'Monthly Avg Balance'!D17)*Rate!B17/12)*'Monthly Avg Balance'!C17/SUM('Monthly Avg Balance'!B17:'Monthly Avg Balance'!D17))</x:f>
        <x:v>163</x:v>
      </x:c>
      <x:c r="D17" s="43" t="n">
        <x:f>IF(SUM('Monthly Avg Balance'!B17:'Monthly Avg Balance'!D17)=0,"",'Monthly Avg Balance'!D17*Rate!B17/12+('Net Interest Income'!B17-SUM('Monthly Avg Balance'!B17:'Monthly Avg Balance'!D17)*Rate!B17/12)*'Monthly Avg Balance'!D17/SUM('Monthly Avg Balance'!B17:'Monthly Avg Balance'!D17))</x:f>
        <x:v>163</x:v>
      </x:c>
      <x:c r="E17" s="43" t="n">
        <x:f>IF(SUM('Monthly Avg Balance'!E17:'Monthly Avg Balance'!G17)=0,"",'Monthly Avg Balance'!E17*Rate!C17/12+('Net Interest Income'!C17-SUM('Monthly Avg Balance'!E17:'Monthly Avg Balance'!G17)*Rate!C17/12)*'Monthly Avg Balance'!E17/SUM('Monthly Avg Balance'!E17:'Monthly Avg Balance'!G17))</x:f>
        <x:v>175.9027441618868</x:v>
      </x:c>
      <x:c r="F17" s="43" t="n">
        <x:f>IF(SUM('Monthly Avg Balance'!E17:'Monthly Avg Balance'!G17)=0,"",'Monthly Avg Balance'!F17*Rate!C17/12+('Net Interest Income'!C17-SUM('Monthly Avg Balance'!E17:'Monthly Avg Balance'!G17)*Rate!C17/12)*'Monthly Avg Balance'!F17/SUM('Monthly Avg Balance'!E17:'Monthly Avg Balance'!G17))</x:f>
        <x:v>176</x:v>
      </x:c>
      <x:c r="G17" s="43" t="n">
        <x:f>IF(SUM('Monthly Avg Balance'!E17:'Monthly Avg Balance'!G17)=0,"",'Monthly Avg Balance'!G17*Rate!C17/12+('Net Interest Income'!C17-SUM('Monthly Avg Balance'!E17:'Monthly Avg Balance'!G17)*Rate!C17/12)*'Monthly Avg Balance'!G17/SUM('Monthly Avg Balance'!E17:'Monthly Avg Balance'!G17))</x:f>
        <x:v>176.09725583811323</x:v>
      </x:c>
      <x:c r="H17" s="43" t="n">
        <x:f>IF(SUM('Monthly Avg Balance'!H17:'Monthly Avg Balance'!J17)=0,"",'Monthly Avg Balance'!H17*Rate!D17/12+('Net Interest Income'!D17-SUM('Monthly Avg Balance'!H17:'Monthly Avg Balance'!J17)*Rate!D17/12)*'Monthly Avg Balance'!H17/SUM('Monthly Avg Balance'!H17:'Monthly Avg Balance'!J17))</x:f>
        <x:v>187.54670811919715</x:v>
      </x:c>
      <x:c r="I17" s="43" t="n">
        <x:f>IF(SUM('Monthly Avg Balance'!H17:'Monthly Avg Balance'!J17)=0,"",'Monthly Avg Balance'!I17*Rate!D17/12+('Net Interest Income'!D17-SUM('Monthly Avg Balance'!H17:'Monthly Avg Balance'!J17)*Rate!D17/12)*'Monthly Avg Balance'!I17/SUM('Monthly Avg Balance'!H17:'Monthly Avg Balance'!J17))</x:f>
        <x:v>193</x:v>
      </x:c>
      <x:c r="J17" s="43" t="n">
        <x:f>IF(SUM('Monthly Avg Balance'!H17:'Monthly Avg Balance'!J17)=0,"",'Monthly Avg Balance'!J17*Rate!D17/12+('Net Interest Income'!D17-SUM('Monthly Avg Balance'!H17:'Monthly Avg Balance'!J17)*Rate!D17/12)*'Monthly Avg Balance'!J17/SUM('Monthly Avg Balance'!H17:'Monthly Avg Balance'!J17))</x:f>
        <x:v>198.4532918808028</x:v>
      </x:c>
      <x:c r="K17" s="43" t="n">
        <x:f>IF(SUM('Monthly Avg Balance'!K17:'Monthly Avg Balance'!M17)=0,"",'Monthly Avg Balance'!K17*Rate!E17/12+('Net Interest Income'!E17-SUM('Monthly Avg Balance'!K17:'Monthly Avg Balance'!M17)*Rate!E17/12)*'Monthly Avg Balance'!K17/SUM('Monthly Avg Balance'!K17:'Monthly Avg Balance'!M17))</x:f>
        <x:v>204.32887518442556</x:v>
      </x:c>
      <x:c r="L17" s="43" t="n">
        <x:f>IF(SUM('Monthly Avg Balance'!K17:'Monthly Avg Balance'!M17)=0,"",'Monthly Avg Balance'!L17*Rate!E17/12+('Net Interest Income'!E17-SUM('Monthly Avg Balance'!K17:'Monthly Avg Balance'!M17)*Rate!E17/12)*'Monthly Avg Balance'!L17/SUM('Monthly Avg Balance'!K17:'Monthly Avg Balance'!M17))</x:f>
        <x:v>203.88392384122102</x:v>
      </x:c>
      <x:c r="M17" s="43" t="n">
        <x:f>IF(SUM('Monthly Avg Balance'!K17:'Monthly Avg Balance'!M17)=0,"",'Monthly Avg Balance'!M17*Rate!E17/12+('Net Interest Income'!E17-SUM('Monthly Avg Balance'!K17:'Monthly Avg Balance'!M17)*Rate!E17/12)*'Monthly Avg Balance'!M17/SUM('Monthly Avg Balance'!K17:'Monthly Avg Balance'!M17))</x:f>
        <x:v>199.7872009743533</x:v>
      </x:c>
      <x:c r="N17" s="43" t="n">
        <x:f>IF(SUM('Monthly Avg Balance'!N17:'Monthly Avg Balance'!P17)=0,"",'Monthly Avg Balance'!N17*Rate!F17/12+('Net Interest Income'!F17-SUM('Monthly Avg Balance'!N17:'Monthly Avg Balance'!P17)*Rate!F17/12)*'Monthly Avg Balance'!N17/SUM('Monthly Avg Balance'!N17:'Monthly Avg Balance'!P17))</x:f>
        <x:v>200.75682481350339</x:v>
      </x:c>
      <x:c r="O17" s="43" t="n">
        <x:f>IF(SUM('Monthly Avg Balance'!N17:'Monthly Avg Balance'!P17)=0,"",'Monthly Avg Balance'!O17*Rate!F17/12+('Net Interest Income'!F17-SUM('Monthly Avg Balance'!N17:'Monthly Avg Balance'!P17)*Rate!F17/12)*'Monthly Avg Balance'!O17/SUM('Monthly Avg Balance'!N17:'Monthly Avg Balance'!P17))</x:f>
        <x:v>203.28297928364114</x:v>
      </x:c>
      <x:c r="P17" s="43" t="n">
        <x:f>IF(SUM('Monthly Avg Balance'!N17:'Monthly Avg Balance'!P17)=0,"",'Monthly Avg Balance'!P17*Rate!F17/12+('Net Interest Income'!F17-SUM('Monthly Avg Balance'!N17:'Monthly Avg Balance'!P17)*Rate!F17/12)*'Monthly Avg Balance'!P17/SUM('Monthly Avg Balance'!N17:'Monthly Avg Balance'!P17))</x:f>
        <x:v>201.96019590285553</x:v>
      </x:c>
      <x:c r="Q17" s="43" t="n">
        <x:f>IF(SUM('Monthly Avg Balance'!Q17:'Monthly Avg Balance'!S17)=0,"",'Monthly Avg Balance'!Q17*Rate!G17/12+('Net Interest Income'!G17-SUM('Monthly Avg Balance'!Q17:'Monthly Avg Balance'!S17)*Rate!G17/12)*'Monthly Avg Balance'!Q17/SUM('Monthly Avg Balance'!Q17:'Monthly Avg Balance'!S17))</x:f>
        <x:v>201.2138254797349</x:v>
      </x:c>
      <x:c r="R17" s="43" t="n">
        <x:f>IF(SUM('Monthly Avg Balance'!Q17:'Monthly Avg Balance'!S17)=0,"",'Monthly Avg Balance'!R17*Rate!G17/12+('Net Interest Income'!G17-SUM('Monthly Avg Balance'!Q17:'Monthly Avg Balance'!S17)*Rate!G17/12)*'Monthly Avg Balance'!R17/SUM('Monthly Avg Balance'!Q17:'Monthly Avg Balance'!S17))</x:f>
        <x:v>196.34392990292852</x:v>
      </x:c>
      <x:c r="S17" s="43" t="n">
        <x:f>IF(SUM('Monthly Avg Balance'!Q17:'Monthly Avg Balance'!S17)=0,"",'Monthly Avg Balance'!S17*Rate!G17/12+('Net Interest Income'!G17-SUM('Monthly Avg Balance'!Q17:'Monthly Avg Balance'!S17)*Rate!G17/12)*'Monthly Avg Balance'!S17/SUM('Monthly Avg Balance'!Q17:'Monthly Avg Balance'!S17))</x:f>
        <x:v>193.4422446173365</x:v>
      </x:c>
      <x:c r="T17" s="43" t="n">
        <x:f>IF(SUM('Monthly Avg Balance'!T17:'Monthly Avg Balance'!V17)=0,"",'Monthly Avg Balance'!T17*Rate!H17/12+('Net Interest Income'!H17-SUM('Monthly Avg Balance'!T17:'Monthly Avg Balance'!V17)*Rate!H17/12)*'Monthly Avg Balance'!T17/SUM('Monthly Avg Balance'!T17:'Monthly Avg Balance'!V17))</x:f>
        <x:v>192.40071565525622</x:v>
      </x:c>
      <x:c r="U17" s="43" t="n">
        <x:f>IF(SUM('Monthly Avg Balance'!T17:'Monthly Avg Balance'!V17)=0,"",'Monthly Avg Balance'!U17*Rate!H17/12+('Net Interest Income'!H17-SUM('Monthly Avg Balance'!T17:'Monthly Avg Balance'!V17)*Rate!H17/12)*'Monthly Avg Balance'!U17/SUM('Monthly Avg Balance'!T17:'Monthly Avg Balance'!V17))</x:f>
        <x:v>201.11730756143982</x:v>
      </x:c>
      <x:c r="V17" s="43" t="n">
        <x:f>IF(SUM('Monthly Avg Balance'!T17:'Monthly Avg Balance'!V17)=0,"",'Monthly Avg Balance'!V17*Rate!H17/12+('Net Interest Income'!H17-SUM('Monthly Avg Balance'!T17:'Monthly Avg Balance'!V17)*Rate!H17/12)*'Monthly Avg Balance'!V17/SUM('Monthly Avg Balance'!T17:'Monthly Avg Balance'!V17))</x:f>
        <x:v>202.48197678330388</x:v>
      </x:c>
      <x:c r="W17" s="43" t="n">
        <x:f>IF(SUM('Monthly Avg Balance'!W17:'Monthly Avg Balance'!Y17)=0,"",'Monthly Avg Balance'!W17*Rate!I17/12+('Net Interest Income'!I17-SUM('Monthly Avg Balance'!W17:'Monthly Avg Balance'!Y17)*Rate!I17/12)*'Monthly Avg Balance'!W17/SUM('Monthly Avg Balance'!W17:'Monthly Avg Balance'!Y17))</x:f>
        <x:v>185.7813086611968</x:v>
      </x:c>
      <x:c r="X17" s="43" t="n">
        <x:f>IF(SUM('Monthly Avg Balance'!W17:'Monthly Avg Balance'!Y17)=0,"",'Monthly Avg Balance'!X17*Rate!I17/12+('Net Interest Income'!I17-SUM('Monthly Avg Balance'!W17:'Monthly Avg Balance'!Y17)*Rate!I17/12)*'Monthly Avg Balance'!X17/SUM('Monthly Avg Balance'!W17:'Monthly Avg Balance'!Y17))</x:f>
        <x:v>177.57882413267882</x:v>
      </x:c>
      <x:c r="Y17" s="43" t="n">
        <x:f>IF(SUM('Monthly Avg Balance'!W17:'Monthly Avg Balance'!Y17)=0,"",'Monthly Avg Balance'!Y17*Rate!I17/12+('Net Interest Income'!I17-SUM('Monthly Avg Balance'!W17:'Monthly Avg Balance'!Y17)*Rate!I17/12)*'Monthly Avg Balance'!Y17/SUM('Monthly Avg Balance'!W17:'Monthly Avg Balance'!Y17))</x:f>
        <x:v>176.63986720612442</x:v>
      </x:c>
      <x:c r="Z17" s="43" t="n">
        <x:f>IF(SUM('Monthly Avg Balance'!Z17:'Monthly Avg Balance'!AB17)=0,"",'Monthly Avg Balance'!Z17*Rate!J17/12+('Net Interest Income'!J17-SUM('Monthly Avg Balance'!Z17:'Monthly Avg Balance'!AB17)*Rate!J17/12)*'Monthly Avg Balance'!Z17/SUM('Monthly Avg Balance'!Z17:'Monthly Avg Balance'!AB17))</x:f>
        <x:v>170.1457082311674</x:v>
      </x:c>
      <x:c r="AA17" s="43" t="n">
        <x:f>IF(SUM('Monthly Avg Balance'!Z17:'Monthly Avg Balance'!AB17)=0,"",'Monthly Avg Balance'!AA17*Rate!J17/12+('Net Interest Income'!J17-SUM('Monthly Avg Balance'!Z17:'Monthly Avg Balance'!AB17)*Rate!J17/12)*'Monthly Avg Balance'!AA17/SUM('Monthly Avg Balance'!Z17:'Monthly Avg Balance'!AB17))</x:f>
        <x:v>171.93264631156705</x:v>
      </x:c>
      <x:c r="AB17" s="43" t="n">
        <x:f>IF(SUM('Monthly Avg Balance'!Z17:'Monthly Avg Balance'!AB17)=0,"",'Monthly Avg Balance'!AB17*Rate!J17/12+('Net Interest Income'!J17-SUM('Monthly Avg Balance'!Z17:'Monthly Avg Balance'!AB17)*Rate!J17/12)*'Monthly Avg Balance'!AB17/SUM('Monthly Avg Balance'!Z17:'Monthly Avg Balance'!AB17))</x:f>
        <x:v>162.92164545726558</x:v>
      </x:c>
      <x:c r="AC17" s="43" t="n">
        <x:f>IF(SUM('Monthly Avg Balance'!AC17:'Monthly Avg Balance'!AE17)=0,"",'Monthly Avg Balance'!AC17*Rate!K17/12+('Net Interest Income'!K17-SUM('Monthly Avg Balance'!AC17:'Monthly Avg Balance'!AE17)*Rate!K17/12)*'Monthly Avg Balance'!AC17/SUM('Monthly Avg Balance'!AC17:'Monthly Avg Balance'!AE17))</x:f>
        <x:v>162.2240021728051</x:v>
      </x:c>
      <x:c r="AD17" s="43" t="n">
        <x:f>IF(SUM('Monthly Avg Balance'!AC17:'Monthly Avg Balance'!AE17)=0,"",'Monthly Avg Balance'!AD17*Rate!K17/12+('Net Interest Income'!K17-SUM('Monthly Avg Balance'!AC17:'Monthly Avg Balance'!AE17)*Rate!K17/12)*'Monthly Avg Balance'!AD17/SUM('Monthly Avg Balance'!AC17:'Monthly Avg Balance'!AE17))</x:f>
        <x:v>178.7110332847659</x:v>
      </x:c>
      <x:c r="AE17" s="43" t="n">
        <x:f>IF(SUM('Monthly Avg Balance'!AC17:'Monthly Avg Balance'!AE17)=0,"",'Monthly Avg Balance'!AE17*Rate!K17/12+('Net Interest Income'!K17-SUM('Monthly Avg Balance'!AC17:'Monthly Avg Balance'!AE17)*Rate!K17/12)*'Monthly Avg Balance'!AE17/SUM('Monthly Avg Balance'!AC17:'Monthly Avg Balance'!AE17))</x:f>
        <x:v>194.06496454242898</x:v>
      </x:c>
      <x:c r="AF17" s="104" t="n">
        <x:f>'Monthly Avg Balance'!AF17*'Monthly Rate'!AF17/12</x:f>
        <x:v>200.48232053381784</x:v>
      </x:c>
      <x:c r="AG17" s="104" t="n">
        <x:f>'Monthly Avg Balance'!AG17*'Monthly Rate'!AG17/12</x:f>
        <x:v>199.50598585994942</x:v>
      </x:c>
      <x:c r="AH17" s="104" t="n">
        <x:f>'Monthly Avg Balance'!AH17*'Monthly Rate'!AH17/12</x:f>
        <x:v>198.52965118608105</x:v>
      </x:c>
      <x:c r="AI17" s="104" t="n">
        <x:f>'Monthly Avg Balance'!AI17*'Monthly Rate'!AI17/12</x:f>
        <x:v>197.55331651221266</x:v>
      </x:c>
      <x:c r="AJ17" s="104" t="n">
        <x:f>'Monthly Avg Balance'!AJ17*'Monthly Rate'!AJ17/12</x:f>
        <x:v>196.5769818383443</x:v>
      </x:c>
      <x:c r="AK17" s="104" t="n">
        <x:f>'Monthly Avg Balance'!AK17*'Monthly Rate'!AK17/12</x:f>
        <x:v>195.60064716447593</x:v>
      </x:c>
      <x:c r="AL17" s="104" t="n">
        <x:f>'Monthly Avg Balance'!AL17*'Monthly Rate'!AL17/12</x:f>
        <x:v>194.6243124906075</x:v>
      </x:c>
      <x:c r="AM17" s="104" t="n">
        <x:f>'Monthly Avg Balance'!AM17*'Monthly Rate'!AM17/12</x:f>
        <x:v>193.64797781673914</x:v>
      </x:c>
      <x:c r="AN17" s="104" t="n">
        <x:f>'Monthly Avg Balance'!AN17*'Monthly Rate'!AN17/12</x:f>
        <x:v>192.67164314287075</x:v>
      </x:c>
      <x:c r="AO17" s="104" t="n">
        <x:f>'Monthly Avg Balance'!AO17*'Monthly Rate'!AO17/12</x:f>
        <x:v>191.69530846900238</x:v>
      </x:c>
      <x:c r="AP17" s="104" t="n">
        <x:f>'Monthly Avg Balance'!AP17*'Monthly Rate'!AP17/12</x:f>
        <x:v>190.71897379513402</x:v>
      </x:c>
      <x:c r="AQ17" s="104" t="n">
        <x:f>'Monthly Avg Balance'!AQ17*'Monthly Rate'!AQ17/12</x:f>
        <x:v>189.74263912126563</x:v>
      </x:c>
    </x:row>
    <x:row r="18">
      <x:c r="A18" s="20" t="str">
        <x:v>  Other borrowings</x:v>
      </x:c>
      <x:c r="B18" s="43" t="n">
        <x:f>IF(SUM('Monthly Avg Balance'!B18:'Monthly Avg Balance'!D18)=0,"",'Monthly Avg Balance'!B18*Rate!B18/12+('Net Interest Income'!B18-SUM('Monthly Avg Balance'!B18:'Monthly Avg Balance'!D18)*Rate!B18/12)*'Monthly Avg Balance'!B18/SUM('Monthly Avg Balance'!B18:'Monthly Avg Balance'!D18))</x:f>
        <x:v>4.000000000000001</x:v>
      </x:c>
      <x:c r="C18" s="43" t="n">
        <x:f>IF(SUM('Monthly Avg Balance'!B18:'Monthly Avg Balance'!D18)=0,"",'Monthly Avg Balance'!C18*Rate!B18/12+('Net Interest Income'!B18-SUM('Monthly Avg Balance'!B18:'Monthly Avg Balance'!D18)*Rate!B18/12)*'Monthly Avg Balance'!C18/SUM('Monthly Avg Balance'!B18:'Monthly Avg Balance'!D18))</x:f>
        <x:v>4.000000000000001</x:v>
      </x:c>
      <x:c r="D18" s="43" t="n">
        <x:f>IF(SUM('Monthly Avg Balance'!B18:'Monthly Avg Balance'!D18)=0,"",'Monthly Avg Balance'!D18*Rate!B18/12+('Net Interest Income'!B18-SUM('Monthly Avg Balance'!B18:'Monthly Avg Balance'!D18)*Rate!B18/12)*'Monthly Avg Balance'!D18/SUM('Monthly Avg Balance'!B18:'Monthly Avg Balance'!D18))</x:f>
        <x:v>4.000000000000001</x:v>
      </x:c>
      <x:c r="E18" s="43" t="n">
        <x:f>IF(SUM('Monthly Avg Balance'!E18:'Monthly Avg Balance'!G18)=0,"",'Monthly Avg Balance'!E18*Rate!C18/12+('Net Interest Income'!C18-SUM('Monthly Avg Balance'!E18:'Monthly Avg Balance'!G18)*Rate!C18/12)*'Monthly Avg Balance'!E18/SUM('Monthly Avg Balance'!E18:'Monthly Avg Balance'!G18))</x:f>
        <x:v>3.9073997519636205</x:v>
      </x:c>
      <x:c r="F18" s="43" t="n">
        <x:f>IF(SUM('Monthly Avg Balance'!E18:'Monthly Avg Balance'!G18)=0,"",'Monthly Avg Balance'!F18*Rate!C18/12+('Net Interest Income'!C18-SUM('Monthly Avg Balance'!E18:'Monthly Avg Balance'!G18)*Rate!C18/12)*'Monthly Avg Balance'!F18/SUM('Monthly Avg Balance'!E18:'Monthly Avg Balance'!G18))</x:f>
        <x:v>3.9999999999999996</x:v>
      </x:c>
      <x:c r="G18" s="43" t="n">
        <x:f>IF(SUM('Monthly Avg Balance'!E18:'Monthly Avg Balance'!G18)=0,"",'Monthly Avg Balance'!G18*Rate!C18/12+('Net Interest Income'!C18-SUM('Monthly Avg Balance'!E18:'Monthly Avg Balance'!G18)*Rate!C18/12)*'Monthly Avg Balance'!G18/SUM('Monthly Avg Balance'!E18:'Monthly Avg Balance'!G18))</x:f>
        <x:v>4.092600248036379</x:v>
      </x:c>
      <x:c r="H18" s="43" t="n">
        <x:f>IF(SUM('Monthly Avg Balance'!H18:'Monthly Avg Balance'!J18)=0,"",'Monthly Avg Balance'!H18*Rate!D18/12+('Net Interest Income'!D18-SUM('Monthly Avg Balance'!H18:'Monthly Avg Balance'!J18)*Rate!D18/12)*'Monthly Avg Balance'!H18/SUM('Monthly Avg Balance'!H18:'Monthly Avg Balance'!J18))</x:f>
        <x:v>3.696320258794986</x:v>
      </x:c>
      <x:c r="I18" s="43" t="n">
        <x:f>IF(SUM('Monthly Avg Balance'!H18:'Monthly Avg Balance'!J18)=0,"",'Monthly Avg Balance'!I18*Rate!D18/12+('Net Interest Income'!D18-SUM('Monthly Avg Balance'!H18:'Monthly Avg Balance'!J18)*Rate!D18/12)*'Monthly Avg Balance'!I18/SUM('Monthly Avg Balance'!H18:'Monthly Avg Balance'!J18))</x:f>
        <x:v>3.6666666666666674</x:v>
      </x:c>
      <x:c r="J18" s="43" t="n">
        <x:f>IF(SUM('Monthly Avg Balance'!H18:'Monthly Avg Balance'!J18)=0,"",'Monthly Avg Balance'!J18*Rate!D18/12+('Net Interest Income'!D18-SUM('Monthly Avg Balance'!H18:'Monthly Avg Balance'!J18)*Rate!D18/12)*'Monthly Avg Balance'!J18/SUM('Monthly Avg Balance'!H18:'Monthly Avg Balance'!J18))</x:f>
        <x:v>3.6370130745383475</x:v>
      </x:c>
      <x:c r="K18" s="43" t="n">
        <x:f>IF(SUM('Monthly Avg Balance'!K18:'Monthly Avg Balance'!M18)=0,"",'Monthly Avg Balance'!K18*Rate!E18/12+('Net Interest Income'!E18-SUM('Monthly Avg Balance'!K18:'Monthly Avg Balance'!M18)*Rate!E18/12)*'Monthly Avg Balance'!K18/SUM('Monthly Avg Balance'!K18:'Monthly Avg Balance'!M18))</x:f>
        <x:v>3.7715736040609134</x:v>
      </x:c>
      <x:c r="L18" s="43" t="n">
        <x:f>IF(SUM('Monthly Avg Balance'!K18:'Monthly Avg Balance'!M18)=0,"",'Monthly Avg Balance'!L18*Rate!E18/12+('Net Interest Income'!E18-SUM('Monthly Avg Balance'!K18:'Monthly Avg Balance'!M18)*Rate!E18/12)*'Monthly Avg Balance'!L18/SUM('Monthly Avg Balance'!K18:'Monthly Avg Balance'!M18))</x:f>
        <x:v>4.0456852791878175</x:v>
      </x:c>
      <x:c r="M18" s="43" t="n">
        <x:f>IF(SUM('Monthly Avg Balance'!K18:'Monthly Avg Balance'!M18)=0,"",'Monthly Avg Balance'!M18*Rate!E18/12+('Net Interest Income'!E18-SUM('Monthly Avg Balance'!K18:'Monthly Avg Balance'!M18)*Rate!E18/12)*'Monthly Avg Balance'!M18/SUM('Monthly Avg Balance'!K18:'Monthly Avg Balance'!M18))</x:f>
        <x:v>2.182741116751269</x:v>
      </x:c>
      <x:c r="N18" s="43" t="n">
        <x:f>IF(SUM('Monthly Avg Balance'!N18:'Monthly Avg Balance'!P18)=0,"",'Monthly Avg Balance'!N18*Rate!F18/12+('Net Interest Income'!F18-SUM('Monthly Avg Balance'!N18:'Monthly Avg Balance'!P18)*Rate!F18/12)*'Monthly Avg Balance'!N18/SUM('Monthly Avg Balance'!N18:'Monthly Avg Balance'!P18))</x:f>
        <x:v>2.6521568407471814</x:v>
      </x:c>
      <x:c r="O18" s="43" t="n">
        <x:f>IF(SUM('Monthly Avg Balance'!N18:'Monthly Avg Balance'!P18)=0,"",'Monthly Avg Balance'!O18*Rate!F18/12+('Net Interest Income'!F18-SUM('Monthly Avg Balance'!N18:'Monthly Avg Balance'!P18)*Rate!F18/12)*'Monthly Avg Balance'!O18/SUM('Monthly Avg Balance'!N18:'Monthly Avg Balance'!P18))</x:f>
        <x:v>4.675492230885735</x:v>
      </x:c>
      <x:c r="P18" s="43" t="n">
        <x:f>IF(SUM('Monthly Avg Balance'!N18:'Monthly Avg Balance'!P18)=0,"",'Monthly Avg Balance'!P18*Rate!F18/12+('Net Interest Income'!F18-SUM('Monthly Avg Balance'!N18:'Monthly Avg Balance'!P18)*Rate!F18/12)*'Monthly Avg Balance'!P18/SUM('Monthly Avg Balance'!N18:'Monthly Avg Balance'!P18))</x:f>
        <x:v>2.672350928367084</x:v>
      </x:c>
      <x:c r="Q18" s="43" t="n">
        <x:f>IF(SUM('Monthly Avg Balance'!Q18:'Monthly Avg Balance'!S18)=0,"",'Monthly Avg Balance'!Q18*Rate!G18/12+('Net Interest Income'!G18-SUM('Monthly Avg Balance'!Q18:'Monthly Avg Balance'!S18)*Rate!G18/12)*'Monthly Avg Balance'!Q18/SUM('Monthly Avg Balance'!Q18:'Monthly Avg Balance'!S18))</x:f>
        <x:v>2.887961178905302</x:v>
      </x:c>
      <x:c r="R18" s="43" t="n">
        <x:f>IF(SUM('Monthly Avg Balance'!Q18:'Monthly Avg Balance'!S18)=0,"",'Monthly Avg Balance'!R18*Rate!G18/12+('Net Interest Income'!G18-SUM('Monthly Avg Balance'!Q18:'Monthly Avg Balance'!S18)*Rate!G18/12)*'Monthly Avg Balance'!R18/SUM('Monthly Avg Balance'!Q18:'Monthly Avg Balance'!S18))</x:f>
        <x:v>5.107899807321773</x:v>
      </x:c>
      <x:c r="S18" s="43" t="n">
        <x:f>IF(SUM('Monthly Avg Balance'!Q18:'Monthly Avg Balance'!S18)=0,"",'Monthly Avg Balance'!S18*Rate!G18/12+('Net Interest Income'!G18-SUM('Monthly Avg Balance'!Q18:'Monthly Avg Balance'!S18)*Rate!G18/12)*'Monthly Avg Balance'!S18/SUM('Monthly Avg Balance'!Q18:'Monthly Avg Balance'!S18))</x:f>
        <x:v>3.0041390137729254</x:v>
      </x:c>
      <x:c r="T18" s="43" t="n">
        <x:f>IF(SUM('Monthly Avg Balance'!T18:'Monthly Avg Balance'!V18)=0,"",'Monthly Avg Balance'!T18*Rate!H18/12+('Net Interest Income'!H18-SUM('Monthly Avg Balance'!T18:'Monthly Avg Balance'!V18)*Rate!H18/12)*'Monthly Avg Balance'!T18/SUM('Monthly Avg Balance'!T18:'Monthly Avg Balance'!V18))</x:f>
        <x:v>2.478012115772941</x:v>
      </x:c>
      <x:c r="U18" s="43" t="n">
        <x:f>IF(SUM('Monthly Avg Balance'!T18:'Monthly Avg Balance'!V18)=0,"",'Monthly Avg Balance'!U18*Rate!H18/12+('Net Interest Income'!H18-SUM('Monthly Avg Balance'!T18:'Monthly Avg Balance'!V18)*Rate!H18/12)*'Monthly Avg Balance'!U18/SUM('Monthly Avg Balance'!T18:'Monthly Avg Balance'!V18))</x:f>
        <x:v>4.175903073816468</x:v>
      </x:c>
      <x:c r="V18" s="43" t="n">
        <x:f>IF(SUM('Monthly Avg Balance'!T18:'Monthly Avg Balance'!V18)=0,"",'Monthly Avg Balance'!V18*Rate!H18/12+('Net Interest Income'!H18-SUM('Monthly Avg Balance'!T18:'Monthly Avg Balance'!V18)*Rate!H18/12)*'Monthly Avg Balance'!V18/SUM('Monthly Avg Balance'!T18:'Monthly Avg Balance'!V18))</x:f>
        <x:v>2.3460848104105896</x:v>
      </x:c>
      <x:c r="W18" s="43" t="n">
        <x:f>IF(SUM('Monthly Avg Balance'!W18:'Monthly Avg Balance'!Y18)=0,"",'Monthly Avg Balance'!W18*Rate!I18/12+('Net Interest Income'!I18-SUM('Monthly Avg Balance'!W18:'Monthly Avg Balance'!Y18)*Rate!I18/12)*'Monthly Avg Balance'!W18/SUM('Monthly Avg Balance'!W18:'Monthly Avg Balance'!Y18))</x:f>
        <x:v>3.165473914231085</x:v>
      </x:c>
      <x:c r="X18" s="43" t="n">
        <x:f>IF(SUM('Monthly Avg Balance'!W18:'Monthly Avg Balance'!Y18)=0,"",'Monthly Avg Balance'!X18*Rate!I18/12+('Net Interest Income'!I18-SUM('Monthly Avg Balance'!W18:'Monthly Avg Balance'!Y18)*Rate!I18/12)*'Monthly Avg Balance'!X18/SUM('Monthly Avg Balance'!W18:'Monthly Avg Balance'!Y18))</x:f>
        <x:v>5.627970499863426</x:v>
      </x:c>
      <x:c r="Y18" s="43" t="n">
        <x:f>IF(SUM('Monthly Avg Balance'!W18:'Monthly Avg Balance'!Y18)=0,"",'Monthly Avg Balance'!Y18*Rate!I18/12+('Net Interest Income'!I18-SUM('Monthly Avg Balance'!W18:'Monthly Avg Balance'!Y18)*Rate!I18/12)*'Monthly Avg Balance'!Y18/SUM('Monthly Avg Balance'!W18:'Monthly Avg Balance'!Y18))</x:f>
        <x:v>3.2065555859054906</x:v>
      </x:c>
      <x:c r="Z18" s="43" t="n">
        <x:f>IF(SUM('Monthly Avg Balance'!Z18:'Monthly Avg Balance'!AB18)=0,"",'Monthly Avg Balance'!Z18*Rate!J18/12+('Net Interest Income'!J18-SUM('Monthly Avg Balance'!Z18:'Monthly Avg Balance'!AB18)*Rate!J18/12)*'Monthly Avg Balance'!Z18/SUM('Monthly Avg Balance'!Z18:'Monthly Avg Balance'!AB18))</x:f>
        <x:v>2.4021494193101054</x:v>
      </x:c>
      <x:c r="AA18" s="43" t="n">
        <x:f>IF(SUM('Monthly Avg Balance'!Z18:'Monthly Avg Balance'!AB18)=0,"",'Monthly Avg Balance'!AA18*Rate!J18/12+('Net Interest Income'!J18-SUM('Monthly Avg Balance'!Z18:'Monthly Avg Balance'!AB18)*Rate!J18/12)*'Monthly Avg Balance'!AA18/SUM('Monthly Avg Balance'!Z18:'Monthly Avg Balance'!AB18))</x:f>
        <x:v>4.1908476339053555</x:v>
      </x:c>
      <x:c r="AB18" s="43" t="n">
        <x:f>IF(SUM('Monthly Avg Balance'!Z18:'Monthly Avg Balance'!AB18)=0,"",'Monthly Avg Balance'!AB18*Rate!J18/12+('Net Interest Income'!J18-SUM('Monthly Avg Balance'!Z18:'Monthly Avg Balance'!AB18)*Rate!J18/12)*'Monthly Avg Balance'!AB18/SUM('Monthly Avg Balance'!Z18:'Monthly Avg Balance'!AB18))</x:f>
        <x:v>2.4070029467845377</x:v>
      </x:c>
      <x:c r="AC18" s="43" t="n">
        <x:f>IF(SUM('Monthly Avg Balance'!AC18:'Monthly Avg Balance'!AE18)=0,"",'Monthly Avg Balance'!AC18*Rate!K18/12+('Net Interest Income'!K18-SUM('Monthly Avg Balance'!AC18:'Monthly Avg Balance'!AE18)*Rate!K18/12)*'Monthly Avg Balance'!AC18/SUM('Monthly Avg Balance'!AC18:'Monthly Avg Balance'!AE18))</x:f>
        <x:v>3.5037641551211482</x:v>
      </x:c>
      <x:c r="AD18" s="43" t="n">
        <x:f>IF(SUM('Monthly Avg Balance'!AC18:'Monthly Avg Balance'!AE18)=0,"",'Monthly Avg Balance'!AD18*Rate!K18/12+('Net Interest Income'!K18-SUM('Monthly Avg Balance'!AC18:'Monthly Avg Balance'!AE18)*Rate!K18/12)*'Monthly Avg Balance'!AD18/SUM('Monthly Avg Balance'!AC18:'Monthly Avg Balance'!AE18))</x:f>
        <x:v>6.368950464983866</x:v>
      </x:c>
      <x:c r="AE18" s="43" t="n">
        <x:f>IF(SUM('Monthly Avg Balance'!AC18:'Monthly Avg Balance'!AE18)=0,"",'Monthly Avg Balance'!AE18*Rate!K18/12+('Net Interest Income'!K18-SUM('Monthly Avg Balance'!AC18:'Monthly Avg Balance'!AE18)*Rate!K18/12)*'Monthly Avg Balance'!AE18/SUM('Monthly Avg Balance'!AC18:'Monthly Avg Balance'!AE18))</x:f>
        <x:v>4.127285379894983</x:v>
      </x:c>
      <x:c r="AF18" s="104" t="n">
        <x:f>'Monthly Avg Balance'!AF18*'Monthly Rate'!AF18/12</x:f>
        <x:v>1.70261498861264</x:v>
      </x:c>
      <x:c r="AG18" s="104" t="n">
        <x:f>'Monthly Avg Balance'!AG18*'Monthly Rate'!AG18/12</x:f>
        <x:v>1.6754899886126393</x:v>
      </x:c>
      <x:c r="AH18" s="104" t="n">
        <x:f>'Monthly Avg Balance'!AH18*'Monthly Rate'!AH18/12</x:f>
        <x:v>1.648364988612639</x:v>
      </x:c>
      <x:c r="AI18" s="104" t="n">
        <x:f>'Monthly Avg Balance'!AI18*'Monthly Rate'!AI18/12</x:f>
        <x:v>1.6212399886126383</x:v>
      </x:c>
      <x:c r="AJ18" s="104" t="n">
        <x:f>'Monthly Avg Balance'!AJ18*'Monthly Rate'!AJ18/12</x:f>
        <x:v>1.5941149886126382</x:v>
      </x:c>
      <x:c r="AK18" s="104" t="n">
        <x:f>'Monthly Avg Balance'!AK18*'Monthly Rate'!AK18/12</x:f>
        <x:v>1.5669899886126375</x:v>
      </x:c>
      <x:c r="AL18" s="104" t="n">
        <x:f>'Monthly Avg Balance'!AL18*'Monthly Rate'!AL18/12</x:f>
        <x:v>1.5398649886126374</x:v>
      </x:c>
      <x:c r="AM18" s="104" t="n">
        <x:f>'Monthly Avg Balance'!AM18*'Monthly Rate'!AM18/12</x:f>
        <x:v>1.5127399886126376</x:v>
      </x:c>
      <x:c r="AN18" s="104" t="n">
        <x:f>'Monthly Avg Balance'!AN18*'Monthly Rate'!AN18/12</x:f>
        <x:v>1.4856149886126369</x:v>
      </x:c>
      <x:c r="AO18" s="104" t="n">
        <x:f>'Monthly Avg Balance'!AO18*'Monthly Rate'!AO18/12</x:f>
        <x:v>1.4584899886126366</x:v>
      </x:c>
      <x:c r="AP18" s="104" t="n">
        <x:f>'Monthly Avg Balance'!AP18*'Monthly Rate'!AP18/12</x:f>
        <x:v>1.4313649886126358</x:v>
      </x:c>
      <x:c r="AQ18" s="104" t="n">
        <x:f>'Monthly Avg Balance'!AQ18*'Monthly Rate'!AQ18/12</x:f>
        <x:v>1.4042399886126358</x:v>
      </x:c>
    </x:row>
    <x:row r="19">
      <x:c r="A19" s="26" t="str">
        <x:v>  Total interest-bearing liabilities</x:v>
      </x:c>
      <x:c r="B19" s="46" t="n">
        <x:f>SUM(B15:B18)</x:f>
        <x:v>856</x:v>
      </x:c>
      <x:c r="C19" s="46" t="n">
        <x:f>SUM(C15:C18)</x:f>
        <x:v>856</x:v>
      </x:c>
      <x:c r="D19" s="46" t="n">
        <x:f>SUM(D15:D18)</x:f>
        <x:v>856</x:v>
      </x:c>
      <x:c r="E19" s="46" t="n">
        <x:f>SUM(E15:E18)</x:f>
        <x:v>1008.8031322046791</x:v>
      </x:c>
      <x:c r="F19" s="46" t="n">
        <x:f>SUM(F15:F18)</x:f>
        <x:v>1017.6666666666666</x:v>
      </x:c>
      <x:c r="G19" s="46" t="n">
        <x:f>SUM(G15:G18)</x:f>
        <x:v>1026.530201128654</x:v>
      </x:c>
      <x:c r="H19" s="46" t="n">
        <x:f>SUM(H15:H18)</x:f>
        <x:v>1149.5156877718077</x:v>
      </x:c>
      <x:c r="I19" s="46" t="n">
        <x:f>SUM(I15:I18)</x:f>
        <x:v>1150.0000000000002</x:v>
      </x:c>
      <x:c r="J19" s="46" t="n">
        <x:f>SUM(J15:J18)</x:f>
        <x:v>1150.484312228192</x:v>
      </x:c>
      <x:c r="K19" s="46" t="n">
        <x:f>SUM(K15:K18)</x:f>
        <x:v>1203.5144796206014</x:v>
      </x:c>
      <x:c r="L19" s="46" t="n">
        <x:f>SUM(L15:L18)</x:f>
        <x:v>1211.871298187191</x:v>
      </x:c>
      <x:c r="M19" s="46" t="n">
        <x:f>SUM(M15:M18)</x:f>
        <x:v>1210.6142221922075</x:v>
      </x:c>
      <x:c r="N19" s="46" t="n">
        <x:f>SUM(N15:N18)</x:f>
        <x:v>1227.593437597018</x:v>
      </x:c>
      <x:c r="O19" s="46" t="n">
        <x:f>SUM(O15:O18)</x:f>
        <x:v>1226.1508454963657</x:v>
      </x:c>
      <x:c r="P19" s="46" t="n">
        <x:f>SUM(P15:P18)</x:f>
        <x:v>1235.2557169066158</x:v>
      </x:c>
      <x:c r="Q19" s="46" t="n">
        <x:f>SUM(Q15:Q18)</x:f>
        <x:v>1249.401907076559</x:v>
      </x:c>
      <x:c r="R19" s="46" t="n">
        <x:f>SUM(R15:R18)</x:f>
        <x:v>1243.0691826814632</x:v>
      </x:c>
      <x:c r="S19" s="46" t="n">
        <x:f>SUM(S15:S18)</x:f>
        <x:v>1241.5289102419774</x:v>
      </x:c>
      <x:c r="T19" s="46" t="n">
        <x:f>SUM(T15:T18)</x:f>
        <x:v>1255.7707208150655</x:v>
      </x:c>
      <x:c r="U19" s="46" t="n">
        <x:f>SUM(U15:U18)</x:f>
        <x:v>1259.7555836978206</x:v>
      </x:c>
      <x:c r="V19" s="46" t="n">
        <x:f>SUM(V15:V18)</x:f>
        <x:v>1268.4736954871141</x:v>
      </x:c>
      <x:c r="W19" s="46" t="n">
        <x:f>SUM(W15:W18)</x:f>
        <x:v>1205.6549008777395</x:v>
      </x:c>
      <x:c r="X19" s="46" t="n">
        <x:f>SUM(X15:X18)</x:f>
        <x:v>1203.486491907925</x:v>
      </x:c>
      <x:c r="Y19" s="46" t="n">
        <x:f>SUM(Y15:Y18)</x:f>
        <x:v>1209.8586072143355</x:v>
      </x:c>
      <x:c r="Z19" s="46" t="n">
        <x:f>SUM(Z15:Z18)</x:f>
        <x:v>1135.7450174461653</x:v>
      </x:c>
      <x:c r="AA19" s="46" t="n">
        <x:f>SUM(AA15:AA18)</x:f>
        <x:v>1138.0746557753932</x:v>
      </x:c>
      <x:c r="AB19" s="46" t="n">
        <x:f>SUM(AB15:AB18)</x:f>
        <x:v>1131.1803267784412</x:v>
      </x:c>
      <x:c r="AC19" s="46" t="n">
        <x:f>SUM(AC15:AC18)</x:f>
        <x:v>1172.6943469846515</x:v>
      </x:c>
      <x:c r="AD19" s="46" t="n">
        <x:f>SUM(AD15:AD18)</x:f>
        <x:v>1271.3932041369671</x:v>
      </x:c>
      <x:c r="AE19" s="46" t="n">
        <x:f>SUM(AE15:AE18)</x:f>
        <x:v>1388.9124488783818</x:v>
      </x:c>
      <x:c r="AF19" s="108" t="n">
        <x:f>SUM(AF15:AF18)</x:f>
        <x:v>1443.8754962606843</x:v>
      </x:c>
      <x:c r="AG19" s="108" t="n">
        <x:f>SUM(AG15:AG18)</x:f>
        <x:v>1435.3216688655514</x:v>
      </x:c>
      <x:c r="AH19" s="108" t="n">
        <x:f>SUM(AH15:AH18)</x:f>
        <x:v>1426.772961422216</x:v>
      </x:c>
      <x:c r="AI19" s="108" t="n">
        <x:f>SUM(AI15:AI18)</x:f>
        <x:v>1418.2293219219255</x:v>
      </x:c>
      <x:c r="AJ19" s="108" t="n">
        <x:f>SUM(AJ15:AJ18)</x:f>
        <x:v>1409.6906986896765</x:v>
      </x:c>
      <x:c r="AK19" s="108" t="n">
        <x:f>SUM(AK15:AK18)</x:f>
        <x:v>1401.1570403821793</x:v>
      </x:c>
      <x:c r="AL19" s="108" t="n">
        <x:f>SUM(AL15:AL18)</x:f>
        <x:v>1392.62829598583</x:v>
      </x:c>
      <x:c r="AM19" s="108" t="n">
        <x:f>SUM(AM15:AM18)</x:f>
        <x:v>1384.104414814699</x:v>
      </x:c>
      <x:c r="AN19" s="108" t="n">
        <x:f>SUM(AN15:AN18)</x:f>
        <x:v>1375.58534650853</x:v>
      </x:c>
      <x:c r="AO19" s="108" t="n">
        <x:f>SUM(AO15:AO18)</x:f>
        <x:v>1367.0710410307483</x:v>
      </x:c>
      <x:c r="AP19" s="108" t="n">
        <x:f>SUM(AP15:AP18)</x:f>
        <x:v>1358.5614486664854</x:v>
      </x:c>
      <x:c r="AQ19" s="108" t="n">
        <x:f>SUM(AQ15:AQ18)</x:f>
        <x:v>1350.0565200206117</x:v>
      </x:c>
    </x:row>
    <x:row r="20">
      <x:c r="A20" s="20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  <x:c r="AA20" s="42"/>
      <x:c r="AB20" s="42"/>
      <x:c r="AC20" s="42"/>
      <x:c r="AD20" s="42"/>
      <x:c r="AE20" s="42"/>
      <x:c r="AF20" s="104"/>
      <x:c r="AG20" s="104"/>
      <x:c r="AH20" s="104"/>
      <x:c r="AI20" s="104"/>
      <x:c r="AJ20" s="104"/>
      <x:c r="AK20" s="104"/>
      <x:c r="AL20" s="104"/>
      <x:c r="AM20" s="104"/>
      <x:c r="AN20" s="104"/>
      <x:c r="AO20" s="104"/>
      <x:c r="AP20" s="104"/>
      <x:c r="AQ20" s="104"/>
    </x:row>
    <x:row r="21">
      <x:c r="A21" s="26" t="str">
        <x:v>NET INTEREST INCOME</x:v>
      </x:c>
      <x:c r="B21" s="46" t="n">
        <x:f>B12-B19</x:f>
        <x:v>2377.931780054214</x:v>
      </x:c>
      <x:c r="C21" s="46" t="n">
        <x:f>C12-C19</x:f>
        <x:v>2390.2864835461205</x:v>
      </x:c>
      <x:c r="D21" s="46" t="n">
        <x:f>D12-D19</x:f>
        <x:v>2417.781736399665</x:v>
      </x:c>
      <x:c r="E21" s="46" t="n">
        <x:f>E12-E19</x:f>
        <x:v>2380.445742814786</x:v>
      </x:c>
      <x:c r="F21" s="46" t="n">
        <x:f>F12-F19</x:f>
        <x:v>2354.8691887286886</x:v>
      </x:c>
      <x:c r="G21" s="46" t="n">
        <x:f>G12-G19</x:f>
        <x:v>2377.6850684565256</x:v>
      </x:c>
      <x:c r="H21" s="46" t="n">
        <x:f>H12-H19</x:f>
        <x:v>2469.4085252865066</x:v>
      </x:c>
      <x:c r="I21" s="46" t="n">
        <x:f>I12-I19</x:f>
        <x:v>2470.087743955027</x:v>
      </x:c>
      <x:c r="J21" s="46" t="n">
        <x:f>J12-J19</x:f>
        <x:v>2483.503730758469</x:v>
      </x:c>
      <x:c r="K21" s="46" t="n">
        <x:f>K12-K19</x:f>
        <x:v>2499.465415250896</x:v>
      </x:c>
      <x:c r="L21" s="46" t="n">
        <x:f>L12-L19</x:f>
        <x:v>2499.8990985870832</x:v>
      </x:c>
      <x:c r="M21" s="46" t="n">
        <x:f>M12-M19</x:f>
        <x:v>2519.6354861620202</x:v>
      </x:c>
      <x:c r="N21" s="46" t="n">
        <x:f>N12-N19</x:f>
        <x:v>2511.353261580425</x:v>
      </x:c>
      <x:c r="O21" s="46" t="n">
        <x:f>O12-O19</x:f>
        <x:v>2488.210852694977</x:v>
      </x:c>
      <x:c r="P21" s="46" t="n">
        <x:f>P12-P19</x:f>
        <x:v>2488.4358857245975</x:v>
      </x:c>
      <x:c r="Q21" s="46" t="n">
        <x:f>Q12-Q19</x:f>
        <x:v>2504.710317712687</x:v>
      </x:c>
      <x:c r="R21" s="46" t="n">
        <x:f>R12-R19</x:f>
        <x:v>2516.778138045536</x:v>
      </x:c>
      <x:c r="S21" s="46" t="n">
        <x:f>S12-S19</x:f>
        <x:v>2524.5115442417764</x:v>
      </x:c>
      <x:c r="T21" s="46" t="n">
        <x:f>T12-T19</x:f>
        <x:v>2682.667939056316</x:v>
      </x:c>
      <x:c r="U21" s="46" t="n">
        <x:f>U12-U19</x:f>
        <x:v>2695.298887047463</x:v>
      </x:c>
      <x:c r="V21" s="46" t="n">
        <x:f>V12-V19</x:f>
        <x:v>2698.033173896221</x:v>
      </x:c>
      <x:c r="W21" s="46" t="n">
        <x:f>W12-W19</x:f>
        <x:v>2680.099376473405</x:v>
      </x:c>
      <x:c r="X21" s="46" t="n">
        <x:f>X12-X19</x:f>
        <x:v>2704.058230565169</x:v>
      </x:c>
      <x:c r="Y21" s="46" t="n">
        <x:f>Y12-Y19</x:f>
        <x:v>2713.8423929614264</x:v>
      </x:c>
      <x:c r="Z21" s="46" t="n">
        <x:f>Z12-Z19</x:f>
        <x:v>2678.6668482521754</x:v>
      </x:c>
      <x:c r="AA21" s="46" t="n">
        <x:f>AA12-AA19</x:f>
        <x:v>2665.8712011407865</x:v>
      </x:c>
      <x:c r="AB21" s="46" t="n">
        <x:f>AB12-AB19</x:f>
        <x:v>2668.4619506070394</x:v>
      </x:c>
      <x:c r="AC21" s="46" t="n">
        <x:f>AC12-AC19</x:f>
        <x:v>3000.8106451028257</x:v>
      </x:c>
      <x:c r="AD21" s="46" t="n">
        <x:f>AD12-AD19</x:f>
        <x:v>3325.067649242873</x:v>
      </x:c>
      <x:c r="AE21" s="46" t="n">
        <x:f>AE12-AE19</x:f>
        <x:v>3669.121705654303</x:v>
      </x:c>
      <x:c r="AF21" s="108" t="n">
        <x:f>AF12-AF19</x:f>
        <x:v>3905.5042610967557</x:v>
      </x:c>
      <x:c r="AG21" s="108" t="n">
        <x:f>AG12-AG19</x:f>
        <x:v>3889.853437599105</x:v>
      </x:c>
      <x:c r="AH21" s="108" t="n">
        <x:f>AH12-AH19</x:f>
        <x:v>3891.9422555656683</x:v>
      </x:c>
      <x:c r="AI21" s="108" t="n">
        <x:f>AI12-AI19</x:f>
        <x:v>3894.024883121847</x:v>
      </x:c>
      <x:c r="AJ21" s="108" t="n">
        <x:f>AJ12-AJ19</x:f>
        <x:v>3878.3433955782493</x:v>
      </x:c>
      <x:c r="AK21" s="108" t="n">
        <x:f>AK12-AK19</x:f>
        <x:v>3880.4107738866946</x:v>
      </x:c>
      <x:c r="AL21" s="108" t="n">
        <x:f>AL12-AL19</x:f>
        <x:v>3882.4721158166503</x:v>
      </x:c>
      <x:c r="AM21" s="108" t="n">
        <x:f>AM12-AM19</x:f>
        <x:v>3866.7604263288704</x:v>
      </x:c>
      <x:c r="AN21" s="108" t="n">
        <x:f>AN12-AN19</x:f>
        <x:v>3868.806824113707</x:v>
      </x:c>
      <x:c r="AO21" s="108" t="n">
        <x:f>AO12-AO19</x:f>
        <x:v>3870.847336602813</x:v>
      </x:c>
      <x:c r="AP21" s="108" t="n">
        <x:f>AP12-AP19</x:f>
        <x:v>3855.105898425103</x:v>
      </x:c>
      <x:c r="AQ21" s="108" t="n">
        <x:f>AQ12-AQ19</x:f>
        <x:v>3857.1317660273608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RowHeight="15"/>
  <x:cols>
    <x:col min="1" max="1" width="4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</x:cols>
  <x:sheetData>
    <x:row r="1">
      <x:c r="A1" s="28" t="str">
        <x:v>Capital One - Imputed Monthly Yield / Rate by line item (annualized)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  <x:c r="AA1" s="20"/>
      <x:c r="AB1" s="20"/>
      <x:c r="AC1" s="20"/>
      <x:c r="AD1" s="20"/>
      <x:c r="AE1" s="20"/>
      <x:c r="AF1" s="20"/>
      <x:c r="AG1" s="20"/>
      <x:c r="AH1" s="20"/>
      <x:c r="AI1" s="20"/>
      <x:c r="AJ1" s="20"/>
      <x:c r="AK1" s="20"/>
      <x:c r="AL1" s="20"/>
      <x:c r="AM1" s="20"/>
      <x:c r="AN1" s="20"/>
      <x:c r="AO1" s="20"/>
      <x:c r="AP1" s="20"/>
      <x:c r="AQ1" s="20"/>
    </x:row>
    <x:row r="2" ht="31" customHeight="1">
      <x:c r="A2" s="30" t="str">
        <x:v>Actual yields through Jun-25. Forecast yields use the Macro Drivers benchmark path plus June 2025 product spreads or betas.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0"/>
      <x:c r="AB2" s="30"/>
      <x:c r="AC2" s="30"/>
      <x:c r="AD2" s="30"/>
      <x:c r="AE2" s="30"/>
      <x:c r="AF2" s="30"/>
      <x:c r="AG2" s="30"/>
      <x:c r="AH2" s="30"/>
      <x:c r="AI2" s="30"/>
      <x:c r="AJ2" s="30"/>
      <x:c r="AK2" s="30"/>
      <x:c r="AL2" s="30"/>
      <x:c r="AM2" s="30"/>
      <x:c r="AN2" s="30"/>
      <x:c r="AO2" s="30"/>
      <x:c r="AP2" s="30"/>
      <x:c r="AQ2" s="3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</x:row>
    <x:row r="4">
      <x:c r="A4" s="26" t="str">
        <x:v>Line item (as disclosed)</x:v>
      </x:c>
      <x:c r="B4" s="31" t="n">
        <x:v>44957</x:v>
      </x:c>
      <x:c r="C4" s="31" t="n">
        <x:v>44985</x:v>
      </x:c>
      <x:c r="D4" s="31" t="n">
        <x:v>45016</x:v>
      </x:c>
      <x:c r="E4" s="31" t="n">
        <x:v>45046</x:v>
      </x:c>
      <x:c r="F4" s="31" t="n">
        <x:v>45077</x:v>
      </x:c>
      <x:c r="G4" s="31" t="n">
        <x:v>45107</x:v>
      </x:c>
      <x:c r="H4" s="31" t="n">
        <x:v>45138</x:v>
      </x:c>
      <x:c r="I4" s="31" t="n">
        <x:v>45169</x:v>
      </x:c>
      <x:c r="J4" s="31" t="n">
        <x:v>45199</x:v>
      </x:c>
      <x:c r="K4" s="31" t="n">
        <x:v>45230</x:v>
      </x:c>
      <x:c r="L4" s="31" t="n">
        <x:v>45260</x:v>
      </x:c>
      <x:c r="M4" s="31" t="n">
        <x:v>45291</x:v>
      </x:c>
      <x:c r="N4" s="31" t="n">
        <x:v>45322</x:v>
      </x:c>
      <x:c r="O4" s="31" t="n">
        <x:v>45351</x:v>
      </x:c>
      <x:c r="P4" s="31" t="n">
        <x:v>45382</x:v>
      </x:c>
      <x:c r="Q4" s="31" t="n">
        <x:v>45412</x:v>
      </x:c>
      <x:c r="R4" s="31" t="n">
        <x:v>45443</x:v>
      </x:c>
      <x:c r="S4" s="31" t="n">
        <x:v>45473</x:v>
      </x:c>
      <x:c r="T4" s="31" t="n">
        <x:v>45504</x:v>
      </x:c>
      <x:c r="U4" s="31" t="n">
        <x:v>45535</x:v>
      </x:c>
      <x:c r="V4" s="31" t="n">
        <x:v>45565</x:v>
      </x:c>
      <x:c r="W4" s="31" t="n">
        <x:v>45596</x:v>
      </x:c>
      <x:c r="X4" s="31" t="n">
        <x:v>45626</x:v>
      </x:c>
      <x:c r="Y4" s="31" t="n">
        <x:v>45657</x:v>
      </x:c>
      <x:c r="Z4" s="31" t="n">
        <x:v>45688</x:v>
      </x:c>
      <x:c r="AA4" s="31" t="n">
        <x:v>45716</x:v>
      </x:c>
      <x:c r="AB4" s="31" t="n">
        <x:v>45747</x:v>
      </x:c>
      <x:c r="AC4" s="31" t="n">
        <x:v>45777</x:v>
      </x:c>
      <x:c r="AD4" s="31" t="n">
        <x:v>45808</x:v>
      </x:c>
      <x:c r="AE4" s="31" t="n">
        <x:v>45838</x:v>
      </x:c>
      <x:c r="AF4" s="93" t="n">
        <x:v>45869</x:v>
      </x:c>
      <x:c r="AG4" s="93" t="n">
        <x:v>45900</x:v>
      </x:c>
      <x:c r="AH4" s="93" t="n">
        <x:v>45930</x:v>
      </x:c>
      <x:c r="AI4" s="93" t="n">
        <x:v>45961</x:v>
      </x:c>
      <x:c r="AJ4" s="93" t="n">
        <x:v>45991</x:v>
      </x:c>
      <x:c r="AK4" s="93" t="n">
        <x:v>46022</x:v>
      </x:c>
      <x:c r="AL4" s="93" t="n">
        <x:v>46053</x:v>
      </x:c>
      <x:c r="AM4" s="93" t="n">
        <x:v>46081</x:v>
      </x:c>
      <x:c r="AN4" s="93" t="n">
        <x:v>46112</x:v>
      </x:c>
      <x:c r="AO4" s="93" t="n">
        <x:v>46142</x:v>
      </x:c>
      <x:c r="AP4" s="93" t="n">
        <x:v>46173</x:v>
      </x:c>
      <x:c r="AQ4" s="93" t="n">
        <x:v>46203</x:v>
      </x:c>
    </x:row>
    <x:row r="5">
      <x:c r="A5" s="32" t="str">
        <x:v>INTEREST-EARNING ASSETS</x:v>
      </x:c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  <x:c r="S5" s="32"/>
      <x:c r="T5" s="32"/>
      <x:c r="U5" s="32"/>
      <x:c r="V5" s="32"/>
      <x:c r="W5" s="32"/>
      <x:c r="X5" s="32"/>
      <x:c r="Y5" s="32"/>
      <x:c r="Z5" s="32"/>
      <x:c r="AA5" s="32"/>
      <x:c r="AB5" s="32"/>
      <x:c r="AC5" s="32"/>
      <x:c r="AD5" s="32"/>
      <x:c r="AE5" s="32"/>
      <x:c r="AF5" s="32"/>
      <x:c r="AG5" s="32"/>
      <x:c r="AH5" s="32"/>
      <x:c r="AI5" s="32"/>
      <x:c r="AJ5" s="32"/>
      <x:c r="AK5" s="32"/>
      <x:c r="AL5" s="32"/>
      <x:c r="AM5" s="32"/>
      <x:c r="AN5" s="32"/>
      <x:c r="AO5" s="32"/>
      <x:c r="AP5" s="32"/>
      <x:c r="AQ5" s="32"/>
    </x:row>
    <x:row r="6">
      <x:c r="A6" s="20" t="str">
        <x:v>  Credit card</x:v>
      </x:c>
      <x:c r="B6" s="48" t="n">
        <x:f>IF('Monthly Avg Balance'!B6=0,"",'Monthly NII'!B6*12/'Monthly Avg Balance'!B6)</x:f>
        <x:v>0.17978896405260306</x:v>
      </x:c>
      <x:c r="C6" s="48" t="n">
        <x:f>IF('Monthly Avg Balance'!C6=0,"",'Monthly NII'!C6*12/'Monthly Avg Balance'!C6)</x:f>
        <x:v>0.17978896405260306</x:v>
      </x:c>
      <x:c r="D6" s="48" t="n">
        <x:f>IF('Monthly Avg Balance'!D6=0,"",'Monthly NII'!D6*12/'Monthly Avg Balance'!D6)</x:f>
        <x:v>0.17978896405260306</x:v>
      </x:c>
      <x:c r="E6" s="48" t="n">
        <x:f>IF('Monthly Avg Balance'!E6=0,"",'Monthly NII'!E6*12/'Monthly Avg Balance'!E6)</x:f>
        <x:v>0.1816635678355746</x:v>
      </x:c>
      <x:c r="F6" s="48" t="n">
        <x:f>IF('Monthly Avg Balance'!F6=0,"",'Monthly NII'!F6*12/'Monthly Avg Balance'!F6)</x:f>
        <x:v>0.18166356783557458</x:v>
      </x:c>
      <x:c r="G6" s="48" t="n">
        <x:f>IF('Monthly Avg Balance'!G6=0,"",'Monthly NII'!G6*12/'Monthly Avg Balance'!G6)</x:f>
        <x:v>0.18166356783557458</x:v>
      </x:c>
      <x:c r="H6" s="48" t="n">
        <x:f>IF('Monthly Avg Balance'!H6=0,"",'Monthly NII'!H6*12/'Monthly Avg Balance'!H6)</x:f>
        <x:v>0.19020777075104303</x:v>
      </x:c>
      <x:c r="I6" s="48" t="n">
        <x:f>IF('Monthly Avg Balance'!I6=0,"",'Monthly NII'!I6*12/'Monthly Avg Balance'!I6)</x:f>
        <x:v>0.190207770751043</x:v>
      </x:c>
      <x:c r="J6" s="48" t="n">
        <x:f>IF('Monthly Avg Balance'!J6=0,"",'Monthly NII'!J6*12/'Monthly Avg Balance'!J6)</x:f>
        <x:v>0.190207770751043</x:v>
      </x:c>
      <x:c r="K6" s="48" t="n">
        <x:f>IF('Monthly Avg Balance'!K6=0,"",'Monthly NII'!K6*12/'Monthly Avg Balance'!K6)</x:f>
        <x:v>0.18899891937237298</x:v>
      </x:c>
      <x:c r="L6" s="48" t="n">
        <x:f>IF('Monthly Avg Balance'!L6=0,"",'Monthly NII'!L6*12/'Monthly Avg Balance'!L6)</x:f>
        <x:v>0.188998919372373</x:v>
      </x:c>
      <x:c r="M6" s="48" t="n">
        <x:f>IF('Monthly Avg Balance'!M6=0,"",'Monthly NII'!M6*12/'Monthly Avg Balance'!M6)</x:f>
        <x:v>0.18899891937237304</x:v>
      </x:c>
      <x:c r="N6" s="48" t="n">
        <x:f>IF('Monthly Avg Balance'!N6=0,"",'Monthly NII'!N6*12/'Monthly Avg Balance'!N6)</x:f>
        <x:v>0.18852465638788732</x:v>
      </x:c>
      <x:c r="O6" s="48" t="n">
        <x:f>IF('Monthly Avg Balance'!O6=0,"",'Monthly NII'!O6*12/'Monthly Avg Balance'!O6)</x:f>
        <x:v>0.18852465638788737</x:v>
      </x:c>
      <x:c r="P6" s="48" t="n">
        <x:f>IF('Monthly Avg Balance'!P6=0,"",'Monthly NII'!P6*12/'Monthly Avg Balance'!P6)</x:f>
        <x:v>0.18852465638788732</x:v>
      </x:c>
      <x:c r="Q6" s="48" t="n">
        <x:f>IF('Monthly Avg Balance'!Q6=0,"",'Monthly NII'!Q6*12/'Monthly Avg Balance'!Q6)</x:f>
        <x:v>0.18795271768406724</x:v>
      </x:c>
      <x:c r="R6" s="48" t="n">
        <x:f>IF('Monthly Avg Balance'!R6=0,"",'Monthly NII'!R6*12/'Monthly Avg Balance'!R6)</x:f>
        <x:v>0.18795271768406724</x:v>
      </x:c>
      <x:c r="S6" s="48" t="n">
        <x:f>IF('Monthly Avg Balance'!S6=0,"",'Monthly NII'!S6*12/'Monthly Avg Balance'!S6)</x:f>
        <x:v>0.1879527176840672</x:v>
      </x:c>
      <x:c r="T6" s="48" t="n">
        <x:f>IF('Monthly Avg Balance'!T6=0,"",'Monthly NII'!T6*12/'Monthly Avg Balance'!T6)</x:f>
        <x:v>0.19632418227633983</x:v>
      </x:c>
      <x:c r="U6" s="48" t="n">
        <x:f>IF('Monthly Avg Balance'!U6=0,"",'Monthly NII'!U6*12/'Monthly Avg Balance'!U6)</x:f>
        <x:v>0.19632418227633983</x:v>
      </x:c>
      <x:c r="V6" s="48" t="n">
        <x:f>IF('Monthly Avg Balance'!V6=0,"",'Monthly NII'!V6*12/'Monthly Avg Balance'!V6)</x:f>
        <x:v>0.19632418227633983</x:v>
      </x:c>
      <x:c r="W6" s="48" t="n">
        <x:f>IF('Monthly Avg Balance'!W6=0,"",'Monthly NII'!W6*12/'Monthly Avg Balance'!W6)</x:f>
        <x:v>0.19051424295377017</x:v>
      </x:c>
      <x:c r="X6" s="48" t="n">
        <x:f>IF('Monthly Avg Balance'!X6=0,"",'Monthly NII'!X6*12/'Monthly Avg Balance'!X6)</x:f>
        <x:v>0.19051424295377017</x:v>
      </x:c>
      <x:c r="Y6" s="48" t="n">
        <x:f>IF('Monthly Avg Balance'!Y6=0,"",'Monthly NII'!Y6*12/'Monthly Avg Balance'!Y6)</x:f>
        <x:v>0.19051424295377017</x:v>
      </x:c>
      <x:c r="Z6" s="48" t="n">
        <x:f>IF('Monthly Avg Balance'!Z6=0,"",'Monthly NII'!Z6*12/'Monthly Avg Balance'!Z6)</x:f>
        <x:v>0.1861635374169502</x:v>
      </x:c>
      <x:c r="AA6" s="48" t="n">
        <x:f>IF('Monthly Avg Balance'!AA6=0,"",'Monthly NII'!AA6*12/'Monthly Avg Balance'!AA6)</x:f>
        <x:v>0.18616353741695021</x:v>
      </x:c>
      <x:c r="AB6" s="48" t="n">
        <x:f>IF('Monthly Avg Balance'!AB6=0,"",'Monthly NII'!AB6*12/'Monthly Avg Balance'!AB6)</x:f>
        <x:v>0.18616353741695021</x:v>
      </x:c>
      <x:c r="AC6" s="48" t="n">
        <x:f>IF('Monthly Avg Balance'!AC6=0,"",'Monthly NII'!AC6*12/'Monthly Avg Balance'!AC6)</x:f>
        <x:v>0.17674241937148993</x:v>
      </x:c>
      <x:c r="AD6" s="48" t="n">
        <x:f>IF('Monthly Avg Balance'!AD6=0,"",'Monthly NII'!AD6*12/'Monthly Avg Balance'!AD6)</x:f>
        <x:v>0.17674241937148993</x:v>
      </x:c>
      <x:c r="AE6" s="48" t="n">
        <x:f>IF('Monthly Avg Balance'!AE6=0,"",'Monthly NII'!AE6*12/'Monthly Avg Balance'!AE6)</x:f>
        <x:v>0.17674241937148993</x:v>
      </x:c>
      <x:c r="AF6" s="110" t="n">
        <x:f>MAX(0,'Forecast Drivers'!C15/100+'Forecast Drivers'!$B$21)</x:f>
        <x:v>0.17674241937148993</x:v>
      </x:c>
      <x:c r="AG6" s="110" t="n">
        <x:f>MAX(0,'Forecast Drivers'!D15/100+'Forecast Drivers'!$B$21)</x:f>
        <x:v>0.1758674193714899</x:v>
      </x:c>
      <x:c r="AH6" s="110" t="n">
        <x:f>MAX(0,'Forecast Drivers'!E15/100+'Forecast Drivers'!$B$21)</x:f>
        <x:v>0.1758674193714899</x:v>
      </x:c>
      <x:c r="AI6" s="110" t="n">
        <x:f>MAX(0,'Forecast Drivers'!F15/100+'Forecast Drivers'!$B$21)</x:f>
        <x:v>0.1758674193714899</x:v>
      </x:c>
      <x:c r="AJ6" s="110" t="n">
        <x:f>MAX(0,'Forecast Drivers'!G15/100+'Forecast Drivers'!$B$21)</x:f>
        <x:v>0.1749924193714899</x:v>
      </x:c>
      <x:c r="AK6" s="110" t="n">
        <x:f>MAX(0,'Forecast Drivers'!H15/100+'Forecast Drivers'!$B$21)</x:f>
        <x:v>0.1749924193714899</x:v>
      </x:c>
      <x:c r="AL6" s="110" t="n">
        <x:f>MAX(0,'Forecast Drivers'!I15/100+'Forecast Drivers'!$B$21)</x:f>
        <x:v>0.1749924193714899</x:v>
      </x:c>
      <x:c r="AM6" s="110" t="n">
        <x:f>MAX(0,'Forecast Drivers'!J15/100+'Forecast Drivers'!$B$21)</x:f>
        <x:v>0.17411741937148995</x:v>
      </x:c>
      <x:c r="AN6" s="110" t="n">
        <x:f>MAX(0,'Forecast Drivers'!K15/100+'Forecast Drivers'!$B$21)</x:f>
        <x:v>0.17411741937148995</x:v>
      </x:c>
      <x:c r="AO6" s="110" t="n">
        <x:f>MAX(0,'Forecast Drivers'!L15/100+'Forecast Drivers'!$B$21)</x:f>
        <x:v>0.17411741937148995</x:v>
      </x:c>
      <x:c r="AP6" s="110" t="n">
        <x:f>MAX(0,'Forecast Drivers'!M15/100+'Forecast Drivers'!$B$21)</x:f>
        <x:v>0.17324241937148996</x:v>
      </x:c>
      <x:c r="AQ6" s="110" t="n">
        <x:f>MAX(0,'Forecast Drivers'!N15/100+'Forecast Drivers'!$B$21)</x:f>
        <x:v>0.17324241937148996</x:v>
      </x:c>
    </x:row>
    <x:row r="7">
      <x:c r="A7" s="20" t="str">
        <x:v>  Consumer banking</x:v>
      </x:c>
      <x:c r="B7" s="48" t="n">
        <x:f>IF('Monthly Avg Balance'!B7=0,"",'Monthly NII'!B7*12/'Monthly Avg Balance'!B7)</x:f>
        <x:v>0.0739746835443038</x:v>
      </x:c>
      <x:c r="C7" s="48" t="n">
        <x:f>IF('Monthly Avg Balance'!C7=0,"",'Monthly NII'!C7*12/'Monthly Avg Balance'!C7)</x:f>
        <x:v>0.0739746835443038</x:v>
      </x:c>
      <x:c r="D7" s="48" t="n">
        <x:f>IF('Monthly Avg Balance'!D7=0,"",'Monthly NII'!D7*12/'Monthly Avg Balance'!D7)</x:f>
        <x:v>0.0739746835443038</x:v>
      </x:c>
      <x:c r="E7" s="48" t="n">
        <x:f>IF('Monthly Avg Balance'!E7=0,"",'Monthly NII'!E7*12/'Monthly Avg Balance'!E7)</x:f>
        <x:v>0.07650034105973048</x:v>
      </x:c>
      <x:c r="F7" s="48" t="n">
        <x:f>IF('Monthly Avg Balance'!F7=0,"",'Monthly NII'!F7*12/'Monthly Avg Balance'!F7)</x:f>
        <x:v>0.0765003410597305</x:v>
      </x:c>
      <x:c r="G7" s="48" t="n">
        <x:f>IF('Monthly Avg Balance'!G7=0,"",'Monthly NII'!G7*12/'Monthly Avg Balance'!G7)</x:f>
        <x:v>0.0765003410597305</x:v>
      </x:c>
      <x:c r="H7" s="48" t="n">
        <x:f>IF('Monthly Avg Balance'!H7=0,"",'Monthly NII'!H7*12/'Monthly Avg Balance'!H7)</x:f>
        <x:v>0.07968478627161261</x:v>
      </x:c>
      <x:c r="I7" s="48" t="n">
        <x:f>IF('Monthly Avg Balance'!I7=0,"",'Monthly NII'!I7*12/'Monthly Avg Balance'!I7)</x:f>
        <x:v>0.07968478627161261</x:v>
      </x:c>
      <x:c r="J7" s="48" t="n">
        <x:f>IF('Monthly Avg Balance'!J7=0,"",'Monthly NII'!J7*12/'Monthly Avg Balance'!J7)</x:f>
        <x:v>0.0796847862716126</x:v>
      </x:c>
      <x:c r="K7" s="48" t="n">
        <x:f>IF('Monthly Avg Balance'!K7=0,"",'Monthly NII'!K7*12/'Monthly Avg Balance'!K7)</x:f>
        <x:v>0.08217167157664636</x:v>
      </x:c>
      <x:c r="L7" s="48" t="n">
        <x:f>IF('Monthly Avg Balance'!L7=0,"",'Monthly NII'!L7*12/'Monthly Avg Balance'!L7)</x:f>
        <x:v>0.08217167157664636</x:v>
      </x:c>
      <x:c r="M7" s="48" t="n">
        <x:f>IF('Monthly Avg Balance'!M7=0,"",'Monthly NII'!M7*12/'Monthly Avg Balance'!M7)</x:f>
        <x:v>0.08217167157664637</x:v>
      </x:c>
      <x:c r="N7" s="48" t="n">
        <x:f>IF('Monthly Avg Balance'!N7=0,"",'Monthly NII'!N7*12/'Monthly Avg Balance'!N7)</x:f>
        <x:v>0.08367223629729612</x:v>
      </x:c>
      <x:c r="O7" s="48" t="n">
        <x:f>IF('Monthly Avg Balance'!O7=0,"",'Monthly NII'!O7*12/'Monthly Avg Balance'!O7)</x:f>
        <x:v>0.08367223629729612</x:v>
      </x:c>
      <x:c r="P7" s="48" t="n">
        <x:f>IF('Monthly Avg Balance'!P7=0,"",'Monthly NII'!P7*12/'Monthly Avg Balance'!P7)</x:f>
        <x:v>0.0836722362972961</x:v>
      </x:c>
      <x:c r="Q7" s="48" t="n">
        <x:f>IF('Monthly Avg Balance'!Q7=0,"",'Monthly NII'!Q7*12/'Monthly Avg Balance'!Q7)</x:f>
        <x:v>0.08551252631936695</x:v>
      </x:c>
      <x:c r="R7" s="48" t="n">
        <x:f>IF('Monthly Avg Balance'!R7=0,"",'Monthly NII'!R7*12/'Monthly Avg Balance'!R7)</x:f>
        <x:v>0.08551252631936695</x:v>
      </x:c>
      <x:c r="S7" s="48" t="n">
        <x:f>IF('Monthly Avg Balance'!S7=0,"",'Monthly NII'!S7*12/'Monthly Avg Balance'!S7)</x:f>
        <x:v>0.08551252631936695</x:v>
      </x:c>
      <x:c r="T7" s="48" t="n">
        <x:f>IF('Monthly Avg Balance'!T7=0,"",'Monthly NII'!T7*12/'Monthly Avg Balance'!T7)</x:f>
        <x:v>0.08886579449875923</x:v>
      </x:c>
      <x:c r="U7" s="48" t="n">
        <x:f>IF('Monthly Avg Balance'!U7=0,"",'Monthly NII'!U7*12/'Monthly Avg Balance'!U7)</x:f>
        <x:v>0.08886579449875924</x:v>
      </x:c>
      <x:c r="V7" s="48" t="n">
        <x:f>IF('Monthly Avg Balance'!V7=0,"",'Monthly NII'!V7*12/'Monthly Avg Balance'!V7)</x:f>
        <x:v>0.08886579449875924</x:v>
      </x:c>
      <x:c r="W7" s="48" t="n">
        <x:f>IF('Monthly Avg Balance'!W7=0,"",'Monthly NII'!W7*12/'Monthly Avg Balance'!W7)</x:f>
        <x:v>0.09050266541693</x:v>
      </x:c>
      <x:c r="X7" s="48" t="n">
        <x:f>IF('Monthly Avg Balance'!X7=0,"",'Monthly NII'!X7*12/'Monthly Avg Balance'!X7)</x:f>
        <x:v>0.09050266541692999</x:v>
      </x:c>
      <x:c r="Y7" s="48" t="n">
        <x:f>IF('Monthly Avg Balance'!Y7=0,"",'Monthly NII'!Y7*12/'Monthly Avg Balance'!Y7)</x:f>
        <x:v>0.09050266541693</x:v>
      </x:c>
      <x:c r="Z7" s="48" t="n">
        <x:f>IF('Monthly Avg Balance'!Z7=0,"",'Monthly NII'!Z7*12/'Monthly Avg Balance'!Z7)</x:f>
        <x:v>0.09041935591673281</x:v>
      </x:c>
      <x:c r="AA7" s="48" t="n">
        <x:f>IF('Monthly Avg Balance'!AA7=0,"",'Monthly NII'!AA7*12/'Monthly Avg Balance'!AA7)</x:f>
        <x:v>0.09041935591673281</x:v>
      </x:c>
      <x:c r="AB7" s="48" t="n">
        <x:f>IF('Monthly Avg Balance'!AB7=0,"",'Monthly NII'!AB7*12/'Monthly Avg Balance'!AB7)</x:f>
        <x:v>0.09041935591673281</x:v>
      </x:c>
      <x:c r="AC7" s="48" t="n">
        <x:f>IF('Monthly Avg Balance'!AC7=0,"",'Monthly NII'!AC7*12/'Monthly Avg Balance'!AC7)</x:f>
        <x:v>0.09520644630391224</x:v>
      </x:c>
      <x:c r="AD7" s="48" t="n">
        <x:f>IF('Monthly Avg Balance'!AD7=0,"",'Monthly NII'!AD7*12/'Monthly Avg Balance'!AD7)</x:f>
        <x:v>0.09520644630391223</x:v>
      </x:c>
      <x:c r="AE7" s="48" t="n">
        <x:f>IF('Monthly Avg Balance'!AE7=0,"",'Monthly NII'!AE7*12/'Monthly Avg Balance'!AE7)</x:f>
        <x:v>0.09520644630391224</x:v>
      </x:c>
      <x:c r="AF7" s="110" t="n">
        <x:f>MAX(0,'Forecast Drivers'!C10/100+'Forecast Drivers'!$B$22)</x:f>
        <x:v>0.09518977963724558</x:v>
      </x:c>
      <x:c r="AG7" s="110" t="n">
        <x:f>MAX(0,'Forecast Drivers'!D10/100+'Forecast Drivers'!$B$22)</x:f>
        <x:v>0.0951731129705789</x:v>
      </x:c>
      <x:c r="AH7" s="110" t="n">
        <x:f>MAX(0,'Forecast Drivers'!E10/100+'Forecast Drivers'!$B$22)</x:f>
        <x:v>0.09515644630391223</x:v>
      </x:c>
      <x:c r="AI7" s="110" t="n">
        <x:f>MAX(0,'Forecast Drivers'!F10/100+'Forecast Drivers'!$B$22)</x:f>
        <x:v>0.09513977963724557</x:v>
      </x:c>
      <x:c r="AJ7" s="110" t="n">
        <x:f>MAX(0,'Forecast Drivers'!G10/100+'Forecast Drivers'!$B$22)</x:f>
        <x:v>0.09512311297057889</x:v>
      </x:c>
      <x:c r="AK7" s="110" t="n">
        <x:f>MAX(0,'Forecast Drivers'!H10/100+'Forecast Drivers'!$B$22)</x:f>
        <x:v>0.09510644630391223</x:v>
      </x:c>
      <x:c r="AL7" s="110" t="n">
        <x:f>MAX(0,'Forecast Drivers'!I10/100+'Forecast Drivers'!$B$22)</x:f>
        <x:v>0.09508977963724556</x:v>
      </x:c>
      <x:c r="AM7" s="110" t="n">
        <x:f>MAX(0,'Forecast Drivers'!J10/100+'Forecast Drivers'!$B$22)</x:f>
        <x:v>0.09507311297057888</x:v>
      </x:c>
      <x:c r="AN7" s="110" t="n">
        <x:f>MAX(0,'Forecast Drivers'!K10/100+'Forecast Drivers'!$B$22)</x:f>
        <x:v>0.09505644630391222</x:v>
      </x:c>
      <x:c r="AO7" s="110" t="n">
        <x:f>MAX(0,'Forecast Drivers'!L10/100+'Forecast Drivers'!$B$22)</x:f>
        <x:v>0.09503977963724555</x:v>
      </x:c>
      <x:c r="AP7" s="110" t="n">
        <x:f>MAX(0,'Forecast Drivers'!M10/100+'Forecast Drivers'!$B$22)</x:f>
        <x:v>0.09502311297057887</x:v>
      </x:c>
      <x:c r="AQ7" s="110" t="n">
        <x:f>MAX(0,'Forecast Drivers'!N10/100+'Forecast Drivers'!$B$22)</x:f>
        <x:v>0.09500644630391221</x:v>
      </x:c>
    </x:row>
    <x:row r="8">
      <x:c r="A8" s="20" t="str">
        <x:v>  Commercial banking</x:v>
      </x:c>
      <x:c r="B8" s="48" t="n">
        <x:f>IF('Monthly Avg Balance'!B8=0,"",'Monthly NII'!B8*12/'Monthly Avg Balance'!B8)</x:f>
        <x:v>0.06302013849183659</x:v>
      </x:c>
      <x:c r="C8" s="48" t="n">
        <x:f>IF('Monthly Avg Balance'!C8=0,"",'Monthly NII'!C8*12/'Monthly Avg Balance'!C8)</x:f>
        <x:v>0.06302013849183659</x:v>
      </x:c>
      <x:c r="D8" s="48" t="n">
        <x:f>IF('Monthly Avg Balance'!D8=0,"",'Monthly NII'!D8*12/'Monthly Avg Balance'!D8)</x:f>
        <x:v>0.06302013849183659</x:v>
      </x:c>
      <x:c r="E8" s="48" t="n">
        <x:f>IF('Monthly Avg Balance'!E8=0,"",'Monthly NII'!E8*12/'Monthly Avg Balance'!E8)</x:f>
        <x:v>0.06732428574472166</x:v>
      </x:c>
      <x:c r="F8" s="48" t="n">
        <x:f>IF('Monthly Avg Balance'!F8=0,"",'Monthly NII'!F8*12/'Monthly Avg Balance'!F8)</x:f>
        <x:v>0.06732428574472164</x:v>
      </x:c>
      <x:c r="G8" s="48" t="n">
        <x:f>IF('Monthly Avg Balance'!G8=0,"",'Monthly NII'!G8*12/'Monthly Avg Balance'!G8)</x:f>
        <x:v>0.06732428574472164</x:v>
      </x:c>
      <x:c r="H8" s="48" t="n">
        <x:f>IF('Monthly Avg Balance'!H8=0,"",'Monthly NII'!H8*12/'Monthly Avg Balance'!H8)</x:f>
        <x:v>0.0711947449433087</x:v>
      </x:c>
      <x:c r="I8" s="48" t="n">
        <x:f>IF('Monthly Avg Balance'!I8=0,"",'Monthly NII'!I8*12/'Monthly Avg Balance'!I8)</x:f>
        <x:v>0.07119474494330869</x:v>
      </x:c>
      <x:c r="J8" s="48" t="n">
        <x:f>IF('Monthly Avg Balance'!J8=0,"",'Monthly NII'!J8*12/'Monthly Avg Balance'!J8)</x:f>
        <x:v>0.0711947449433087</x:v>
      </x:c>
      <x:c r="K8" s="48" t="n">
        <x:f>IF('Monthly Avg Balance'!K8=0,"",'Monthly NII'!K8*12/'Monthly Avg Balance'!K8)</x:f>
        <x:v>0.07247262326457019</x:v>
      </x:c>
      <x:c r="L8" s="48" t="n">
        <x:f>IF('Monthly Avg Balance'!L8=0,"",'Monthly NII'!L8*12/'Monthly Avg Balance'!L8)</x:f>
        <x:v>0.07247262326457016</x:v>
      </x:c>
      <x:c r="M8" s="48" t="n">
        <x:f>IF('Monthly Avg Balance'!M8=0,"",'Monthly NII'!M8*12/'Monthly Avg Balance'!M8)</x:f>
        <x:v>0.07247262326457017</x:v>
      </x:c>
      <x:c r="N8" s="48" t="n">
        <x:f>IF('Monthly Avg Balance'!N8=0,"",'Monthly NII'!N8*12/'Monthly Avg Balance'!N8)</x:f>
        <x:v>0.0715634845113661</x:v>
      </x:c>
      <x:c r="O8" s="48" t="n">
        <x:f>IF('Monthly Avg Balance'!O8=0,"",'Monthly NII'!O8*12/'Monthly Avg Balance'!O8)</x:f>
        <x:v>0.0715634845113661</x:v>
      </x:c>
      <x:c r="P8" s="48" t="n">
        <x:f>IF('Monthly Avg Balance'!P8=0,"",'Monthly NII'!P8*12/'Monthly Avg Balance'!P8)</x:f>
        <x:v>0.0715634845113661</x:v>
      </x:c>
      <x:c r="Q8" s="48" t="n">
        <x:f>IF('Monthly Avg Balance'!Q8=0,"",'Monthly NII'!Q8*12/'Monthly Avg Balance'!Q8)</x:f>
        <x:v>0.07235537100602286</x:v>
      </x:c>
      <x:c r="R8" s="48" t="n">
        <x:f>IF('Monthly Avg Balance'!R8=0,"",'Monthly NII'!R8*12/'Monthly Avg Balance'!R8)</x:f>
        <x:v>0.07235537100602288</x:v>
      </x:c>
      <x:c r="S8" s="48" t="n">
        <x:f>IF('Monthly Avg Balance'!S8=0,"",'Monthly NII'!S8*12/'Monthly Avg Balance'!S8)</x:f>
        <x:v>0.07235537100602288</x:v>
      </x:c>
      <x:c r="T8" s="48" t="n">
        <x:f>IF('Monthly Avg Balance'!T8=0,"",'Monthly NII'!T8*12/'Monthly Avg Balance'!T8)</x:f>
        <x:v>0.07278015086729321</x:v>
      </x:c>
      <x:c r="U8" s="48" t="n">
        <x:f>IF('Monthly Avg Balance'!U8=0,"",'Monthly NII'!U8*12/'Monthly Avg Balance'!U8)</x:f>
        <x:v>0.07278015086729323</x:v>
      </x:c>
      <x:c r="V8" s="48" t="n">
        <x:f>IF('Monthly Avg Balance'!V8=0,"",'Monthly NII'!V8*12/'Monthly Avg Balance'!V8)</x:f>
        <x:v>0.07278015086729321</x:v>
      </x:c>
      <x:c r="W8" s="48" t="n">
        <x:f>IF('Monthly Avg Balance'!W8=0,"",'Monthly NII'!W8*12/'Monthly Avg Balance'!W8)</x:f>
        <x:v>0.06749613187198522</x:v>
      </x:c>
      <x:c r="X8" s="48" t="n">
        <x:f>IF('Monthly Avg Balance'!X8=0,"",'Monthly NII'!X8*12/'Monthly Avg Balance'!X8)</x:f>
        <x:v>0.06749613187198525</x:v>
      </x:c>
      <x:c r="Y8" s="48" t="n">
        <x:f>IF('Monthly Avg Balance'!Y8=0,"",'Monthly NII'!Y8*12/'Monthly Avg Balance'!Y8)</x:f>
        <x:v>0.06749613187198523</x:v>
      </x:c>
      <x:c r="Z8" s="48" t="n">
        <x:f>IF('Monthly Avg Balance'!Z8=0,"",'Monthly NII'!Z8*12/'Monthly Avg Balance'!Z8)</x:f>
        <x:v>0.06308203292971686</x:v>
      </x:c>
      <x:c r="AA8" s="48" t="n">
        <x:f>IF('Monthly Avg Balance'!AA8=0,"",'Monthly NII'!AA8*12/'Monthly Avg Balance'!AA8)</x:f>
        <x:v>0.06308203292971687</x:v>
      </x:c>
      <x:c r="AB8" s="48" t="n">
        <x:f>IF('Monthly Avg Balance'!AB8=0,"",'Monthly NII'!AB8*12/'Monthly Avg Balance'!AB8)</x:f>
        <x:v>0.06308203292971687</x:v>
      </x:c>
      <x:c r="AC8" s="48" t="n">
        <x:f>IF('Monthly Avg Balance'!AC8=0,"",'Monthly NII'!AC8*12/'Monthly Avg Balance'!AC8)</x:f>
        <x:v>0.06572507048300932</x:v>
      </x:c>
      <x:c r="AD8" s="48" t="n">
        <x:f>IF('Monthly Avg Balance'!AD8=0,"",'Monthly NII'!AD8*12/'Monthly Avg Balance'!AD8)</x:f>
        <x:v>0.06572507048300932</x:v>
      </x:c>
      <x:c r="AE8" s="48" t="n">
        <x:f>IF('Monthly Avg Balance'!AE8=0,"",'Monthly NII'!AE8*12/'Monthly Avg Balance'!AE8)</x:f>
        <x:v>0.06572507048300932</x:v>
      </x:c>
      <x:c r="AF8" s="110" t="n">
        <x:f>MAX(0,'Forecast Drivers'!C8/100+'Forecast Drivers'!$B$23)</x:f>
        <x:v>0.06547507048300932</x:v>
      </x:c>
      <x:c r="AG8" s="110" t="n">
        <x:f>MAX(0,'Forecast Drivers'!D8/100+'Forecast Drivers'!$B$23)</x:f>
        <x:v>0.06522507048300932</x:v>
      </x:c>
      <x:c r="AH8" s="110" t="n">
        <x:f>MAX(0,'Forecast Drivers'!E8/100+'Forecast Drivers'!$B$23)</x:f>
        <x:v>0.06497507048300931</x:v>
      </x:c>
      <x:c r="AI8" s="110" t="n">
        <x:f>MAX(0,'Forecast Drivers'!F8/100+'Forecast Drivers'!$B$23)</x:f>
        <x:v>0.06472507048300931</x:v>
      </x:c>
      <x:c r="AJ8" s="110" t="n">
        <x:f>MAX(0,'Forecast Drivers'!G8/100+'Forecast Drivers'!$B$23)</x:f>
        <x:v>0.06447507048300931</x:v>
      </x:c>
      <x:c r="AK8" s="110" t="n">
        <x:f>MAX(0,'Forecast Drivers'!H8/100+'Forecast Drivers'!$B$23)</x:f>
        <x:v>0.06422507048300931</x:v>
      </x:c>
      <x:c r="AL8" s="110" t="n">
        <x:f>MAX(0,'Forecast Drivers'!I8/100+'Forecast Drivers'!$B$23)</x:f>
        <x:v>0.06397507048300931</x:v>
      </x:c>
      <x:c r="AM8" s="110" t="n">
        <x:f>MAX(0,'Forecast Drivers'!J8/100+'Forecast Drivers'!$B$23)</x:f>
        <x:v>0.0637250704830093</x:v>
      </x:c>
      <x:c r="AN8" s="110" t="n">
        <x:f>MAX(0,'Forecast Drivers'!K8/100+'Forecast Drivers'!$B$23)</x:f>
        <x:v>0.0634750704830093</x:v>
      </x:c>
      <x:c r="AO8" s="110" t="n">
        <x:f>MAX(0,'Forecast Drivers'!L8/100+'Forecast Drivers'!$B$23)</x:f>
        <x:v>0.0632250704830093</x:v>
      </x:c>
      <x:c r="AP8" s="110" t="n">
        <x:f>MAX(0,'Forecast Drivers'!M8/100+'Forecast Drivers'!$B$23)</x:f>
        <x:v>0.0629750704830093</x:v>
      </x:c>
      <x:c r="AQ8" s="110" t="n">
        <x:f>MAX(0,'Forecast Drivers'!N8/100+'Forecast Drivers'!$B$23)</x:f>
        <x:v>0.06272507048300928</x:v>
      </x:c>
    </x:row>
    <x:row r="9">
      <x:c r="A9" s="26" t="str">
        <x:v>  Total loans (incl. HFS)</x:v>
      </x:c>
      <x:c r="B9" s="51" t="n">
        <x:f>IF('Monthly Avg Balance'!B9=0,"",'Monthly NII'!B9*12/'Monthly Avg Balance'!B9)</x:f>
        <x:v>0.11324343183551595</x:v>
      </x:c>
      <x:c r="C9" s="51" t="n">
        <x:f>IF('Monthly Avg Balance'!C9=0,"",'Monthly NII'!C9*12/'Monthly Avg Balance'!C9)</x:f>
        <x:v>0.11324343183551595</x:v>
      </x:c>
      <x:c r="D9" s="51" t="n">
        <x:f>IF('Monthly Avg Balance'!D9=0,"",'Monthly NII'!D9*12/'Monthly Avg Balance'!D9)</x:f>
        <x:v>0.11324343183551595</x:v>
      </x:c>
      <x:c r="E9" s="51" t="n">
        <x:f>IF('Monthly Avg Balance'!E9=0,"",'Monthly NII'!E9*12/'Monthly Avg Balance'!E9)</x:f>
        <x:v>0.11673836338150707</x:v>
      </x:c>
      <x:c r="F9" s="51" t="n">
        <x:f>IF('Monthly Avg Balance'!F9=0,"",'Monthly NII'!F9*12/'Monthly Avg Balance'!F9)</x:f>
        <x:v>0.11673836338150709</x:v>
      </x:c>
      <x:c r="G9" s="51" t="n">
        <x:f>IF('Monthly Avg Balance'!G9=0,"",'Monthly NII'!G9*12/'Monthly Avg Balance'!G9)</x:f>
        <x:v>0.11673836338150706</x:v>
      </x:c>
      <x:c r="H9" s="51" t="n">
        <x:f>IF('Monthly Avg Balance'!H9=0,"",'Monthly NII'!H9*12/'Monthly Avg Balance'!H9)</x:f>
        <x:v>0.12372831069893864</x:v>
      </x:c>
      <x:c r="I9" s="51" t="n">
        <x:f>IF('Monthly Avg Balance'!I9=0,"",'Monthly NII'!I9*12/'Monthly Avg Balance'!I9)</x:f>
        <x:v>0.12372831069893866</x:v>
      </x:c>
      <x:c r="J9" s="51" t="n">
        <x:f>IF('Monthly Avg Balance'!J9=0,"",'Monthly NII'!J9*12/'Monthly Avg Balance'!J9)</x:f>
        <x:v>0.12372831069893864</x:v>
      </x:c>
      <x:c r="K9" s="51" t="n">
        <x:f>IF('Monthly Avg Balance'!K9=0,"",'Monthly NII'!K9*12/'Monthly Avg Balance'!K9)</x:f>
        <x:v>0.1255528774377557</x:v>
      </x:c>
      <x:c r="L9" s="51" t="n">
        <x:f>IF('Monthly Avg Balance'!L9=0,"",'Monthly NII'!L9*12/'Monthly Avg Balance'!L9)</x:f>
        <x:v>0.1255528774377557</x:v>
      </x:c>
      <x:c r="M9" s="51" t="n">
        <x:f>IF('Monthly Avg Balance'!M9=0,"",'Monthly NII'!M9*12/'Monthly Avg Balance'!M9)</x:f>
        <x:v>0.1255528774377557</x:v>
      </x:c>
      <x:c r="N9" s="51" t="n">
        <x:f>IF('Monthly Avg Balance'!N9=0,"",'Monthly NII'!N9*12/'Monthly Avg Balance'!N9)</x:f>
        <x:v>0.12604307954245855</x:v>
      </x:c>
      <x:c r="O9" s="51" t="n">
        <x:f>IF('Monthly Avg Balance'!O9=0,"",'Monthly NII'!O9*12/'Monthly Avg Balance'!O9)</x:f>
        <x:v>0.12604307954245852</x:v>
      </x:c>
      <x:c r="P9" s="51" t="n">
        <x:f>IF('Monthly Avg Balance'!P9=0,"",'Monthly NII'!P9*12/'Monthly Avg Balance'!P9)</x:f>
        <x:v>0.12604307954245852</x:v>
      </x:c>
      <x:c r="Q9" s="51" t="n">
        <x:f>IF('Monthly Avg Balance'!Q9=0,"",'Monthly NII'!Q9*12/'Monthly Avg Balance'!Q9)</x:f>
        <x:v>0.12667780803742146</x:v>
      </x:c>
      <x:c r="R9" s="51" t="n">
        <x:f>IF('Monthly Avg Balance'!R9=0,"",'Monthly NII'!R9*12/'Monthly Avg Balance'!R9)</x:f>
        <x:v>0.12667780803742146</x:v>
      </x:c>
      <x:c r="S9" s="51" t="n">
        <x:f>IF('Monthly Avg Balance'!S9=0,"",'Monthly NII'!S9*12/'Monthly Avg Balance'!S9)</x:f>
        <x:v>0.12667780803742149</x:v>
      </x:c>
      <x:c r="T9" s="51" t="n">
        <x:f>IF('Monthly Avg Balance'!T9=0,"",'Monthly NII'!T9*12/'Monthly Avg Balance'!T9)</x:f>
        <x:v>0.13243823154087997</x:v>
      </x:c>
      <x:c r="U9" s="51" t="n">
        <x:f>IF('Monthly Avg Balance'!U9=0,"",'Monthly NII'!U9*12/'Monthly Avg Balance'!U9)</x:f>
        <x:v>0.13243823154087997</x:v>
      </x:c>
      <x:c r="V9" s="51" t="n">
        <x:f>IF('Monthly Avg Balance'!V9=0,"",'Monthly NII'!V9*12/'Monthly Avg Balance'!V9)</x:f>
        <x:v>0.13243823154087994</x:v>
      </x:c>
      <x:c r="W9" s="51" t="n">
        <x:f>IF('Monthly Avg Balance'!W9=0,"",'Monthly NII'!W9*12/'Monthly Avg Balance'!W9)</x:f>
        <x:v>0.1297434414839546</x:v>
      </x:c>
      <x:c r="X9" s="51" t="n">
        <x:f>IF('Monthly Avg Balance'!X9=0,"",'Monthly NII'!X9*12/'Monthly Avg Balance'!X9)</x:f>
        <x:v>0.1297434414839546</x:v>
      </x:c>
      <x:c r="Y9" s="51" t="n">
        <x:f>IF('Monthly Avg Balance'!Y9=0,"",'Monthly NII'!Y9*12/'Monthly Avg Balance'!Y9)</x:f>
        <x:v>0.1297434414839546</x:v>
      </x:c>
      <x:c r="Z9" s="51" t="n">
        <x:f>IF('Monthly Avg Balance'!Z9=0,"",'Monthly NII'!Z9*12/'Monthly Avg Balance'!Z9)</x:f>
        <x:v>0.12625213447462016</x:v>
      </x:c>
      <x:c r="AA9" s="51" t="n">
        <x:f>IF('Monthly Avg Balance'!AA9=0,"",'Monthly NII'!AA9*12/'Monthly Avg Balance'!AA9)</x:f>
        <x:v>0.1262521344746202</x:v>
      </x:c>
      <x:c r="AB9" s="51" t="n">
        <x:f>IF('Monthly Avg Balance'!AB9=0,"",'Monthly NII'!AB9*12/'Monthly Avg Balance'!AB9)</x:f>
        <x:v>0.12625213447462016</x:v>
      </x:c>
      <x:c r="AC9" s="51" t="n">
        <x:f>IF('Monthly Avg Balance'!AC9=0,"",'Monthly NII'!AC9*12/'Monthly Avg Balance'!AC9)</x:f>
        <x:v>0.13188658431774333</x:v>
      </x:c>
      <x:c r="AD9" s="51" t="n">
        <x:f>IF('Monthly Avg Balance'!AD9=0,"",'Monthly NII'!AD9*12/'Monthly Avg Balance'!AD9)</x:f>
        <x:v>0.1318865843177433</x:v>
      </x:c>
      <x:c r="AE9" s="51" t="n">
        <x:f>IF('Monthly Avg Balance'!AE9=0,"",'Monthly NII'!AE9*12/'Monthly Avg Balance'!AE9)</x:f>
        <x:v>0.1318865843177433</x:v>
      </x:c>
      <x:c r="AF9" s="113" t="n">
        <x:f>('Monthly Avg Balance'!AF6*AF6+'Monthly Avg Balance'!AF7*AF7+'Monthly Avg Balance'!AF8*AF8)/'Monthly Avg Balance'!AF9</x:f>
        <x:v>0.1334011012333133</x:v>
      </x:c>
      <x:c r="AG9" s="113" t="n">
        <x:f>('Monthly Avg Balance'!AG6*AG6+'Monthly Avg Balance'!AG7*AG7+'Monthly Avg Balance'!AG8*AG8)/'Monthly Avg Balance'!AG9</x:f>
        <x:v>0.1328570020330915</x:v>
      </x:c>
      <x:c r="AH9" s="113" t="n">
        <x:f>('Monthly Avg Balance'!AH6*AH6+'Monthly Avg Balance'!AH7*AH7+'Monthly Avg Balance'!AH8*AH8)/'Monthly Avg Balance'!AH9</x:f>
        <x:v>0.13279762530221537</x:v>
      </x:c>
      <x:c r="AI9" s="113" t="n">
        <x:f>('Monthly Avg Balance'!AI6*AI6+'Monthly Avg Balance'!AI7*AI7+'Monthly Avg Balance'!AI8*AI8)/'Monthly Avg Balance'!AI9</x:f>
        <x:v>0.13273824134733608</x:v>
      </x:c>
      <x:c r="AJ9" s="113" t="n">
        <x:f>('Monthly Avg Balance'!AJ6*AJ6+'Monthly Avg Balance'!AJ7*AJ7+'Monthly Avg Balance'!AJ8*AJ8)/'Monthly Avg Balance'!AJ9</x:f>
        <x:v>0.13219397788853512</x:v>
      </x:c>
      <x:c r="AK9" s="113" t="n">
        <x:f>('Monthly Avg Balance'!AK6*AK6+'Monthly Avg Balance'!AK7*AK7+'Monthly Avg Balance'!AK8*AK8)/'Monthly Avg Balance'!AK9</x:f>
        <x:v>0.13213454386253948</x:v>
      </x:c>
      <x:c r="AL9" s="113" t="n">
        <x:f>('Monthly Avg Balance'!AL6*AL6+'Monthly Avg Balance'!AL7*AL7+'Monthly Avg Balance'!AL8*AL8)/'Monthly Avg Balance'!AL9</x:f>
        <x:v>0.13207510262572164</x:v>
      </x:c>
      <x:c r="AM9" s="113" t="n">
        <x:f>('Monthly Avg Balance'!AM6*AM6+'Monthly Avg Balance'!AM7*AM7+'Monthly Avg Balance'!AM8*AM8)/'Monthly Avg Balance'!AM9</x:f>
        <x:v>0.13153067503063673</x:v>
      </x:c>
      <x:c r="AN9" s="113" t="n">
        <x:f>('Monthly Avg Balance'!AN6*AN6+'Monthly Avg Balance'!AN7*AN7+'Monthly Avg Balance'!AN8*AN8)/'Monthly Avg Balance'!AN9</x:f>
        <x:v>0.1314711837697242</x:v>
      </x:c>
      <x:c r="AO9" s="113" t="n">
        <x:f>('Monthly Avg Balance'!AO6*AO6+'Monthly Avg Balance'!AO7*AO7+'Monthly Avg Balance'!AO8*AO8)/'Monthly Avg Balance'!AO9</x:f>
        <x:v>0.13141168531115113</x:v>
      </x:c>
      <x:c r="AP9" s="113" t="n">
        <x:f>('Monthly Avg Balance'!AP6*AP6+'Monthly Avg Balance'!AP7*AP7+'Monthly Avg Balance'!AP8*AP8)/'Monthly Avg Balance'!AP9</x:f>
        <x:v>0.1308670937019476</x:v>
      </x:c>
      <x:c r="AQ9" s="113" t="n">
        <x:f>('Monthly Avg Balance'!AQ6*AQ6+'Monthly Avg Balance'!AQ7*AQ7+'Monthly Avg Balance'!AQ8*AQ8)/'Monthly Avg Balance'!AQ9</x:f>
        <x:v>0.13080754526624497</x:v>
      </x:c>
    </x:row>
    <x:row r="10">
      <x:c r="A10" s="20" t="str">
        <x:v>  Investment securities</x:v>
      </x:c>
      <x:c r="B10" s="48" t="n">
        <x:f>IF('Monthly Avg Balance'!B10=0,"",'Monthly NII'!B10*12/'Monthly Avg Balance'!B10)</x:f>
        <x:v>0.02734548688305914</x:v>
      </x:c>
      <x:c r="C10" s="48" t="n">
        <x:f>IF('Monthly Avg Balance'!C10=0,"",'Monthly NII'!C10*12/'Monthly Avg Balance'!C10)</x:f>
        <x:v>0.02734548688305914</x:v>
      </x:c>
      <x:c r="D10" s="48" t="n">
        <x:f>IF('Monthly Avg Balance'!D10=0,"",'Monthly NII'!D10*12/'Monthly Avg Balance'!D10)</x:f>
        <x:v>0.02734548688305914</x:v>
      </x:c>
      <x:c r="E10" s="48" t="n">
        <x:f>IF('Monthly Avg Balance'!E10=0,"",'Monthly NII'!E10*12/'Monthly Avg Balance'!E10)</x:f>
        <x:v>0.028401893459563975</x:v>
      </x:c>
      <x:c r="F10" s="48" t="n">
        <x:f>IF('Monthly Avg Balance'!F10=0,"",'Monthly NII'!F10*12/'Monthly Avg Balance'!F10)</x:f>
        <x:v>0.02840189345956397</x:v>
      </x:c>
      <x:c r="G10" s="48" t="n">
        <x:f>IF('Monthly Avg Balance'!G10=0,"",'Monthly NII'!G10*12/'Monthly Avg Balance'!G10)</x:f>
        <x:v>0.028401893459563975</x:v>
      </x:c>
      <x:c r="H10" s="48" t="n">
        <x:f>IF('Monthly Avg Balance'!H10=0,"",'Monthly NII'!H10*12/'Monthly Avg Balance'!H10)</x:f>
        <x:v>0.0285502874381012</x:v>
      </x:c>
      <x:c r="I10" s="48" t="n">
        <x:f>IF('Monthly Avg Balance'!I10=0,"",'Monthly NII'!I10*12/'Monthly Avg Balance'!I10)</x:f>
        <x:v>0.028550287438101205</x:v>
      </x:c>
      <x:c r="J10" s="48" t="n">
        <x:f>IF('Monthly Avg Balance'!J10=0,"",'Monthly NII'!J10*12/'Monthly Avg Balance'!J10)</x:f>
        <x:v>0.02855028743810121</x:v>
      </x:c>
      <x:c r="K10" s="48" t="n">
        <x:f>IF('Monthly Avg Balance'!K10=0,"",'Monthly NII'!K10*12/'Monthly Avg Balance'!K10)</x:f>
        <x:v>0.029494916094899563</x:v>
      </x:c>
      <x:c r="L10" s="48" t="n">
        <x:f>IF('Monthly Avg Balance'!L10=0,"",'Monthly NII'!L10*12/'Monthly Avg Balance'!L10)</x:f>
        <x:v>0.029494916094899563</x:v>
      </x:c>
      <x:c r="M10" s="48" t="n">
        <x:f>IF('Monthly Avg Balance'!M10=0,"",'Monthly NII'!M10*12/'Monthly Avg Balance'!M10)</x:f>
        <x:v>0.029494916094899563</x:v>
      </x:c>
      <x:c r="N10" s="48" t="n">
        <x:f>IF('Monthly Avg Balance'!N10=0,"",'Monthly NII'!N10*12/'Monthly Avg Balance'!N10)</x:f>
        <x:v>0.02991655371752372</x:v>
      </x:c>
      <x:c r="O10" s="48" t="n">
        <x:f>IF('Monthly Avg Balance'!O10=0,"",'Monthly NII'!O10*12/'Monthly Avg Balance'!O10)</x:f>
        <x:v>0.02991655371752372</x:v>
      </x:c>
      <x:c r="P10" s="48" t="n">
        <x:f>IF('Monthly Avg Balance'!P10=0,"",'Monthly NII'!P10*12/'Monthly Avg Balance'!P10)</x:f>
        <x:v>0.02991655371752372</x:v>
      </x:c>
      <x:c r="Q10" s="48" t="n">
        <x:f>IF('Monthly Avg Balance'!Q10=0,"",'Monthly NII'!Q10*12/'Monthly Avg Balance'!Q10)</x:f>
        <x:v>0.03008811519449817</x:v>
      </x:c>
      <x:c r="R10" s="48" t="n">
        <x:f>IF('Monthly Avg Balance'!R10=0,"",'Monthly NII'!R10*12/'Monthly Avg Balance'!R10)</x:f>
        <x:v>0.03008811519449817</x:v>
      </x:c>
      <x:c r="S10" s="48" t="n">
        <x:f>IF('Monthly Avg Balance'!S10=0,"",'Monthly NII'!S10*12/'Monthly Avg Balance'!S10)</x:f>
        <x:v>0.030088115194498173</x:v>
      </x:c>
      <x:c r="T10" s="48" t="n">
        <x:f>IF('Monthly Avg Balance'!T10=0,"",'Monthly NII'!T10*12/'Monthly Avg Balance'!T10)</x:f>
        <x:v>0.03128011635804994</x:v>
      </x:c>
      <x:c r="U10" s="48" t="n">
        <x:f>IF('Monthly Avg Balance'!U10=0,"",'Monthly NII'!U10*12/'Monthly Avg Balance'!U10)</x:f>
        <x:v>0.03128011635804994</x:v>
      </x:c>
      <x:c r="V10" s="48" t="n">
        <x:f>IF('Monthly Avg Balance'!V10=0,"",'Monthly NII'!V10*12/'Monthly Avg Balance'!V10)</x:f>
        <x:v>0.03128011635804994</x:v>
      </x:c>
      <x:c r="W10" s="48" t="n">
        <x:f>IF('Monthly Avg Balance'!W10=0,"",'Monthly NII'!W10*12/'Monthly Avg Balance'!W10)</x:f>
        <x:v>0.03161834045702429</x:v>
      </x:c>
      <x:c r="X10" s="48" t="n">
        <x:f>IF('Monthly Avg Balance'!X10=0,"",'Monthly NII'!X10*12/'Monthly Avg Balance'!X10)</x:f>
        <x:v>0.031618340457024295</x:v>
      </x:c>
      <x:c r="Y10" s="48" t="n">
        <x:f>IF('Monthly Avg Balance'!Y10=0,"",'Monthly NII'!Y10*12/'Monthly Avg Balance'!Y10)</x:f>
        <x:v>0.03161834045702428</x:v>
      </x:c>
      <x:c r="Z10" s="48" t="n">
        <x:f>IF('Monthly Avg Balance'!Z10=0,"",'Monthly NII'!Z10*12/'Monthly Avg Balance'!Z10)</x:f>
        <x:v>0.03220090016152724</x:v>
      </x:c>
      <x:c r="AA10" s="48" t="n">
        <x:f>IF('Monthly Avg Balance'!AA10=0,"",'Monthly NII'!AA10*12/'Monthly Avg Balance'!AA10)</x:f>
        <x:v>0.032200900161527234</x:v>
      </x:c>
      <x:c r="AB10" s="48" t="n">
        <x:f>IF('Monthly Avg Balance'!AB10=0,"",'Monthly NII'!AB10*12/'Monthly Avg Balance'!AB10)</x:f>
        <x:v>0.032200900161527234</x:v>
      </x:c>
      <x:c r="AC10" s="48" t="n">
        <x:f>IF('Monthly Avg Balance'!AC10=0,"",'Monthly NII'!AC10*12/'Monthly Avg Balance'!AC10)</x:f>
        <x:v>0.03285868460482612</x:v>
      </x:c>
      <x:c r="AD10" s="48" t="n">
        <x:f>IF('Monthly Avg Balance'!AD10=0,"",'Monthly NII'!AD10*12/'Monthly Avg Balance'!AD10)</x:f>
        <x:v>0.03285868460482612</x:v>
      </x:c>
      <x:c r="AE10" s="48" t="n">
        <x:f>IF('Monthly Avg Balance'!AE10=0,"",'Monthly NII'!AE10*12/'Monthly Avg Balance'!AE10)</x:f>
        <x:v>0.03285868460482612</x:v>
      </x:c>
      <x:c r="AF10" s="110" t="n">
        <x:f>MAX(0,'Forecast Drivers'!C6/100+'Forecast Drivers'!$B$24)</x:f>
        <x:v>0.03237535127149279</x:v>
      </x:c>
      <x:c r="AG10" s="110" t="n">
        <x:f>MAX(0,'Forecast Drivers'!D6/100+'Forecast Drivers'!$B$24)</x:f>
        <x:v>0.031892017938159455</x:v>
      </x:c>
      <x:c r="AH10" s="110" t="n">
        <x:f>MAX(0,'Forecast Drivers'!E6/100+'Forecast Drivers'!$B$24)</x:f>
        <x:v>0.03140868460482612</x:v>
      </x:c>
      <x:c r="AI10" s="110" t="n">
        <x:f>MAX(0,'Forecast Drivers'!F6/100+'Forecast Drivers'!$B$24)</x:f>
        <x:v>0.03092535127149279</x:v>
      </x:c>
      <x:c r="AJ10" s="110" t="n">
        <x:f>MAX(0,'Forecast Drivers'!G6/100+'Forecast Drivers'!$B$24)</x:f>
        <x:v>0.030442017938159455</x:v>
      </x:c>
      <x:c r="AK10" s="110" t="n">
        <x:f>MAX(0,'Forecast Drivers'!H6/100+'Forecast Drivers'!$B$24)</x:f>
        <x:v>0.02995868460482612</x:v>
      </x:c>
      <x:c r="AL10" s="110" t="n">
        <x:f>MAX(0,'Forecast Drivers'!I6/100+'Forecast Drivers'!$B$24)</x:f>
        <x:v>0.02947535127149279</x:v>
      </x:c>
      <x:c r="AM10" s="110" t="n">
        <x:f>MAX(0,'Forecast Drivers'!J6/100+'Forecast Drivers'!$B$24)</x:f>
        <x:v>0.028992017938159455</x:v>
      </x:c>
      <x:c r="AN10" s="110" t="n">
        <x:f>MAX(0,'Forecast Drivers'!K6/100+'Forecast Drivers'!$B$24)</x:f>
        <x:v>0.02850868460482612</x:v>
      </x:c>
      <x:c r="AO10" s="110" t="n">
        <x:f>MAX(0,'Forecast Drivers'!L6/100+'Forecast Drivers'!$B$24)</x:f>
        <x:v>0.02802535127149279</x:v>
      </x:c>
      <x:c r="AP10" s="110" t="n">
        <x:f>MAX(0,'Forecast Drivers'!M6/100+'Forecast Drivers'!$B$24)</x:f>
        <x:v>0.027542017938159455</x:v>
      </x:c>
      <x:c r="AQ10" s="110" t="n">
        <x:f>MAX(0,'Forecast Drivers'!N6/100+'Forecast Drivers'!$B$24)</x:f>
        <x:v>0.02705868460482612</x:v>
      </x:c>
    </x:row>
    <x:row r="11">
      <x:c r="A11" s="20" t="str">
        <x:v>  Cash equivalents and other</x:v>
      </x:c>
      <x:c r="B11" s="48" t="n">
        <x:f>IF('Monthly Avg Balance'!B11=0,"",'Monthly NII'!B11*12/'Monthly Avg Balance'!B11)</x:f>
        <x:v>0.04563843063040825</x:v>
      </x:c>
      <x:c r="C11" s="48" t="n">
        <x:f>IF('Monthly Avg Balance'!C11=0,"",'Monthly NII'!C11*12/'Monthly Avg Balance'!C11)</x:f>
        <x:v>0.04563843063040824</x:v>
      </x:c>
      <x:c r="D11" s="48" t="n">
        <x:f>IF('Monthly Avg Balance'!D11=0,"",'Monthly NII'!D11*12/'Monthly Avg Balance'!D11)</x:f>
        <x:v>0.04563843063040825</x:v>
      </x:c>
      <x:c r="E11" s="48" t="n">
        <x:f>IF('Monthly Avg Balance'!E11=0,"",'Monthly NII'!E11*12/'Monthly Avg Balance'!E11)</x:f>
        <x:v>0.05093493603782191</x:v>
      </x:c>
      <x:c r="F11" s="48" t="n">
        <x:f>IF('Monthly Avg Balance'!F11=0,"",'Monthly NII'!F11*12/'Monthly Avg Balance'!F11)</x:f>
        <x:v>0.0509349360378219</x:v>
      </x:c>
      <x:c r="G11" s="48" t="n">
        <x:f>IF('Monthly Avg Balance'!G11=0,"",'Monthly NII'!G11*12/'Monthly Avg Balance'!G11)</x:f>
        <x:v>0.0509349360378219</x:v>
      </x:c>
      <x:c r="H11" s="48" t="n">
        <x:f>IF('Monthly Avg Balance'!H11=0,"",'Monthly NII'!H11*12/'Monthly Avg Balance'!H11)</x:f>
        <x:v>0.05270386814450441</x:v>
      </x:c>
      <x:c r="I11" s="48" t="n">
        <x:f>IF('Monthly Avg Balance'!I11=0,"",'Monthly NII'!I11*12/'Monthly Avg Balance'!I11)</x:f>
        <x:v>0.05270386814450442</x:v>
      </x:c>
      <x:c r="J11" s="48" t="n">
        <x:f>IF('Monthly Avg Balance'!J11=0,"",'Monthly NII'!J11*12/'Monthly Avg Balance'!J11)</x:f>
        <x:v>0.052703868144504416</x:v>
      </x:c>
      <x:c r="K11" s="48" t="n">
        <x:f>IF('Monthly Avg Balance'!K11=0,"",'Monthly NII'!K11*12/'Monthly Avg Balance'!K11)</x:f>
        <x:v>0.053324369417195136</x:v>
      </x:c>
      <x:c r="L11" s="48" t="n">
        <x:f>IF('Monthly Avg Balance'!L11=0,"",'Monthly NII'!L11*12/'Monthly Avg Balance'!L11)</x:f>
        <x:v>0.053324369417195136</x:v>
      </x:c>
      <x:c r="M11" s="48" t="n">
        <x:f>IF('Monthly Avg Balance'!M11=0,"",'Monthly NII'!M11*12/'Monthly Avg Balance'!M11)</x:f>
        <x:v>0.05332436941719514</x:v>
      </x:c>
      <x:c r="N11" s="48" t="n">
        <x:f>IF('Monthly Avg Balance'!N11=0,"",'Monthly NII'!N11*12/'Monthly Avg Balance'!N11)</x:f>
        <x:v>0.05385508729799421</x:v>
      </x:c>
      <x:c r="O11" s="48" t="n">
        <x:f>IF('Monthly Avg Balance'!O11=0,"",'Monthly NII'!O11*12/'Monthly Avg Balance'!O11)</x:f>
        <x:v>0.05385508729799422</x:v>
      </x:c>
      <x:c r="P11" s="48" t="n">
        <x:f>IF('Monthly Avg Balance'!P11=0,"",'Monthly NII'!P11*12/'Monthly Avg Balance'!P11)</x:f>
        <x:v>0.05385508729799421</x:v>
      </x:c>
      <x:c r="Q11" s="48" t="n">
        <x:f>IF('Monthly Avg Balance'!Q11=0,"",'Monthly NII'!Q11*12/'Monthly Avg Balance'!Q11)</x:f>
        <x:v>0.05309394326545842</x:v>
      </x:c>
      <x:c r="R11" s="48" t="n">
        <x:f>IF('Monthly Avg Balance'!R11=0,"",'Monthly NII'!R11*12/'Monthly Avg Balance'!R11)</x:f>
        <x:v>0.05309394326545841</x:v>
      </x:c>
      <x:c r="S11" s="48" t="n">
        <x:f>IF('Monthly Avg Balance'!S11=0,"",'Monthly NII'!S11*12/'Monthly Avg Balance'!S11)</x:f>
        <x:v>0.05309394326545841</x:v>
      </x:c>
      <x:c r="T11" s="48" t="n">
        <x:f>IF('Monthly Avg Balance'!T11=0,"",'Monthly NII'!T11*12/'Monthly Avg Balance'!T11)</x:f>
        <x:v>0.05283694942532226</x:v>
      </x:c>
      <x:c r="U11" s="48" t="n">
        <x:f>IF('Monthly Avg Balance'!U11=0,"",'Monthly NII'!U11*12/'Monthly Avg Balance'!U11)</x:f>
        <x:v>0.05283694942532226</x:v>
      </x:c>
      <x:c r="V11" s="48" t="n">
        <x:f>IF('Monthly Avg Balance'!V11=0,"",'Monthly NII'!V11*12/'Monthly Avg Balance'!V11)</x:f>
        <x:v>0.052836949425322265</x:v>
      </x:c>
      <x:c r="W11" s="48" t="n">
        <x:f>IF('Monthly Avg Balance'!W11=0,"",'Monthly NII'!W11*12/'Monthly Avg Balance'!W11)</x:f>
        <x:v>0.04609597529951512</x:v>
      </x:c>
      <x:c r="X11" s="48" t="n">
        <x:f>IF('Monthly Avg Balance'!X11=0,"",'Monthly NII'!X11*12/'Monthly Avg Balance'!X11)</x:f>
        <x:v>0.04609597529951512</x:v>
      </x:c>
      <x:c r="Y11" s="48" t="n">
        <x:f>IF('Monthly Avg Balance'!Y11=0,"",'Monthly NII'!Y11*12/'Monthly Avg Balance'!Y11)</x:f>
        <x:v>0.04609597529951511</x:v>
      </x:c>
      <x:c r="Z11" s="48" t="n">
        <x:f>IF('Monthly Avg Balance'!Z11=0,"",'Monthly NII'!Z11*12/'Monthly Avg Balance'!Z11)</x:f>
        <x:v>0.041190699235189664</x:v>
      </x:c>
      <x:c r="AA11" s="48" t="n">
        <x:f>IF('Monthly Avg Balance'!AA11=0,"",'Monthly NII'!AA11*12/'Monthly Avg Balance'!AA11)</x:f>
        <x:v>0.041190699235189664</x:v>
      </x:c>
      <x:c r="AB11" s="48" t="n">
        <x:f>IF('Monthly Avg Balance'!AB11=0,"",'Monthly NII'!AB11*12/'Monthly Avg Balance'!AB11)</x:f>
        <x:v>0.04119069923518967</x:v>
      </x:c>
      <x:c r="AC11" s="48" t="n">
        <x:f>IF('Monthly Avg Balance'!AC11=0,"",'Monthly NII'!AC11*12/'Monthly Avg Balance'!AC11)</x:f>
        <x:v>0.04513260071870823</x:v>
      </x:c>
      <x:c r="AD11" s="48" t="n">
        <x:f>IF('Monthly Avg Balance'!AD11=0,"",'Monthly NII'!AD11*12/'Monthly Avg Balance'!AD11)</x:f>
        <x:v>0.04513260071870822</x:v>
      </x:c>
      <x:c r="AE11" s="48" t="n">
        <x:f>IF('Monthly Avg Balance'!AE11=0,"",'Monthly NII'!AE11*12/'Monthly Avg Balance'!AE11)</x:f>
        <x:v>0.04513260071870822</x:v>
      </x:c>
      <x:c r="AF11" s="110" t="n">
        <x:f>MAX(0,'Forecast Drivers'!C5/100+'Forecast Drivers'!$B$25)</x:f>
        <x:v>0.04488260071870822</x:v>
      </x:c>
      <x:c r="AG11" s="110" t="n">
        <x:f>MAX(0,'Forecast Drivers'!D5/100+'Forecast Drivers'!$B$25)</x:f>
        <x:v>0.04463260071870821</x:v>
      </x:c>
      <x:c r="AH11" s="110" t="n">
        <x:f>MAX(0,'Forecast Drivers'!E5/100+'Forecast Drivers'!$B$25)</x:f>
        <x:v>0.04438260071870821</x:v>
      </x:c>
      <x:c r="AI11" s="110" t="n">
        <x:f>MAX(0,'Forecast Drivers'!F5/100+'Forecast Drivers'!$B$25)</x:f>
        <x:v>0.044132600718708205</x:v>
      </x:c>
      <x:c r="AJ11" s="110" t="n">
        <x:f>MAX(0,'Forecast Drivers'!G5/100+'Forecast Drivers'!$B$25)</x:f>
        <x:v>0.043882600718708205</x:v>
      </x:c>
      <x:c r="AK11" s="110" t="n">
        <x:f>MAX(0,'Forecast Drivers'!H5/100+'Forecast Drivers'!$B$25)</x:f>
        <x:v>0.0436326007187082</x:v>
      </x:c>
      <x:c r="AL11" s="110" t="n">
        <x:f>MAX(0,'Forecast Drivers'!I5/100+'Forecast Drivers'!$B$25)</x:f>
        <x:v>0.0433826007187082</x:v>
      </x:c>
      <x:c r="AM11" s="110" t="n">
        <x:f>MAX(0,'Forecast Drivers'!J5/100+'Forecast Drivers'!$B$25)</x:f>
        <x:v>0.0431326007187082</x:v>
      </x:c>
      <x:c r="AN11" s="110" t="n">
        <x:f>MAX(0,'Forecast Drivers'!K5/100+'Forecast Drivers'!$B$25)</x:f>
        <x:v>0.04288260071870819</x:v>
      </x:c>
      <x:c r="AO11" s="110" t="n">
        <x:f>MAX(0,'Forecast Drivers'!L5/100+'Forecast Drivers'!$B$25)</x:f>
        <x:v>0.04263260071870819</x:v>
      </x:c>
      <x:c r="AP11" s="110" t="n">
        <x:f>MAX(0,'Forecast Drivers'!M5/100+'Forecast Drivers'!$B$25)</x:f>
        <x:v>0.04238260071870818</x:v>
      </x:c>
      <x:c r="AQ11" s="110" t="n">
        <x:f>MAX(0,'Forecast Drivers'!N5/100+'Forecast Drivers'!$B$25)</x:f>
        <x:v>0.04213260071870818</x:v>
      </x:c>
    </x:row>
    <x:row r="12">
      <x:c r="A12" s="26" t="str">
        <x:v>  Total interest-earning assets</x:v>
      </x:c>
      <x:c r="B12" s="51" t="n">
        <x:f>IF('Monthly Avg Balance'!B12=0,"",'Monthly NII'!B12*12/'Monthly Avg Balance'!B12)</x:f>
        <x:v>0.09025765503919102</x:v>
      </x:c>
      <x:c r="C12" s="51" t="n">
        <x:f>IF('Monthly Avg Balance'!C12=0,"",'Monthly NII'!C12*12/'Monthly Avg Balance'!C12)</x:f>
        <x:v>0.08992306892074704</x:v>
      </x:c>
      <x:c r="D12" s="51" t="n">
        <x:f>IF('Monthly Avg Balance'!D12=0,"",'Monthly NII'!D12*12/'Monthly Avg Balance'!D12)</x:f>
        <x:v>0.08919616571866183</x:v>
      </x:c>
      <x:c r="E12" s="51" t="n">
        <x:f>IF('Monthly Avg Balance'!E12=0,"",'Monthly NII'!E12*12/'Monthly Avg Balance'!E12)</x:f>
        <x:v>0.09258598541295851</x:v>
      </x:c>
      <x:c r="F12" s="51" t="n">
        <x:f>IF('Monthly Avg Balance'!F12=0,"",'Monthly NII'!F12*12/'Monthly Avg Balance'!F12)</x:f>
        <x:v>0.0933706402747893</x:v>
      </x:c>
      <x:c r="G12" s="51" t="n">
        <x:f>IF('Monthly Avg Balance'!G12=0,"",'Monthly NII'!G12*12/'Monthly Avg Balance'!G12)</x:f>
        <x:v>0.09305372035312563</x:v>
      </x:c>
      <x:c r="H12" s="51" t="n">
        <x:f>IF('Monthly Avg Balance'!H12=0,"",'Monthly NII'!H12*12/'Monthly Avg Balance'!H12)</x:f>
        <x:v>0.09796365099030396</x:v>
      </x:c>
      <x:c r="I12" s="51" t="n">
        <x:f>IF('Monthly Avg Balance'!I12=0,"",'Monthly NII'!I12*12/'Monthly Avg Balance'!I12)</x:f>
        <x:v>0.09826469507344864</x:v>
      </x:c>
      <x:c r="J12" s="51" t="n">
        <x:f>IF('Monthly Avg Balance'!J12=0,"",'Monthly NII'!J12*12/'Monthly Avg Balance'!J12)</x:f>
        <x:v>0.09826768277840107</x:v>
      </x:c>
      <x:c r="K12" s="51" t="n">
        <x:f>IF('Monthly Avg Balance'!K12=0,"",'Monthly NII'!K12*12/'Monthly Avg Balance'!K12)</x:f>
        <x:v>0.09926406838003174</x:v>
      </x:c>
      <x:c r="L12" s="51" t="n">
        <x:f>IF('Monthly Avg Balance'!L12=0,"",'Monthly NII'!L12*12/'Monthly Avg Balance'!L12)</x:f>
        <x:v>0.09905990190205997</x:v>
      </x:c>
      <x:c r="M12" s="51" t="n">
        <x:f>IF('Monthly Avg Balance'!M12=0,"",'Monthly NII'!M12*12/'Monthly Avg Balance'!M12)</x:f>
        <x:v>0.10029215528616019</x:v>
      </x:c>
      <x:c r="N12" s="51" t="n">
        <x:f>IF('Monthly Avg Balance'!N12=0,"",'Monthly NII'!N12*12/'Monthly Avg Balance'!N12)</x:f>
        <x:v>0.10032211484870152</x:v>
      </x:c>
      <x:c r="O12" s="51" t="n">
        <x:f>IF('Monthly Avg Balance'!O12=0,"",'Monthly NII'!O12*12/'Monthly Avg Balance'!O12)</x:f>
        <x:v>0.09874091535642139</x:v>
      </x:c>
      <x:c r="P12" s="51" t="n">
        <x:f>IF('Monthly Avg Balance'!P12=0,"",'Monthly NII'!P12*12/'Monthly Avg Balance'!P12)</x:f>
        <x:v>0.0996587645366125</x:v>
      </x:c>
      <x:c r="Q12" s="51" t="n">
        <x:f>IF('Monthly Avg Balance'!Q12=0,"",'Monthly NII'!Q12*12/'Monthly Avg Balance'!Q12)</x:f>
        <x:v>0.09992365329753788</x:v>
      </x:c>
      <x:c r="R12" s="51" t="n">
        <x:f>IF('Monthly Avg Balance'!R12=0,"",'Monthly NII'!R12*12/'Monthly Avg Balance'!R12)</x:f>
        <x:v>0.09880110728463075</x:v>
      </x:c>
      <x:c r="S12" s="51" t="n">
        <x:f>IF('Monthly Avg Balance'!S12=0,"",'Monthly NII'!S12*12/'Monthly Avg Balance'!S12)</x:f>
        <x:v>0.10020988174702786</x:v>
      </x:c>
      <x:c r="T12" s="51" t="n">
        <x:f>IF('Monthly Avg Balance'!T12=0,"",'Monthly NII'!T12*12/'Monthly Avg Balance'!T12)</x:f>
        <x:v>0.10461779647030983</x:v>
      </x:c>
      <x:c r="U12" s="51" t="n">
        <x:f>IF('Monthly Avg Balance'!U12=0,"",'Monthly NII'!U12*12/'Monthly Avg Balance'!U12)</x:f>
        <x:v>0.10326411871281374</x:v>
      </x:c>
      <x:c r="V12" s="51" t="n">
        <x:f>IF('Monthly Avg Balance'!V12=0,"",'Monthly NII'!V12*12/'Monthly Avg Balance'!V12)</x:f>
        <x:v>0.10410407276045115</x:v>
      </x:c>
      <x:c r="W12" s="51" t="n">
        <x:f>IF('Monthly Avg Balance'!W12=0,"",'Monthly NII'!W12*12/'Monthly Avg Balance'!W12)</x:f>
        <x:v>0.10128874721657813</x:v>
      </x:c>
      <x:c r="X12" s="51" t="n">
        <x:f>IF('Monthly Avg Balance'!X12=0,"",'Monthly NII'!X12*12/'Monthly Avg Balance'!X12)</x:f>
        <x:v>0.1003178871863008</x:v>
      </x:c>
      <x:c r="Y12" s="51" t="n">
        <x:f>IF('Monthly Avg Balance'!Y12=0,"",'Monthly NII'!Y12*12/'Monthly Avg Balance'!Y12)</x:f>
        <x:v>0.10213043620180903</x:v>
      </x:c>
      <x:c r="Z12" s="51" t="n">
        <x:f>IF('Monthly Avg Balance'!Z12=0,"",'Monthly NII'!Z12*12/'Monthly Avg Balance'!Z12)</x:f>
        <x:v>0.09908657100324947</x:v>
      </x:c>
      <x:c r="AA12" s="51" t="n">
        <x:f>IF('Monthly Avg Balance'!AA12=0,"",'Monthly NII'!AA12*12/'Monthly Avg Balance'!AA12)</x:f>
        <x:v>0.09715302816429532</x:v>
      </x:c>
      <x:c r="AB12" s="51" t="n">
        <x:f>IF('Monthly Avg Balance'!AB12=0,"",'Monthly NII'!AB12*12/'Monthly Avg Balance'!AB12)</x:f>
        <x:v>0.09835288136064557</x:v>
      </x:c>
      <x:c r="AC12" s="51" t="n">
        <x:f>IF('Monthly Avg Balance'!AC12=0,"",'Monthly NII'!AC12*12/'Monthly Avg Balance'!AC12)</x:f>
        <x:v>0.10407447538214083</x:v>
      </x:c>
      <x:c r="AD12" s="51" t="n">
        <x:f>IF('Monthly Avg Balance'!AD12=0,"",'Monthly NII'!AD12*12/'Monthly Avg Balance'!AD12)</x:f>
        <x:v>0.10459179733115534</x:v>
      </x:c>
      <x:c r="AE12" s="51" t="n">
        <x:f>IF('Monthly Avg Balance'!AE12=0,"",'Monthly NII'!AE12*12/'Monthly Avg Balance'!AE12)</x:f>
        <x:v>0.106738793119763</x:v>
      </x:c>
      <x:c r="AF12" s="113" t="n">
        <x:f>('Monthly Avg Balance'!AF9*AF9+'Monthly Avg Balance'!AF10*AF10+'Monthly Avg Balance'!AF11*AF11)/'Monthly Avg Balance'!AF12</x:f>
        <x:v>0.10915291500541281</x:v>
      </x:c>
      <x:c r="AG12" s="113" t="n">
        <x:f>('Monthly Avg Balance'!AG9*AG9+'Monthly Avg Balance'!AG10*AG10+'Monthly Avg Balance'!AG11*AG11)/'Monthly Avg Balance'!AG12</x:f>
        <x:v>0.10864923062885297</x:v>
      </x:c>
      <x:c r="AH12" s="113" t="n">
        <x:f>('Monthly Avg Balance'!AH9*AH9+'Monthly Avg Balance'!AH10*AH10+'Monthly Avg Balance'!AH11*AH11)/'Monthly Avg Balance'!AH12</x:f>
        <x:v>0.1085076497228831</x:v>
      </x:c>
      <x:c r="AI12" s="113" t="n">
        <x:f>('Monthly Avg Balance'!AI9*AI9+'Monthly Avg Balance'!AI10*AI10+'Monthly Avg Balance'!AI11*AI11)/'Monthly Avg Balance'!AI12</x:f>
        <x:v>0.10836607143714923</x:v>
      </x:c>
      <x:c r="AJ12" s="113" t="n">
        <x:f>('Monthly Avg Balance'!AJ9*AJ9+'Monthly Avg Balance'!AJ10*AJ10+'Monthly Avg Balance'!AJ11*AJ11)/'Monthly Avg Balance'!AJ12</x:f>
        <x:v>0.10786227878008384</x:v>
      </x:c>
      <x:c r="AK12" s="113" t="n">
        <x:f>('Monthly Avg Balance'!AK9*AK9+'Monthly Avg Balance'!AK10*AK10+'Monthly Avg Balance'!AK11*AK11)/'Monthly Avg Balance'!AK12</x:f>
        <x:v>0.10772067671047432</x:v>
      </x:c>
      <x:c r="AL12" s="113" t="n">
        <x:f>('Monthly Avg Balance'!AL9*AL9+'Monthly Avg Balance'!AL10*AL10+'Monthly Avg Balance'!AL11*AL11)/'Monthly Avg Balance'!AL12</x:f>
        <x:v>0.107579077264206</x:v>
      </x:c>
      <x:c r="AM12" s="113" t="n">
        <x:f>('Monthly Avg Balance'!AM9*AM9+'Monthly Avg Balance'!AM10*AM10+'Monthly Avg Balance'!AM11*AM11)/'Monthly Avg Balance'!AM12</x:f>
        <x:v>0.10707517639872875</x:v>
      </x:c>
      <x:c r="AN12" s="113" t="n">
        <x:f>('Monthly Avg Balance'!AN9*AN9+'Monthly Avg Balance'!AN10*AN10+'Monthly Avg Balance'!AN11*AN11)/'Monthly Avg Balance'!AN12</x:f>
        <x:v>0.10693355319047713</x:v>
      </x:c>
      <x:c r="AO12" s="113" t="n">
        <x:f>('Monthly Avg Balance'!AO9*AO9+'Monthly Avg Balance'!AO10*AO10+'Monthly Avg Balance'!AO11*AO11)/'Monthly Avg Balance'!AO12</x:f>
        <x:v>0.10679193260866572</x:v>
      </x:c>
      <x:c r="AP12" s="113" t="n">
        <x:f>('Monthly Avg Balance'!AP9*AP9+'Monthly Avg Balance'!AP10*AP10+'Monthly Avg Balance'!AP11*AP11)/'Monthly Avg Balance'!AP12</x:f>
        <x:v>0.10628792360680091</x:v>
      </x:c>
      <x:c r="AQ12" s="113" t="n">
        <x:f>('Monthly Avg Balance'!AQ9*AQ9+'Monthly Avg Balance'!AQ10*AQ10+'Monthly Avg Balance'!AQ11*AQ11)/'Monthly Avg Balance'!AQ12</x:f>
        <x:v>0.10614627928487347</x:v>
      </x:c>
    </x:row>
    <x:row r="13">
      <x:c r="A13" s="20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  <x:c r="AA13" s="48"/>
      <x:c r="AB13" s="48"/>
      <x:c r="AC13" s="48"/>
      <x:c r="AD13" s="48"/>
      <x:c r="AE13" s="48"/>
      <x:c r="AF13" s="110"/>
      <x:c r="AG13" s="110"/>
      <x:c r="AH13" s="110"/>
      <x:c r="AI13" s="110"/>
      <x:c r="AJ13" s="110"/>
      <x:c r="AK13" s="110"/>
      <x:c r="AL13" s="110"/>
      <x:c r="AM13" s="110"/>
      <x:c r="AN13" s="110"/>
      <x:c r="AO13" s="110"/>
      <x:c r="AP13" s="110"/>
      <x:c r="AQ13" s="110"/>
    </x:row>
    <x:row r="14">
      <x:c r="A14" s="32" t="str">
        <x:v>INTEREST-BEARING LIABILITIES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  <x:c r="N14" s="50"/>
      <x:c r="O14" s="50"/>
      <x:c r="P14" s="50"/>
      <x:c r="Q14" s="50"/>
      <x:c r="R14" s="50"/>
      <x:c r="S14" s="50"/>
      <x:c r="T14" s="50"/>
      <x:c r="U14" s="50"/>
      <x:c r="V14" s="50"/>
      <x:c r="W14" s="50"/>
      <x:c r="X14" s="50"/>
      <x:c r="Y14" s="50"/>
      <x:c r="Z14" s="50"/>
      <x:c r="AA14" s="50"/>
      <x:c r="AB14" s="50"/>
      <x:c r="AC14" s="50"/>
      <x:c r="AD14" s="50"/>
      <x:c r="AE14" s="50"/>
      <x:c r="AF14" s="114"/>
      <x:c r="AG14" s="114"/>
      <x:c r="AH14" s="114"/>
      <x:c r="AI14" s="114"/>
      <x:c r="AJ14" s="114"/>
      <x:c r="AK14" s="114"/>
      <x:c r="AL14" s="114"/>
      <x:c r="AM14" s="114"/>
      <x:c r="AN14" s="114"/>
      <x:c r="AO14" s="114"/>
      <x:c r="AP14" s="114"/>
      <x:c r="AQ14" s="114"/>
    </x:row>
    <x:row r="15">
      <x:c r="A15" s="20" t="str">
        <x:v>  Interest-bearing deposits</x:v>
      </x:c>
      <x:c r="B15" s="48" t="n">
        <x:f>IF('Monthly Avg Balance'!B15=0,"",'Monthly NII'!B15*12/'Monthly Avg Balance'!B15)</x:f>
        <x:v>0.024042385066777205</x:v>
      </x:c>
      <x:c r="C15" s="48" t="n">
        <x:f>IF('Monthly Avg Balance'!C15=0,"",'Monthly NII'!C15*12/'Monthly Avg Balance'!C15)</x:f>
        <x:v>0.024042385066777205</x:v>
      </x:c>
      <x:c r="D15" s="48" t="n">
        <x:f>IF('Monthly Avg Balance'!D15=0,"",'Monthly NII'!D15*12/'Monthly Avg Balance'!D15)</x:f>
        <x:v>0.024042385066777205</x:v>
      </x:c>
      <x:c r="E15" s="48" t="n">
        <x:f>IF('Monthly Avg Balance'!E15=0,"",'Monthly NII'!E15*12/'Monthly Avg Balance'!E15)</x:f>
        <x:v>0.029079809838222</x:v>
      </x:c>
      <x:c r="F15" s="48" t="n">
        <x:f>IF('Monthly Avg Balance'!F15=0,"",'Monthly NII'!F15*12/'Monthly Avg Balance'!F15)</x:f>
        <x:v>0.029079809838222007</x:v>
      </x:c>
      <x:c r="G15" s="48" t="n">
        <x:f>IF('Monthly Avg Balance'!G15=0,"",'Monthly NII'!G15*12/'Monthly Avg Balance'!G15)</x:f>
        <x:v>0.029079809838222004</x:v>
      </x:c>
      <x:c r="H15" s="48" t="n">
        <x:f>IF('Monthly Avg Balance'!H15=0,"",'Monthly NII'!H15*12/'Monthly Avg Balance'!H15)</x:f>
        <x:v>0.033047286350749286</x:v>
      </x:c>
      <x:c r="I15" s="48" t="n">
        <x:f>IF('Monthly Avg Balance'!I15=0,"",'Monthly NII'!I15*12/'Monthly Avg Balance'!I15)</x:f>
        <x:v>0.03304728635074929</x:v>
      </x:c>
      <x:c r="J15" s="48" t="n">
        <x:f>IF('Monthly Avg Balance'!J15=0,"",'Monthly NII'!J15*12/'Monthly Avg Balance'!J15)</x:f>
        <x:v>0.033047286350749286</x:v>
      </x:c>
      <x:c r="K15" s="48" t="n">
        <x:f>IF('Monthly Avg Balance'!K15=0,"",'Monthly NII'!K15*12/'Monthly Avg Balance'!K15)</x:f>
        <x:v>0.034675344977048904</x:v>
      </x:c>
      <x:c r="L15" s="48" t="n">
        <x:f>IF('Monthly Avg Balance'!L15=0,"",'Monthly NII'!L15*12/'Monthly Avg Balance'!L15)</x:f>
        <x:v>0.0346753449770489</x:v>
      </x:c>
      <x:c r="M15" s="48" t="n">
        <x:f>IF('Monthly Avg Balance'!M15=0,"",'Monthly NII'!M15*12/'Monthly Avg Balance'!M15)</x:f>
        <x:v>0.034675344977048904</x:v>
      </x:c>
      <x:c r="N15" s="48" t="n">
        <x:f>IF('Monthly Avg Balance'!N15=0,"",'Monthly NII'!N15*12/'Monthly Avg Balance'!N15)</x:f>
        <x:v>0.03544800323973571</x:v>
      </x:c>
      <x:c r="O15" s="48" t="n">
        <x:f>IF('Monthly Avg Balance'!O15=0,"",'Monthly NII'!O15*12/'Monthly Avg Balance'!O15)</x:f>
        <x:v>0.035448003239735716</x:v>
      </x:c>
      <x:c r="P15" s="48" t="n">
        <x:f>IF('Monthly Avg Balance'!P15=0,"",'Monthly NII'!P15*12/'Monthly Avg Balance'!P15)</x:f>
        <x:v>0.03544800323973571</x:v>
      </x:c>
      <x:c r="Q15" s="48" t="n">
        <x:f>IF('Monthly Avg Balance'!Q15=0,"",'Monthly NII'!Q15*12/'Monthly Avg Balance'!Q15)</x:f>
        <x:v>0.0356859967540312</x:v>
      </x:c>
      <x:c r="R15" s="48" t="n">
        <x:f>IF('Monthly Avg Balance'!R15=0,"",'Monthly NII'!R15*12/'Monthly Avg Balance'!R15)</x:f>
        <x:v>0.035685996754031196</x:v>
      </x:c>
      <x:c r="S15" s="48" t="n">
        <x:f>IF('Monthly Avg Balance'!S15=0,"",'Monthly NII'!S15*12/'Monthly Avg Balance'!S15)</x:f>
        <x:v>0.0356859967540312</x:v>
      </x:c>
      <x:c r="T15" s="48" t="n">
        <x:f>IF('Monthly Avg Balance'!T15=0,"",'Monthly NII'!T15*12/'Monthly Avg Balance'!T15)</x:f>
        <x:v>0.03635088166831415</x:v>
      </x:c>
      <x:c r="U15" s="48" t="n">
        <x:f>IF('Monthly Avg Balance'!U15=0,"",'Monthly NII'!U15*12/'Monthly Avg Balance'!U15)</x:f>
        <x:v>0.036350881668314156</x:v>
      </x:c>
      <x:c r="V15" s="48" t="n">
        <x:f>IF('Monthly Avg Balance'!V15=0,"",'Monthly NII'!V15*12/'Monthly Avg Balance'!V15)</x:f>
        <x:v>0.03635088166831415</x:v>
      </x:c>
      <x:c r="W15" s="48" t="n">
        <x:f>IF('Monthly Avg Balance'!W15=0,"",'Monthly NII'!W15*12/'Monthly Avg Balance'!W15)</x:f>
        <x:v>0.034531818561154115</x:v>
      </x:c>
      <x:c r="X15" s="48" t="n">
        <x:f>IF('Monthly Avg Balance'!X15=0,"",'Monthly NII'!X15*12/'Monthly Avg Balance'!X15)</x:f>
        <x:v>0.03453181856115412</x:v>
      </x:c>
      <x:c r="Y15" s="48" t="n">
        <x:f>IF('Monthly Avg Balance'!Y15=0,"",'Monthly NII'!Y15*12/'Monthly Avg Balance'!Y15)</x:f>
        <x:v>0.034531818561154115</x:v>
      </x:c>
      <x:c r="Z15" s="48" t="n">
        <x:f>IF('Monthly Avg Balance'!Z15=0,"",'Monthly NII'!Z15*12/'Monthly Avg Balance'!Z15)</x:f>
        <x:v>0.03217506077264586</x:v>
      </x:c>
      <x:c r="AA15" s="48" t="n">
        <x:f>IF('Monthly Avg Balance'!AA15=0,"",'Monthly NII'!AA15*12/'Monthly Avg Balance'!AA15)</x:f>
        <x:v>0.03217506077264587</x:v>
      </x:c>
      <x:c r="AB15" s="48" t="n">
        <x:f>IF('Monthly Avg Balance'!AB15=0,"",'Monthly NII'!AB15*12/'Monthly Avg Balance'!AB15)</x:f>
        <x:v>0.03217506077264586</x:v>
      </x:c>
      <x:c r="AC15" s="48" t="n">
        <x:f>IF('Monthly Avg Balance'!AC15=0,"",'Monthly NII'!AC15*12/'Monthly Avg Balance'!AC15)</x:f>
        <x:v>0.03233276494796662</x:v>
      </x:c>
      <x:c r="AD15" s="48" t="n">
        <x:f>IF('Monthly Avg Balance'!AD15=0,"",'Monthly NII'!AD15*12/'Monthly Avg Balance'!AD15)</x:f>
        <x:v>0.03233276494796662</x:v>
      </x:c>
      <x:c r="AE15" s="48" t="n">
        <x:f>IF('Monthly Avg Balance'!AE15=0,"",'Monthly NII'!AE15*12/'Monthly Avg Balance'!AE15)</x:f>
        <x:v>0.032332764947966615</x:v>
      </x:c>
      <x:c r="AF15" s="110" t="n">
        <x:f>MAX(0,'Forecast Drivers'!C5/100*'Forecast Drivers'!$B$20)</x:f>
        <x:v>0.03214608616651184</x:v>
      </x:c>
      <x:c r="AG15" s="110" t="n">
        <x:f>MAX(0,'Forecast Drivers'!D5/100*'Forecast Drivers'!$B$20)</x:f>
        <x:v>0.031959407385057065</x:v>
      </x:c>
      <x:c r="AH15" s="110" t="n">
        <x:f>MAX(0,'Forecast Drivers'!E5/100*'Forecast Drivers'!$B$20)</x:f>
        <x:v>0.03177272860360229</x:v>
      </x:c>
      <x:c r="AI15" s="110" t="n">
        <x:f>MAX(0,'Forecast Drivers'!F5/100*'Forecast Drivers'!$B$20)</x:f>
        <x:v>0.031586049822147515</x:v>
      </x:c>
      <x:c r="AJ15" s="110" t="n">
        <x:f>MAX(0,'Forecast Drivers'!G5/100*'Forecast Drivers'!$B$20)</x:f>
        <x:v>0.03139937104069274</x:v>
      </x:c>
      <x:c r="AK15" s="110" t="n">
        <x:f>MAX(0,'Forecast Drivers'!H5/100*'Forecast Drivers'!$B$20)</x:f>
        <x:v>0.031212692259237965</x:v>
      </x:c>
      <x:c r="AL15" s="110" t="n">
        <x:f>MAX(0,'Forecast Drivers'!I5/100*'Forecast Drivers'!$B$20)</x:f>
        <x:v>0.031026013477783193</x:v>
      </x:c>
      <x:c r="AM15" s="110" t="n">
        <x:f>MAX(0,'Forecast Drivers'!J5/100*'Forecast Drivers'!$B$20)</x:f>
        <x:v>0.030839334696328418</x:v>
      </x:c>
      <x:c r="AN15" s="110" t="n">
        <x:f>MAX(0,'Forecast Drivers'!K5/100*'Forecast Drivers'!$B$20)</x:f>
        <x:v>0.030652655914873643</x:v>
      </x:c>
      <x:c r="AO15" s="110" t="n">
        <x:f>MAX(0,'Forecast Drivers'!L5/100*'Forecast Drivers'!$B$20)</x:f>
        <x:v>0.030465977133418868</x:v>
      </x:c>
      <x:c r="AP15" s="110" t="n">
        <x:f>MAX(0,'Forecast Drivers'!M5/100*'Forecast Drivers'!$B$20)</x:f>
        <x:v>0.03027929835196409</x:v>
      </x:c>
      <x:c r="AQ15" s="110" t="n">
        <x:f>MAX(0,'Forecast Drivers'!N5/100*'Forecast Drivers'!$B$20)</x:f>
        <x:v>0.030092619570509318</x:v>
      </x:c>
    </x:row>
    <x:row r="16">
      <x:c r="A16" s="20" t="str">
        <x:v>  Securitized debt obligations</x:v>
      </x:c>
      <x:c r="B16" s="48" t="n">
        <x:f>IF('Monthly Avg Balance'!B16=0,"",'Monthly NII'!B16*12/'Monthly Avg Balance'!B16)</x:f>
        <x:v>0.0489247000173903</x:v>
      </x:c>
      <x:c r="C16" s="48" t="n">
        <x:f>IF('Monthly Avg Balance'!C16=0,"",'Monthly NII'!C16*12/'Monthly Avg Balance'!C16)</x:f>
        <x:v>0.0489247000173903</x:v>
      </x:c>
      <x:c r="D16" s="48" t="n">
        <x:f>IF('Monthly Avg Balance'!D16=0,"",'Monthly NII'!D16*12/'Monthly Avg Balance'!D16)</x:f>
        <x:v>0.0489247000173903</x:v>
      </x:c>
      <x:c r="E16" s="48" t="n">
        <x:f>IF('Monthly Avg Balance'!E16=0,"",'Monthly NII'!E16*12/'Monthly Avg Balance'!E16)</x:f>
        <x:v>0.05312025209611164</x:v>
      </x:c>
      <x:c r="F16" s="48" t="n">
        <x:f>IF('Monthly Avg Balance'!F16=0,"",'Monthly NII'!F16*12/'Monthly Avg Balance'!F16)</x:f>
        <x:v>0.05312025209611164</x:v>
      </x:c>
      <x:c r="G16" s="48" t="n">
        <x:f>IF('Monthly Avg Balance'!G16=0,"",'Monthly NII'!G16*12/'Monthly Avg Balance'!G16)</x:f>
        <x:v>0.05312025209611164</x:v>
      </x:c>
      <x:c r="H16" s="48" t="n">
        <x:f>IF('Monthly Avg Balance'!H16=0,"",'Monthly NII'!H16*12/'Monthly Avg Balance'!H16)</x:f>
        <x:v>0.05643379228284889</x:v>
      </x:c>
      <x:c r="I16" s="48" t="n">
        <x:f>IF('Monthly Avg Balance'!I16=0,"",'Monthly NII'!I16*12/'Monthly Avg Balance'!I16)</x:f>
        <x:v>0.05643379228284889</x:v>
      </x:c>
      <x:c r="J16" s="48" t="n">
        <x:f>IF('Monthly Avg Balance'!J16=0,"",'Monthly NII'!J16*12/'Monthly Avg Balance'!J16)</x:f>
        <x:v>0.05643379228284889</x:v>
      </x:c>
      <x:c r="K16" s="48" t="n">
        <x:f>IF('Monthly Avg Balance'!K16=0,"",'Monthly NII'!K16*12/'Monthly Avg Balance'!K16)</x:f>
        <x:v>0.057569300586995414</x:v>
      </x:c>
      <x:c r="L16" s="48" t="n">
        <x:f>IF('Monthly Avg Balance'!L16=0,"",'Monthly NII'!L16*12/'Monthly Avg Balance'!L16)</x:f>
        <x:v>0.0575693005869954</x:v>
      </x:c>
      <x:c r="M16" s="48" t="n">
        <x:f>IF('Monthly Avg Balance'!M16=0,"",'Monthly NII'!M16*12/'Monthly Avg Balance'!M16)</x:f>
        <x:v>0.057569300586995394</x:v>
      </x:c>
      <x:c r="N16" s="48" t="n">
        <x:f>IF('Monthly Avg Balance'!N16=0,"",'Monthly NII'!N16*12/'Monthly Avg Balance'!N16)</x:f>
        <x:v>0.05833309735451492</x:v>
      </x:c>
      <x:c r="O16" s="48" t="n">
        <x:f>IF('Monthly Avg Balance'!O16=0,"",'Monthly NII'!O16*12/'Monthly Avg Balance'!O16)</x:f>
        <x:v>0.058333097354514904</x:v>
      </x:c>
      <x:c r="P16" s="48" t="n">
        <x:f>IF('Monthly Avg Balance'!P16=0,"",'Monthly NII'!P16*12/'Monthly Avg Balance'!P16)</x:f>
        <x:v>0.058333097354514925</x:v>
      </x:c>
      <x:c r="Q16" s="48" t="n">
        <x:f>IF('Monthly Avg Balance'!Q16=0,"",'Monthly NII'!Q16*12/'Monthly Avg Balance'!Q16)</x:f>
        <x:v>0.059057492737828454</x:v>
      </x:c>
      <x:c r="R16" s="48" t="n">
        <x:f>IF('Monthly Avg Balance'!R16=0,"",'Monthly NII'!R16*12/'Monthly Avg Balance'!R16)</x:f>
        <x:v>0.05905749273782844</x:v>
      </x:c>
      <x:c r="S16" s="48" t="n">
        <x:f>IF('Monthly Avg Balance'!S16=0,"",'Monthly NII'!S16*12/'Monthly Avg Balance'!S16)</x:f>
        <x:v>0.059057492737828454</x:v>
      </x:c>
      <x:c r="T16" s="48" t="n">
        <x:f>IF('Monthly Avg Balance'!T16=0,"",'Monthly NII'!T16*12/'Monthly Avg Balance'!T16)</x:f>
        <x:v>0.06006679102644224</x:v>
      </x:c>
      <x:c r="U16" s="48" t="n">
        <x:f>IF('Monthly Avg Balance'!U16=0,"",'Monthly NII'!U16*12/'Monthly Avg Balance'!U16)</x:f>
        <x:v>0.06006679102644223</x:v>
      </x:c>
      <x:c r="V16" s="48" t="n">
        <x:f>IF('Monthly Avg Balance'!V16=0,"",'Monthly NII'!V16*12/'Monthly Avg Balance'!V16)</x:f>
        <x:v>0.06006679102644224</x:v>
      </x:c>
      <x:c r="W16" s="48" t="n">
        <x:f>IF('Monthly Avg Balance'!W16=0,"",'Monthly NII'!W16*12/'Monthly Avg Balance'!W16)</x:f>
        <x:v>0.05555496951057477</x:v>
      </x:c>
      <x:c r="X16" s="48" t="n">
        <x:f>IF('Monthly Avg Balance'!X16=0,"",'Monthly NII'!X16*12/'Monthly Avg Balance'!X16)</x:f>
        <x:v>0.055554969510574786</x:v>
      </x:c>
      <x:c r="Y16" s="48" t="n">
        <x:f>IF('Monthly Avg Balance'!Y16=0,"",'Monthly NII'!Y16*12/'Monthly Avg Balance'!Y16)</x:f>
        <x:v>0.05555496951057477</x:v>
      </x:c>
      <x:c r="Z16" s="48" t="n">
        <x:f>IF('Monthly Avg Balance'!Z16=0,"",'Monthly NII'!Z16*12/'Monthly Avg Balance'!Z16)</x:f>
        <x:v>0.051290546762056265</x:v>
      </x:c>
      <x:c r="AA16" s="48" t="n">
        <x:f>IF('Monthly Avg Balance'!AA16=0,"",'Monthly NII'!AA16*12/'Monthly Avg Balance'!AA16)</x:f>
        <x:v>0.051290546762056265</x:v>
      </x:c>
      <x:c r="AB16" s="48" t="n">
        <x:f>IF('Monthly Avg Balance'!AB16=0,"",'Monthly NII'!AB16*12/'Monthly Avg Balance'!AB16)</x:f>
        <x:v>0.051290546762056265</x:v>
      </x:c>
      <x:c r="AC16" s="48" t="n">
        <x:f>IF('Monthly Avg Balance'!AC16=0,"",'Monthly NII'!AC16*12/'Monthly Avg Balance'!AC16)</x:f>
        <x:v>0.051280103387706</x:v>
      </x:c>
      <x:c r="AD16" s="48" t="n">
        <x:f>IF('Monthly Avg Balance'!AD16=0,"",'Monthly NII'!AD16*12/'Monthly Avg Balance'!AD16)</x:f>
        <x:v>0.05128010338770599</x:v>
      </x:c>
      <x:c r="AE16" s="48" t="n">
        <x:f>IF('Monthly Avg Balance'!AE16=0,"",'Monthly NII'!AE16*12/'Monthly Avg Balance'!AE16)</x:f>
        <x:v>0.051280103387705986</x:v>
      </x:c>
      <x:c r="AF16" s="110" t="n">
        <x:f>MAX(0,'Forecast Drivers'!C6/100+'Forecast Drivers'!$B$26)</x:f>
        <x:v>0.05079677005437266</x:v>
      </x:c>
      <x:c r="AG16" s="110" t="n">
        <x:f>MAX(0,'Forecast Drivers'!D6/100+'Forecast Drivers'!$B$26)</x:f>
        <x:v>0.05031343672103932</x:v>
      </x:c>
      <x:c r="AH16" s="110" t="n">
        <x:f>MAX(0,'Forecast Drivers'!E6/100+'Forecast Drivers'!$B$26)</x:f>
        <x:v>0.049830103387705986</x:v>
      </x:c>
      <x:c r="AI16" s="110" t="n">
        <x:f>MAX(0,'Forecast Drivers'!F6/100+'Forecast Drivers'!$B$26)</x:f>
        <x:v>0.04934677005437266</x:v>
      </x:c>
      <x:c r="AJ16" s="110" t="n">
        <x:f>MAX(0,'Forecast Drivers'!G6/100+'Forecast Drivers'!$B$26)</x:f>
        <x:v>0.04886343672103932</x:v>
      </x:c>
      <x:c r="AK16" s="110" t="n">
        <x:f>MAX(0,'Forecast Drivers'!H6/100+'Forecast Drivers'!$B$26)</x:f>
        <x:v>0.048380103387705986</x:v>
      </x:c>
      <x:c r="AL16" s="110" t="n">
        <x:f>MAX(0,'Forecast Drivers'!I6/100+'Forecast Drivers'!$B$26)</x:f>
        <x:v>0.04789677005437266</x:v>
      </x:c>
      <x:c r="AM16" s="110" t="n">
        <x:f>MAX(0,'Forecast Drivers'!J6/100+'Forecast Drivers'!$B$26)</x:f>
        <x:v>0.04741343672103932</x:v>
      </x:c>
      <x:c r="AN16" s="110" t="n">
        <x:f>MAX(0,'Forecast Drivers'!K6/100+'Forecast Drivers'!$B$26)</x:f>
        <x:v>0.046930103387705986</x:v>
      </x:c>
      <x:c r="AO16" s="110" t="n">
        <x:f>MAX(0,'Forecast Drivers'!L6/100+'Forecast Drivers'!$B$26)</x:f>
        <x:v>0.04644677005437266</x:v>
      </x:c>
      <x:c r="AP16" s="110" t="n">
        <x:f>MAX(0,'Forecast Drivers'!M6/100+'Forecast Drivers'!$B$26)</x:f>
        <x:v>0.04596343672103932</x:v>
      </x:c>
      <x:c r="AQ16" s="110" t="n">
        <x:f>MAX(0,'Forecast Drivers'!N6/100+'Forecast Drivers'!$B$26)</x:f>
        <x:v>0.045480103387705986</x:v>
      </x:c>
    </x:row>
    <x:row r="17">
      <x:c r="A17" s="20" t="str">
        <x:v>  Senior and subordinated notes</x:v>
      </x:c>
      <x:c r="B17" s="48" t="n">
        <x:f>IF('Monthly Avg Balance'!B17=0,"",'Monthly NII'!B17*12/'Monthly Avg Balance'!B17)</x:f>
        <x:v>0.06490576055216353</x:v>
      </x:c>
      <x:c r="C17" s="48" t="n">
        <x:f>IF('Monthly Avg Balance'!C17=0,"",'Monthly NII'!C17*12/'Monthly Avg Balance'!C17)</x:f>
        <x:v>0.06490576055216353</x:v>
      </x:c>
      <x:c r="D17" s="48" t="n">
        <x:f>IF('Monthly Avg Balance'!D17=0,"",'Monthly NII'!D17*12/'Monthly Avg Balance'!D17)</x:f>
        <x:v>0.06490576055216353</x:v>
      </x:c>
      <x:c r="E17" s="48" t="n">
        <x:f>IF('Monthly Avg Balance'!E17=0,"",'Monthly NII'!E17*12/'Monthly Avg Balance'!E17)</x:f>
        <x:v>0.07002420344153046</x:v>
      </x:c>
      <x:c r="F17" s="48" t="n">
        <x:f>IF('Monthly Avg Balance'!F17=0,"",'Monthly NII'!F17*12/'Monthly Avg Balance'!F17)</x:f>
        <x:v>0.07002420344153046</x:v>
      </x:c>
      <x:c r="G17" s="48" t="n">
        <x:f>IF('Monthly Avg Balance'!G17=0,"",'Monthly NII'!G17*12/'Monthly Avg Balance'!G17)</x:f>
        <x:v>0.07002420344153046</x:v>
      </x:c>
      <x:c r="H17" s="48" t="n">
        <x:f>IF('Monthly Avg Balance'!H17=0,"",'Monthly NII'!H17*12/'Monthly Avg Balance'!H17)</x:f>
        <x:v>0.07347249540003806</x:v>
      </x:c>
      <x:c r="I17" s="48" t="n">
        <x:f>IF('Monthly Avg Balance'!I17=0,"",'Monthly NII'!I17*12/'Monthly Avg Balance'!I17)</x:f>
        <x:v>0.07347249540003807</x:v>
      </x:c>
      <x:c r="J17" s="48" t="n">
        <x:f>IF('Monthly Avg Balance'!J17=0,"",'Monthly NII'!J17*12/'Monthly Avg Balance'!J17)</x:f>
        <x:v>0.07347249540003806</x:v>
      </x:c>
      <x:c r="K17" s="48" t="n">
        <x:f>IF('Monthly Avg Balance'!K17=0,"",'Monthly NII'!K17*12/'Monthly Avg Balance'!K17)</x:f>
        <x:v>0.07437034803400526</x:v>
      </x:c>
      <x:c r="L17" s="48" t="n">
        <x:f>IF('Monthly Avg Balance'!L17=0,"",'Monthly NII'!L17*12/'Monthly Avg Balance'!L17)</x:f>
        <x:v>0.07437034803400525</x:v>
      </x:c>
      <x:c r="M17" s="48" t="n">
        <x:f>IF('Monthly Avg Balance'!M17=0,"",'Monthly NII'!M17*12/'Monthly Avg Balance'!M17)</x:f>
        <x:v>0.07437034803400526</x:v>
      </x:c>
      <x:c r="N17" s="48" t="n">
        <x:f>IF('Monthly Avg Balance'!N17=0,"",'Monthly NII'!N17*12/'Monthly Avg Balance'!N17)</x:f>
        <x:v>0.07501481246462866</x:v>
      </x:c>
      <x:c r="O17" s="48" t="n">
        <x:f>IF('Monthly Avg Balance'!O17=0,"",'Monthly NII'!O17*12/'Monthly Avg Balance'!O17)</x:f>
        <x:v>0.07501481246462864</x:v>
      </x:c>
      <x:c r="P17" s="48" t="n">
        <x:f>IF('Monthly Avg Balance'!P17=0,"",'Monthly NII'!P17*12/'Monthly Avg Balance'!P17)</x:f>
        <x:v>0.07501481246462866</x:v>
      </x:c>
      <x:c r="Q17" s="48" t="n">
        <x:f>IF('Monthly Avg Balance'!Q17=0,"",'Monthly NII'!Q17*12/'Monthly Avg Balance'!Q17)</x:f>
        <x:v>0.07643929306547965</x:v>
      </x:c>
      <x:c r="R17" s="48" t="n">
        <x:f>IF('Monthly Avg Balance'!R17=0,"",'Monthly NII'!R17*12/'Monthly Avg Balance'!R17)</x:f>
        <x:v>0.07643929306547965</x:v>
      </x:c>
      <x:c r="S17" s="48" t="n">
        <x:f>IF('Monthly Avg Balance'!S17=0,"",'Monthly NII'!S17*12/'Monthly Avg Balance'!S17)</x:f>
        <x:v>0.07643929306547964</x:v>
      </x:c>
      <x:c r="T17" s="48" t="n">
        <x:f>IF('Monthly Avg Balance'!T17=0,"",'Monthly NII'!T17*12/'Monthly Avg Balance'!T17)</x:f>
        <x:v>0.07394576182489188</x:v>
      </x:c>
      <x:c r="U17" s="48" t="n">
        <x:f>IF('Monthly Avg Balance'!U17=0,"",'Monthly NII'!U17*12/'Monthly Avg Balance'!U17)</x:f>
        <x:v>0.07394576182489188</x:v>
      </x:c>
      <x:c r="V17" s="48" t="n">
        <x:f>IF('Monthly Avg Balance'!V17=0,"",'Monthly NII'!V17*12/'Monthly Avg Balance'!V17)</x:f>
        <x:v>0.07394576182489186</x:v>
      </x:c>
      <x:c r="W17" s="48" t="n">
        <x:f>IF('Monthly Avg Balance'!W17=0,"",'Monthly NII'!W17*12/'Monthly Avg Balance'!W17)</x:f>
        <x:v>0.07040950185221885</x:v>
      </x:c>
      <x:c r="X17" s="48" t="n">
        <x:f>IF('Monthly Avg Balance'!X17=0,"",'Monthly NII'!X17*12/'Monthly Avg Balance'!X17)</x:f>
        <x:v>0.07040950185221885</x:v>
      </x:c>
      <x:c r="Y17" s="48" t="n">
        <x:f>IF('Monthly Avg Balance'!Y17=0,"",'Monthly NII'!Y17*12/'Monthly Avg Balance'!Y17)</x:f>
        <x:v>0.07040950185221885</x:v>
      </x:c>
      <x:c r="Z17" s="48" t="n">
        <x:f>IF('Monthly Avg Balance'!Z17=0,"",'Monthly NII'!Z17*12/'Monthly Avg Balance'!Z17)</x:f>
        <x:v>0.0658865227697932</x:v>
      </x:c>
      <x:c r="AA17" s="48" t="n">
        <x:f>IF('Monthly Avg Balance'!AA17=0,"",'Monthly NII'!AA17*12/'Monthly Avg Balance'!AA17)</x:f>
        <x:v>0.0658865227697932</x:v>
      </x:c>
      <x:c r="AB17" s="48" t="n">
        <x:f>IF('Monthly Avg Balance'!AB17=0,"",'Monthly NII'!AB17*12/'Monthly Avg Balance'!AB17)</x:f>
        <x:v>0.0658865227697932</x:v>
      </x:c>
      <x:c r="AC17" s="48" t="n">
        <x:f>IF('Monthly Avg Balance'!AC17=0,"",'Monthly NII'!AC17*12/'Monthly Avg Balance'!AC17)</x:f>
        <x:v>0.06503205768713205</x:v>
      </x:c>
      <x:c r="AD17" s="48" t="n">
        <x:f>IF('Monthly Avg Balance'!AD17=0,"",'Monthly NII'!AD17*12/'Monthly Avg Balance'!AD17)</x:f>
        <x:v>0.06503205768713205</x:v>
      </x:c>
      <x:c r="AE17" s="48" t="n">
        <x:f>IF('Monthly Avg Balance'!AE17=0,"",'Monthly NII'!AE17*12/'Monthly Avg Balance'!AE17)</x:f>
        <x:v>0.06503205768713206</x:v>
      </x:c>
      <x:c r="AF17" s="110" t="n">
        <x:f>MAX(0,'Forecast Drivers'!C6/100+'Forecast Drivers'!C13/100+'Forecast Drivers'!$B$27)</x:f>
        <x:v>0.0647168910204654</x:v>
      </x:c>
      <x:c r="AG17" s="110" t="n">
        <x:f>MAX(0,'Forecast Drivers'!D6/100+'Forecast Drivers'!D13/100+'Forecast Drivers'!$B$27)</x:f>
        <x:v>0.06440172435379873</x:v>
      </x:c>
      <x:c r="AH17" s="110" t="n">
        <x:f>MAX(0,'Forecast Drivers'!E6/100+'Forecast Drivers'!E13/100+'Forecast Drivers'!$B$27)</x:f>
        <x:v>0.06408655768713206</x:v>
      </x:c>
      <x:c r="AI17" s="110" t="n">
        <x:f>MAX(0,'Forecast Drivers'!F6/100+'Forecast Drivers'!F13/100+'Forecast Drivers'!$B$27)</x:f>
        <x:v>0.0637713910204654</x:v>
      </x:c>
      <x:c r="AJ17" s="110" t="n">
        <x:f>MAX(0,'Forecast Drivers'!G6/100+'Forecast Drivers'!G13/100+'Forecast Drivers'!$B$27)</x:f>
        <x:v>0.06345622435379873</x:v>
      </x:c>
      <x:c r="AK17" s="110" t="n">
        <x:f>MAX(0,'Forecast Drivers'!H6/100+'Forecast Drivers'!H13/100+'Forecast Drivers'!$B$27)</x:f>
        <x:v>0.06314105768713207</x:v>
      </x:c>
      <x:c r="AL17" s="110" t="n">
        <x:f>MAX(0,'Forecast Drivers'!I6/100+'Forecast Drivers'!I13/100+'Forecast Drivers'!$B$27)</x:f>
        <x:v>0.0628258910204654</x:v>
      </x:c>
      <x:c r="AM17" s="110" t="n">
        <x:f>MAX(0,'Forecast Drivers'!J6/100+'Forecast Drivers'!J13/100+'Forecast Drivers'!$B$27)</x:f>
        <x:v>0.06251072435379873</x:v>
      </x:c>
      <x:c r="AN17" s="110" t="n">
        <x:f>MAX(0,'Forecast Drivers'!K6/100+'Forecast Drivers'!K13/100+'Forecast Drivers'!$B$27)</x:f>
        <x:v>0.062195557687132065</x:v>
      </x:c>
      <x:c r="AO17" s="110" t="n">
        <x:f>MAX(0,'Forecast Drivers'!L6/100+'Forecast Drivers'!L13/100+'Forecast Drivers'!$B$27)</x:f>
        <x:v>0.06188039102046541</x:v>
      </x:c>
      <x:c r="AP17" s="110" t="n">
        <x:f>MAX(0,'Forecast Drivers'!M6/100+'Forecast Drivers'!M13/100+'Forecast Drivers'!$B$27)</x:f>
        <x:v>0.061565224353798735</x:v>
      </x:c>
      <x:c r="AQ17" s="110" t="n">
        <x:f>MAX(0,'Forecast Drivers'!N6/100+'Forecast Drivers'!N13/100+'Forecast Drivers'!$B$27)</x:f>
        <x:v>0.06125005768713207</x:v>
      </x:c>
    </x:row>
    <x:row r="18">
      <x:c r="A18" s="20" t="str">
        <x:v>  Other borrowings</x:v>
      </x:c>
      <x:c r="B18" s="48" t="n">
        <x:f>IF('Monthly Avg Balance'!B18=0,"",'Monthly NII'!B18*12/'Monthly Avg Balance'!B18)</x:f>
        <x:v>0.020556745182012854</x:v>
      </x:c>
      <x:c r="C18" s="48" t="n">
        <x:f>IF('Monthly Avg Balance'!C18=0,"",'Monthly NII'!C18*12/'Monthly Avg Balance'!C18)</x:f>
        <x:v>0.020556745182012854</x:v>
      </x:c>
      <x:c r="D18" s="48" t="n">
        <x:f>IF('Monthly Avg Balance'!D18=0,"",'Monthly NII'!D18*12/'Monthly Avg Balance'!D18)</x:f>
        <x:v>0.020556745182012854</x:v>
      </x:c>
      <x:c r="E18" s="48" t="n">
        <x:f>IF('Monthly Avg Balance'!E18=0,"",'Monthly NII'!E18*12/'Monthly Avg Balance'!E18)</x:f>
        <x:v>0.01984291029350971</x:v>
      </x:c>
      <x:c r="F18" s="48" t="n">
        <x:f>IF('Monthly Avg Balance'!F18=0,"",'Monthly NII'!F18*12/'Monthly Avg Balance'!F18)</x:f>
        <x:v>0.01984291029350971</x:v>
      </x:c>
      <x:c r="G18" s="48" t="n">
        <x:f>IF('Monthly Avg Balance'!G18=0,"",'Monthly NII'!G18*12/'Monthly Avg Balance'!G18)</x:f>
        <x:v>0.019842910293509715</x:v>
      </x:c>
      <x:c r="H18" s="48" t="n">
        <x:f>IF('Monthly Avg Balance'!H18=0,"",'Monthly NII'!H18*12/'Monthly Avg Balance'!H18)</x:f>
        <x:v>0.01779215527699151</x:v>
      </x:c>
      <x:c r="I18" s="48" t="n">
        <x:f>IF('Monthly Avg Balance'!I18=0,"",'Monthly NII'!I18*12/'Monthly Avg Balance'!I18)</x:f>
        <x:v>0.01779215527699151</x:v>
      </x:c>
      <x:c r="J18" s="48" t="n">
        <x:f>IF('Monthly Avg Balance'!J18=0,"",'Monthly NII'!J18*12/'Monthly Avg Balance'!J18)</x:f>
        <x:v>0.017792155276991507</x:v>
      </x:c>
      <x:c r="K18" s="48" t="n">
        <x:f>IF('Monthly Avg Balance'!K18=0,"",'Monthly NII'!K18*12/'Monthly Avg Balance'!K18)</x:f>
        <x:v>0.015228426395939085</x:v>
      </x:c>
      <x:c r="L18" s="48" t="n">
        <x:f>IF('Monthly Avg Balance'!L18=0,"",'Monthly NII'!L18*12/'Monthly Avg Balance'!L18)</x:f>
        <x:v>0.015228426395939087</x:v>
      </x:c>
      <x:c r="M18" s="48" t="n">
        <x:f>IF('Monthly Avg Balance'!M18=0,"",'Monthly NII'!M18*12/'Monthly Avg Balance'!M18)</x:f>
        <x:v>0.015228426395939087</x:v>
      </x:c>
      <x:c r="N18" s="48" t="n">
        <x:f>IF('Monthly Avg Balance'!N18=0,"",'Monthly NII'!N18*12/'Monthly Avg Balance'!N18)</x:f>
        <x:v>0.01346272507993493</x:v>
      </x:c>
      <x:c r="O18" s="48" t="n">
        <x:f>IF('Monthly Avg Balance'!O18=0,"",'Monthly NII'!O18*12/'Monthly Avg Balance'!O18)</x:f>
        <x:v>0.01346272507993493</x:v>
      </x:c>
      <x:c r="P18" s="48" t="n">
        <x:f>IF('Monthly Avg Balance'!P18=0,"",'Monthly NII'!P18*12/'Monthly Avg Balance'!P18)</x:f>
        <x:v>0.01346272507993493</x:v>
      </x:c>
      <x:c r="Q18" s="48" t="n">
        <x:f>IF('Monthly Avg Balance'!Q18=0,"",'Monthly NII'!Q18*12/'Monthly Avg Balance'!Q18)</x:f>
        <x:v>0.014129736673089274</x:v>
      </x:c>
      <x:c r="R18" s="48" t="n">
        <x:f>IF('Monthly Avg Balance'!R18=0,"",'Monthly NII'!R18*12/'Monthly Avg Balance'!R18)</x:f>
        <x:v>0.014129736673089276</x:v>
      </x:c>
      <x:c r="S18" s="48" t="n">
        <x:f>IF('Monthly Avg Balance'!S18=0,"",'Monthly NII'!S18*12/'Monthly Avg Balance'!S18)</x:f>
        <x:v>0.014129736673089276</x:v>
      </x:c>
      <x:c r="T18" s="48" t="n">
        <x:f>IF('Monthly Avg Balance'!T18=0,"",'Monthly NII'!T18*12/'Monthly Avg Balance'!T18)</x:f>
        <x:v>0.012115772941440428</x:v>
      </x:c>
      <x:c r="U18" s="48" t="n">
        <x:f>IF('Monthly Avg Balance'!U18=0,"",'Monthly NII'!U18*12/'Monthly Avg Balance'!U18)</x:f>
        <x:v>0.012115772941440431</x:v>
      </x:c>
      <x:c r="V18" s="48" t="n">
        <x:f>IF('Monthly Avg Balance'!V18=0,"",'Monthly NII'!V18*12/'Monthly Avg Balance'!V18)</x:f>
        <x:v>0.01211577294144043</x:v>
      </x:c>
      <x:c r="W18" s="48" t="n">
        <x:f>IF('Monthly Avg Balance'!W18=0,"",'Monthly NII'!W18*12/'Monthly Avg Balance'!W18)</x:f>
        <x:v>0.01573340617317673</x:v>
      </x:c>
      <x:c r="X18" s="48" t="n">
        <x:f>IF('Monthly Avg Balance'!X18=0,"",'Monthly NII'!X18*12/'Monthly Avg Balance'!X18)</x:f>
        <x:v>0.01573340617317673</x:v>
      </x:c>
      <x:c r="Y18" s="48" t="n">
        <x:f>IF('Monthly Avg Balance'!Y18=0,"",'Monthly NII'!Y18*12/'Monthly Avg Balance'!Y18)</x:f>
        <x:v>0.01573340617317673</x:v>
      </x:c>
      <x:c r="Z18" s="48" t="n">
        <x:f>IF('Monthly Avg Balance'!Z18=0,"",'Monthly NII'!Z18*12/'Monthly Avg Balance'!Z18)</x:f>
        <x:v>0.012480499219968796</x:v>
      </x:c>
      <x:c r="AA18" s="48" t="n">
        <x:f>IF('Monthly Avg Balance'!AA18=0,"",'Monthly NII'!AA18*12/'Monthly Avg Balance'!AA18)</x:f>
        <x:v>0.012480499219968796</x:v>
      </x:c>
      <x:c r="AB18" s="48" t="n">
        <x:f>IF('Monthly Avg Balance'!AB18=0,"",'Monthly NII'!AB18*12/'Monthly Avg Balance'!AB18)</x:f>
        <x:v>0.0124804992199688</x:v>
      </x:c>
      <x:c r="AC18" s="48" t="n">
        <x:f>IF('Monthly Avg Balance'!AC18=0,"",'Monthly NII'!AC18*12/'Monthly Avg Balance'!AC18)</x:f>
        <x:v>0.015942304042512807</x:v>
      </x:c>
      <x:c r="AD18" s="48" t="n">
        <x:f>IF('Monthly Avg Balance'!AD18=0,"",'Monthly NII'!AD18*12/'Monthly Avg Balance'!AD18)</x:f>
        <x:v>0.015942304042512807</x:v>
      </x:c>
      <x:c r="AE18" s="48" t="n">
        <x:f>IF('Monthly Avg Balance'!AE18=0,"",'Monthly NII'!AE18*12/'Monthly Avg Balance'!AE18)</x:f>
        <x:v>0.01594230404251281</x:v>
      </x:c>
      <x:c r="AF18" s="110" t="n">
        <x:f>MAX(0,'Forecast Drivers'!C5/100+'Forecast Drivers'!$B$28)</x:f>
        <x:v>0.01569230404251281</x:v>
      </x:c>
      <x:c r="AG18" s="110" t="n">
        <x:f>MAX(0,'Forecast Drivers'!D5/100+'Forecast Drivers'!$B$28)</x:f>
        <x:v>0.015442304042512803</x:v>
      </x:c>
      <x:c r="AH18" s="110" t="n">
        <x:f>MAX(0,'Forecast Drivers'!E5/100+'Forecast Drivers'!$B$28)</x:f>
        <x:v>0.015192304042512803</x:v>
      </x:c>
      <x:c r="AI18" s="110" t="n">
        <x:f>MAX(0,'Forecast Drivers'!F5/100+'Forecast Drivers'!$B$28)</x:f>
        <x:v>0.014942304042512795</x:v>
      </x:c>
      <x:c r="AJ18" s="110" t="n">
        <x:f>MAX(0,'Forecast Drivers'!G5/100+'Forecast Drivers'!$B$28)</x:f>
        <x:v>0.014692304042512795</x:v>
      </x:c>
      <x:c r="AK18" s="110" t="n">
        <x:f>MAX(0,'Forecast Drivers'!H5/100+'Forecast Drivers'!$B$28)</x:f>
        <x:v>0.014442304042512788</x:v>
      </x:c>
      <x:c r="AL18" s="110" t="n">
        <x:f>MAX(0,'Forecast Drivers'!I5/100+'Forecast Drivers'!$B$28)</x:f>
        <x:v>0.014192304042512788</x:v>
      </x:c>
      <x:c r="AM18" s="110" t="n">
        <x:f>MAX(0,'Forecast Drivers'!J5/100+'Forecast Drivers'!$B$28)</x:f>
        <x:v>0.013942304042512788</x:v>
      </x:c>
      <x:c r="AN18" s="110" t="n">
        <x:f>MAX(0,'Forecast Drivers'!K5/100+'Forecast Drivers'!$B$28)</x:f>
        <x:v>0.01369230404251278</x:v>
      </x:c>
      <x:c r="AO18" s="110" t="n">
        <x:f>MAX(0,'Forecast Drivers'!L5/100+'Forecast Drivers'!$B$28)</x:f>
        <x:v>0.01344230404251278</x:v>
      </x:c>
      <x:c r="AP18" s="110" t="n">
        <x:f>MAX(0,'Forecast Drivers'!M5/100+'Forecast Drivers'!$B$28)</x:f>
        <x:v>0.013192304042512773</x:v>
      </x:c>
      <x:c r="AQ18" s="110" t="n">
        <x:f>MAX(0,'Forecast Drivers'!N5/100+'Forecast Drivers'!$B$28)</x:f>
        <x:v>0.012942304042512773</x:v>
      </x:c>
    </x:row>
    <x:row r="19">
      <x:c r="A19" s="26" t="str">
        <x:v>  Total interest-bearing liabilities</x:v>
      </x:c>
      <x:c r="B19" s="51" t="n">
        <x:f>IF('Monthly Avg Balance'!B19=0,"",'Monthly NII'!B19*12/'Monthly Avg Balance'!B19)</x:f>
        <x:v>0.028651920448523053</x:v>
      </x:c>
      <x:c r="C19" s="51" t="n">
        <x:f>IF('Monthly Avg Balance'!C19=0,"",'Monthly NII'!C19*12/'Monthly Avg Balance'!C19)</x:f>
        <x:v>0.028651920448523053</x:v>
      </x:c>
      <x:c r="D19" s="51" t="n">
        <x:f>IF('Monthly Avg Balance'!D19=0,"",'Monthly NII'!D19*12/'Monthly Avg Balance'!D19)</x:f>
        <x:v>0.028651920448523053</x:v>
      </x:c>
      <x:c r="E19" s="51" t="n">
        <x:f>IF('Monthly Avg Balance'!E19=0,"",'Monthly NII'!E19*12/'Monthly Avg Balance'!E19)</x:f>
        <x:v>0.03360878415012007</x:v>
      </x:c>
      <x:c r="F19" s="51" t="n">
        <x:f>IF('Monthly Avg Balance'!F19=0,"",'Monthly NII'!F19*12/'Monthly Avg Balance'!F19)</x:f>
        <x:v>0.03359023869643908</x:v>
      </x:c>
      <x:c r="G19" s="51" t="n">
        <x:f>IF('Monthly Avg Balance'!G19=0,"",'Monthly NII'!G19*12/'Monthly Avg Balance'!G19)</x:f>
        <x:v>0.033572033431717385</x:v>
      </x:c>
      <x:c r="H19" s="51" t="n">
        <x:f>IF('Monthly Avg Balance'!H19=0,"",'Monthly NII'!H19*12/'Monthly Avg Balance'!H19)</x:f>
        <x:v>0.037454081101238386</x:v>
      </x:c>
      <x:c r="I19" s="51" t="n">
        <x:f>IF('Monthly Avg Balance'!I19=0,"",'Monthly NII'!I19*12/'Monthly Avg Balance'!I19)</x:f>
        <x:v>0.037533045398666226</x:v>
      </x:c>
      <x:c r="J19" s="51" t="n">
        <x:f>IF('Monthly Avg Balance'!J19=0,"",'Monthly NII'!J19*12/'Monthly Avg Balance'!J19)</x:f>
        <x:v>0.037612276455740556</x:v>
      </x:c>
      <x:c r="K19" s="51" t="n">
        <x:f>IF('Monthly Avg Balance'!K19=0,"",'Monthly NII'!K19*12/'Monthly Avg Balance'!K19)</x:f>
        <x:v>0.03917672651069616</x:v>
      </x:c>
      <x:c r="L19" s="51" t="n">
        <x:f>IF('Monthly Avg Balance'!L19=0,"",'Monthly NII'!L19*12/'Monthly Avg Balance'!L19)</x:f>
        <x:v>0.03918479104950163</x:v>
      </x:c>
      <x:c r="M19" s="51" t="n">
        <x:f>IF('Monthly Avg Balance'!M19=0,"",'Monthly NII'!M19*12/'Monthly Avg Balance'!M19)</x:f>
        <x:v>0.039158142530276434</x:v>
      </x:c>
      <x:c r="N19" s="51" t="n">
        <x:f>IF('Monthly Avg Balance'!N19=0,"",'Monthly NII'!N19*12/'Monthly Avg Balance'!N19)</x:f>
        <x:v>0.03984453227800932</x:v>
      </x:c>
      <x:c r="O19" s="51" t="n">
        <x:f>IF('Monthly Avg Balance'!O19=0,"",'Monthly NII'!O19*12/'Monthly Avg Balance'!O19)</x:f>
        <x:v>0.03979550285530166</x:v>
      </x:c>
      <x:c r="P19" s="51" t="n">
        <x:f>IF('Monthly Avg Balance'!P19=0,"",'Monthly NII'!P19*12/'Monthly Avg Balance'!P19)</x:f>
        <x:v>0.03984428090284091</x:v>
      </x:c>
      <x:c r="Q19" s="51" t="n">
        <x:f>IF('Monthly Avg Balance'!Q19=0,"",'Monthly NII'!Q19*12/'Monthly Avg Balance'!Q19)</x:f>
        <x:v>0.040092835862253616</x:v>
      </x:c>
      <x:c r="R19" s="51" t="n">
        <x:f>IF('Monthly Avg Balance'!R19=0,"",'Monthly NII'!R19*12/'Monthly Avg Balance'!R19)</x:f>
        <x:v>0.0398900655897204</x:v>
      </x:c>
      <x:c r="S19" s="51" t="n">
        <x:f>IF('Monthly Avg Balance'!S19=0,"",'Monthly NII'!S19*12/'Monthly Avg Balance'!S19)</x:f>
        <x:v>0.039934097647210724</x:v>
      </x:c>
      <x:c r="T19" s="51" t="n">
        <x:f>IF('Monthly Avg Balance'!T19=0,"",'Monthly NII'!T19*12/'Monthly Avg Balance'!T19)</x:f>
        <x:v>0.04035969859447538</x:v>
      </x:c>
      <x:c r="U19" s="51" t="n">
        <x:f>IF('Monthly Avg Balance'!U19=0,"",'Monthly NII'!U19*12/'Monthly Avg Balance'!U19)</x:f>
        <x:v>0.04030911518557615</x:v>
      </x:c>
      <x:c r="V19" s="51" t="n">
        <x:f>IF('Monthly Avg Balance'!V19=0,"",'Monthly NII'!V19*12/'Monthly Avg Balance'!V19)</x:f>
        <x:v>0.04046487188652667</x:v>
      </x:c>
      <x:c r="W19" s="51" t="n">
        <x:f>IF('Monthly Avg Balance'!W19=0,"",'Monthly NII'!W19*12/'Monthly Avg Balance'!W19)</x:f>
        <x:v>0.03827442124108131</x:v>
      </x:c>
      <x:c r="X19" s="51" t="n">
        <x:f>IF('Monthly Avg Balance'!X19=0,"",'Monthly NII'!X19*12/'Monthly Avg Balance'!X19)</x:f>
        <x:v>0.03797295928653341</x:v>
      </x:c>
      <x:c r="Y19" s="51" t="n">
        <x:f>IF('Monthly Avg Balance'!Y19=0,"",'Monthly NII'!Y19*12/'Monthly Avg Balance'!Y19)</x:f>
        <x:v>0.038035435650700354</x:v>
      </x:c>
      <x:c r="Z19" s="51" t="n">
        <x:f>IF('Monthly Avg Balance'!Z19=0,"",'Monthly NII'!Z19*12/'Monthly Avg Balance'!Z19)</x:f>
        <x:v>0.03549064544185509</x:v>
      </x:c>
      <x:c r="AA19" s="51" t="n">
        <x:f>IF('Monthly Avg Balance'!AA19=0,"",'Monthly NII'!AA19*12/'Monthly Avg Balance'!AA19)</x:f>
        <x:v>0.0353838134577266</x:v>
      </x:c>
      <x:c r="AB19" s="51" t="n">
        <x:f>IF('Monthly Avg Balance'!AB19=0,"",'Monthly NII'!AB19*12/'Monthly Avg Balance'!AB19)</x:f>
        <x:v>0.035311407057881224</x:v>
      </x:c>
      <x:c r="AC19" s="51" t="n">
        <x:f>IF('Monthly Avg Balance'!AC19=0,"",'Monthly NII'!AC19*12/'Monthly Avg Balance'!AC19)</x:f>
        <x:v>0.03526655753314303</x:v>
      </x:c>
      <x:c r="AD19" s="51" t="n">
        <x:f>IF('Monthly Avg Balance'!AD19=0,"",'Monthly NII'!AD19*12/'Monthly Avg Balance'!AD19)</x:f>
        <x:v>0.03517459886832304</x:v>
      </x:c>
      <x:c r="AE19" s="51" t="n">
        <x:f>IF('Monthly Avg Balance'!AE19=0,"",'Monthly NII'!AE19*12/'Monthly Avg Balance'!AE19)</x:f>
        <x:v>0.03524977081666112</x:v>
      </x:c>
      <x:c r="AF19" s="113" t="n">
        <x:f>('Monthly Avg Balance'!AF15*AF15+'Monthly Avg Balance'!AF16*AF16+'Monthly Avg Balance'!AF17*AF17+'Monthly Avg Balance'!AF18*AF18)/'Monthly Avg Balance'!AF19</x:f>
        <x:v>0.03511244944153844</x:v>
      </x:c>
      <x:c r="AG19" s="113" t="n">
        <x:f>('Monthly Avg Balance'!AG15*AG15+'Monthly Avg Balance'!AG16*AG16+'Monthly Avg Balance'!AG17*AG17+'Monthly Avg Balance'!AG18*AG18)/'Monthly Avg Balance'!AG19</x:f>
        <x:v>0.03490433413403726</x:v>
      </x:c>
      <x:c r="AH19" s="113" t="n">
        <x:f>('Monthly Avg Balance'!AH15*AH15+'Monthly Avg Balance'!AH16*AH16+'Monthly Avg Balance'!AH17*AH17+'Monthly Avg Balance'!AH18*AH18)/'Monthly Avg Balance'!AH19</x:f>
        <x:v>0.034696318683128766</x:v>
      </x:c>
      <x:c r="AI19" s="113" t="n">
        <x:f>('Monthly Avg Balance'!AI15*AI15+'Monthly Avg Balance'!AI16*AI16+'Monthly Avg Balance'!AI17*AI17+'Monthly Avg Balance'!AI18*AI18)/'Monthly Avg Balance'!AI19</x:f>
        <x:v>0.0344884024166744</x:v>
      </x:c>
      <x:c r="AJ19" s="113" t="n">
        <x:f>('Monthly Avg Balance'!AJ15*AJ15+'Monthly Avg Balance'!AJ16*AJ16+'Monthly Avg Balance'!AJ17*AJ17+'Monthly Avg Balance'!AJ18*AJ18)/'Monthly Avg Balance'!AJ19</x:f>
        <x:v>0.03428058466648197</x:v>
      </x:c>
      <x:c r="AK19" s="113" t="n">
        <x:f>('Monthly Avg Balance'!AK15*AK15+'Monthly Avg Balance'!AK16*AK16+'Monthly Avg Balance'!AK17*AK17+'Monthly Avg Balance'!AK18*AK18)/'Monthly Avg Balance'!AK19</x:f>
        <x:v>0.03407286476828717</x:v>
      </x:c>
      <x:c r="AL19" s="113" t="n">
        <x:f>('Monthly Avg Balance'!AL15*AL15+'Monthly Avg Balance'!AL16*AL16+'Monthly Avg Balance'!AL17*AL17+'Monthly Avg Balance'!AL18*AL18)/'Monthly Avg Balance'!AL19</x:f>
        <x:v>0.03386524206173515</x:v>
      </x:c>
      <x:c r="AM19" s="113" t="n">
        <x:f>('Monthly Avg Balance'!AM15*AM15+'Monthly Avg Balance'!AM16*AM16+'Monthly Avg Balance'!AM17*AM17+'Monthly Avg Balance'!AM18*AM18)/'Monthly Avg Balance'!AM19</x:f>
        <x:v>0.03365771589036213</x:v>
      </x:c>
      <x:c r="AN19" s="113" t="n">
        <x:f>('Monthly Avg Balance'!AN15*AN15+'Monthly Avg Balance'!AN16*AN16+'Monthly Avg Balance'!AN17*AN17+'Monthly Avg Balance'!AN18*AN18)/'Monthly Avg Balance'!AN19</x:f>
        <x:v>0.03345028560157705</x:v>
      </x:c>
      <x:c r="AO19" s="113" t="n">
        <x:f>('Monthly Avg Balance'!AO15*AO15+'Monthly Avg Balance'!AO16*AO16+'Monthly Avg Balance'!AO17*AO17+'Monthly Avg Balance'!AO18*AO18)/'Monthly Avg Balance'!AO19</x:f>
        <x:v>0.033242950546643245</x:v>
      </x:c>
      <x:c r="AP19" s="113" t="n">
        <x:f>('Monthly Avg Balance'!AP15*AP15+'Monthly Avg Balance'!AP16*AP16+'Monthly Avg Balance'!AP17*AP17+'Monthly Avg Balance'!AP18*AP18)/'Monthly Avg Balance'!AP19</x:f>
        <x:v>0.03303571008066022</x:v>
      </x:c>
      <x:c r="AQ19" s="113" t="n">
        <x:f>('Monthly Avg Balance'!AQ15*AQ15+'Monthly Avg Balance'!AQ16*AQ16+'Monthly Avg Balance'!AQ17*AQ17+'Monthly Avg Balance'!AQ18*AQ18)/'Monthly Avg Balance'!AQ19</x:f>
        <x:v>0.0328285635625454</x:v>
      </x:c>
    </x:row>
    <x:row r="20">
      <x:c r="A20" s="20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  <x:c r="AA20" s="48"/>
      <x:c r="AB20" s="48"/>
      <x:c r="AC20" s="48"/>
      <x:c r="AD20" s="48"/>
      <x:c r="AE20" s="48"/>
      <x:c r="AF20" s="110"/>
      <x:c r="AG20" s="110"/>
      <x:c r="AH20" s="110"/>
      <x:c r="AI20" s="110"/>
      <x:c r="AJ20" s="110"/>
      <x:c r="AK20" s="110"/>
      <x:c r="AL20" s="110"/>
      <x:c r="AM20" s="110"/>
      <x:c r="AN20" s="110"/>
      <x:c r="AO20" s="110"/>
      <x:c r="AP20" s="110"/>
      <x:c r="AQ20" s="110"/>
    </x:row>
    <x:row r="21">
      <x:c r="A21" s="26" t="str">
        <x:v>Net interest spread (asset yield − funding cost)</x:v>
      </x:c>
      <x:c r="B21" s="51" t="n">
        <x:f>B12-B19</x:f>
        <x:v>0.06160573459066797</x:v>
      </x:c>
      <x:c r="C21" s="51" t="n">
        <x:f>C12-C19</x:f>
        <x:v>0.061271148472223994</x:v>
      </x:c>
      <x:c r="D21" s="51" t="n">
        <x:f>D12-D19</x:f>
        <x:v>0.06054424527013878</x:v>
      </x:c>
      <x:c r="E21" s="51" t="n">
        <x:f>E12-E19</x:f>
        <x:v>0.05897720126283844</x:v>
      </x:c>
      <x:c r="F21" s="51" t="n">
        <x:f>F12-F19</x:f>
        <x:v>0.05978040157835021</x:v>
      </x:c>
      <x:c r="G21" s="51" t="n">
        <x:f>G12-G19</x:f>
        <x:v>0.05948168692140825</x:v>
      </x:c>
      <x:c r="H21" s="51" t="n">
        <x:f>H12-H19</x:f>
        <x:v>0.06050956988906558</x:v>
      </x:c>
      <x:c r="I21" s="51" t="n">
        <x:f>I12-I19</x:f>
        <x:v>0.06073164967478241</x:v>
      </x:c>
      <x:c r="J21" s="51" t="n">
        <x:f>J12-J19</x:f>
        <x:v>0.06065540632266052</x:v>
      </x:c>
      <x:c r="K21" s="51" t="n">
        <x:f>K12-K19</x:f>
        <x:v>0.06008734186933558</x:v>
      </x:c>
      <x:c r="L21" s="51" t="n">
        <x:f>L12-L19</x:f>
        <x:v>0.059875110852558346</x:v>
      </x:c>
      <x:c r="M21" s="51" t="n">
        <x:f>M12-M19</x:f>
        <x:v>0.06113401275588375</x:v>
      </x:c>
      <x:c r="N21" s="51" t="n">
        <x:f>N12-N19</x:f>
        <x:v>0.0604775825706922</x:v>
      </x:c>
      <x:c r="O21" s="51" t="n">
        <x:f>O12-O19</x:f>
        <x:v>0.05894541250111973</x:v>
      </x:c>
      <x:c r="P21" s="51" t="n">
        <x:f>P12-P19</x:f>
        <x:v>0.05981448363377159</x:v>
      </x:c>
      <x:c r="Q21" s="51" t="n">
        <x:f>Q12-Q19</x:f>
        <x:v>0.05983081743528427</x:v>
      </x:c>
      <x:c r="R21" s="51" t="n">
        <x:f>R12-R19</x:f>
        <x:v>0.05891104169491035</x:v>
      </x:c>
      <x:c r="S21" s="51" t="n">
        <x:f>S12-S19</x:f>
        <x:v>0.06027578409981713</x:v>
      </x:c>
      <x:c r="T21" s="51" t="n">
        <x:f>T12-T19</x:f>
        <x:v>0.06425809787583445</x:v>
      </x:c>
      <x:c r="U21" s="51" t="n">
        <x:f>U12-U19</x:f>
        <x:v>0.0629550035272376</x:v>
      </x:c>
      <x:c r="V21" s="51" t="n">
        <x:f>V12-V19</x:f>
        <x:v>0.06363920087392448</x:v>
      </x:c>
      <x:c r="W21" s="51" t="n">
        <x:f>W12-W19</x:f>
        <x:v>0.06301432597549682</x:v>
      </x:c>
      <x:c r="X21" s="51" t="n">
        <x:f>X12-X19</x:f>
        <x:v>0.062344927899767394</x:v>
      </x:c>
      <x:c r="Y21" s="51" t="n">
        <x:f>Y12-Y19</x:f>
        <x:v>0.06409500055110867</x:v>
      </x:c>
      <x:c r="Z21" s="51" t="n">
        <x:f>Z12-Z19</x:f>
        <x:v>0.06359592556139437</x:v>
      </x:c>
      <x:c r="AA21" s="51" t="n">
        <x:f>AA12-AA19</x:f>
        <x:v>0.061769214706568716</x:v>
      </x:c>
      <x:c r="AB21" s="51" t="n">
        <x:f>AB12-AB19</x:f>
        <x:v>0.06304147430276436</x:v>
      </x:c>
      <x:c r="AC21" s="51" t="n">
        <x:f>AC12-AC19</x:f>
        <x:v>0.06880791784899781</x:v>
      </x:c>
      <x:c r="AD21" s="51" t="n">
        <x:f>AD12-AD19</x:f>
        <x:v>0.0694171984628323</x:v>
      </x:c>
      <x:c r="AE21" s="51" t="n">
        <x:f>AE12-AE19</x:f>
        <x:v>0.07148902230310189</x:v>
      </x:c>
      <x:c r="AF21" s="113" t="n">
        <x:f>AF12-AF19</x:f>
        <x:v>0.07404046556387436</x:v>
      </x:c>
      <x:c r="AG21" s="113" t="n">
        <x:f>AG12-AG19</x:f>
        <x:v>0.0737448964948157</x:v>
      </x:c>
      <x:c r="AH21" s="113" t="n">
        <x:f>AH12-AH19</x:f>
        <x:v>0.07381133103975433</x:v>
      </x:c>
      <x:c r="AI21" s="113" t="n">
        <x:f>AI12-AI19</x:f>
        <x:v>0.07387766902047482</x:v>
      </x:c>
      <x:c r="AJ21" s="113" t="n">
        <x:f>AJ12-AJ19</x:f>
        <x:v>0.07358169411360187</x:v>
      </x:c>
      <x:c r="AK21" s="113" t="n">
        <x:f>AK12-AK19</x:f>
        <x:v>0.07364781194218714</x:v>
      </x:c>
      <x:c r="AL21" s="113" t="n">
        <x:f>AL12-AL19</x:f>
        <x:v>0.07371383520247085</x:v>
      </x:c>
      <x:c r="AM21" s="113" t="n">
        <x:f>AM12-AM19</x:f>
        <x:v>0.07341746050836662</x:v>
      </x:c>
      <x:c r="AN21" s="113" t="n">
        <x:f>AN12-AN19</x:f>
        <x:v>0.07348326758890009</x:v>
      </x:c>
      <x:c r="AO21" s="113" t="n">
        <x:f>AO12-AO19</x:f>
        <x:v>0.07354898206202248</x:v>
      </x:c>
      <x:c r="AP21" s="113" t="n">
        <x:f>AP12-AP19</x:f>
        <x:v>0.0732522135261407</x:v>
      </x:c>
      <x:c r="AQ21" s="113" t="n">
        <x:f>AQ12-AQ19</x:f>
        <x:v>0.07331771572232806</x:v>
      </x:c>
    </x:row>
    <x:row r="22">
      <x:c r="A22" s="26" t="str">
        <x:v>Net interest margin (NII / avg earning assets)</x:v>
      </x:c>
      <x:c r="B22" s="51" t="n">
        <x:f>IF('Monthly Avg Balance'!B12=0,"",'Monthly NII'!B21*12/'Monthly Avg Balance'!B12)</x:f>
        <x:v>0.06636706056528646</x:v>
      </x:c>
      <x:c r="C22" s="51" t="n">
        <x:f>IF('Monthly Avg Balance'!C12=0,"",'Monthly NII'!C21*12/'Monthly Avg Balance'!C12)</x:f>
        <x:v>0.06621162281569601</x:v>
      </x:c>
      <x:c r="D22" s="51" t="n">
        <x:f>IF('Monthly Avg Balance'!D12=0,"",'Monthly NII'!D21*12/'Monthly Avg Balance'!D12)</x:f>
        <x:v>0.06587392740135042</x:v>
      </x:c>
      <x:c r="E22" s="51" t="n">
        <x:f>IF('Monthly Avg Balance'!E12=0,"",'Monthly NII'!E21*12/'Monthly Avg Balance'!E12)</x:f>
        <x:v>0.06502795248971593</x:v>
      </x:c>
      <x:c r="F22" s="51" t="n">
        <x:f>IF('Monthly Avg Balance'!F12=0,"",'Monthly NII'!F21*12/'Monthly Avg Balance'!F12)</x:f>
        <x:v>0.06519593959637703</x:v>
      </x:c>
      <x:c r="G22" s="51" t="n">
        <x:f>IF('Monthly Avg Balance'!G12=0,"",'Monthly NII'!G21*12/'Monthly Avg Balance'!G12)</x:f>
        <x:v>0.0649936692972171</x:v>
      </x:c>
      <x:c r="H22" s="51" t="n">
        <x:f>IF('Monthly Avg Balance'!H12=0,"",'Monthly NII'!H21*12/'Monthly Avg Balance'!H12)</x:f>
        <x:v>0.06684646062792542</x:v>
      </x:c>
      <x:c r="I22" s="51" t="n">
        <x:f>IF('Monthly Avg Balance'!I12=0,"",'Monthly NII'!I21*12/'Monthly Avg Balance'!I12)</x:f>
        <x:v>0.06704876680674698</x:v>
      </x:c>
      <x:c r="J22" s="51" t="n">
        <x:f>IF('Monthly Avg Balance'!J12=0,"",'Monthly NII'!J21*12/'Monthly Avg Balance'!J12)</x:f>
        <x:v>0.0671571160681567</x:v>
      </x:c>
      <x:c r="K22" s="51" t="n">
        <x:f>IF('Monthly Avg Balance'!K12=0,"",'Monthly NII'!K21*12/'Monthly Avg Balance'!K12)</x:f>
        <x:v>0.06700201268621776</x:v>
      </x:c>
      <x:c r="L22" s="51" t="n">
        <x:f>IF('Monthly Avg Balance'!L12=0,"",'Monthly NII'!L21*12/'Monthly Avg Balance'!L12)</x:f>
        <x:v>0.06671742403201898</x:v>
      </x:c>
      <x:c r="M22" s="51" t="n">
        <x:f>IF('Monthly Avg Balance'!M12=0,"",'Monthly NII'!M21*12/'Monthly Avg Balance'!M12)</x:f>
        <x:v>0.06774336658394144</x:v>
      </x:c>
      <x:c r="N22" s="51" t="n">
        <x:f>IF('Monthly Avg Balance'!N12=0,"",'Monthly NII'!N21*12/'Monthly Avg Balance'!N12)</x:f>
        <x:v>0.06738375553450908</x:v>
      </x:c>
      <x:c r="O22" s="51" t="n">
        <x:f>IF('Monthly Avg Balance'!O12=0,"",'Monthly NII'!O21*12/'Monthly Avg Balance'!O12)</x:f>
        <x:v>0.06614547455475818</x:v>
      </x:c>
      <x:c r="P22" s="51" t="n">
        <x:f>IF('Monthly Avg Balance'!P12=0,"",'Monthly NII'!P21*12/'Monthly Avg Balance'!P12)</x:f>
        <x:v>0.06659908297041787</x:v>
      </x:c>
      <x:c r="Q22" s="51" t="n">
        <x:f>IF('Monthly Avg Balance'!Q12=0,"",'Monthly NII'!Q21*12/'Monthly Avg Balance'!Q12)</x:f>
        <x:v>0.06666817356850302</x:v>
      </x:c>
      <x:c r="R22" s="51" t="n">
        <x:f>IF('Monthly Avg Balance'!R12=0,"",'Monthly NII'!R21*12/'Monthly Avg Balance'!R12)</x:f>
        <x:v>0.06613578840232522</x:v>
      </x:c>
      <x:c r="S22" s="51" t="n">
        <x:f>IF('Monthly Avg Balance'!S12=0,"",'Monthly NII'!S21*12/'Monthly Avg Balance'!S12)</x:f>
        <x:v>0.06717426601625648</x:v>
      </x:c>
      <x:c r="T22" s="51" t="n">
        <x:f>IF('Monthly Avg Balance'!T12=0,"",'Monthly NII'!T21*12/'Monthly Avg Balance'!T12)</x:f>
        <x:v>0.0712604239099117</x:v>
      </x:c>
      <x:c r="U22" s="51" t="n">
        <x:f>IF('Monthly Avg Balance'!U12=0,"",'Monthly NII'!U21*12/'Monthly Avg Balance'!U12)</x:f>
        <x:v>0.07037265006014858</x:v>
      </x:c>
      <x:c r="V22" s="51" t="n">
        <x:f>IF('Monthly Avg Balance'!V12=0,"",'Monthly NII'!V21*12/'Monthly Avg Balance'!V12)</x:f>
        <x:v>0.07081198926275158</x:v>
      </x:c>
      <x:c r="W22" s="51" t="n">
        <x:f>IF('Monthly Avg Balance'!W12=0,"",'Monthly NII'!W21*12/'Monthly Avg Balance'!W12)</x:f>
        <x:v>0.06986131620344659</x:v>
      </x:c>
      <x:c r="X22" s="51" t="n">
        <x:f>IF('Monthly Avg Balance'!X12=0,"",'Monthly NII'!X21*12/'Monthly Avg Balance'!X12)</x:f>
        <x:v>0.06942093508461249</x:v>
      </x:c>
      <x:c r="Y22" s="51" t="n">
        <x:f>IF('Monthly Avg Balance'!Y12=0,"",'Monthly NII'!Y21*12/'Monthly Avg Balance'!Y12)</x:f>
        <x:v>0.07063889612478018</x:v>
      </x:c>
      <x:c r="Z22" s="51" t="n">
        <x:f>IF('Monthly Avg Balance'!Z12=0,"",'Monthly NII'!Z21*12/'Monthly Avg Balance'!Z12)</x:f>
        <x:v>0.06958344358149082</x:v>
      </x:c>
      <x:c r="AA22" s="51" t="n">
        <x:f>IF('Monthly Avg Balance'!AA12=0,"",'Monthly NII'!AA21*12/'Monthly Avg Balance'!AA12)</x:f>
        <x:v>0.0680865263673288</x:v>
      </x:c>
      <x:c r="AB22" s="51" t="n">
        <x:f>IF('Monthly Avg Balance'!AB12=0,"",'Monthly NII'!AB21*12/'Monthly Avg Balance'!AB12)</x:f>
        <x:v>0.06907253432921652</x:v>
      </x:c>
      <x:c r="AC22" s="51" t="n">
        <x:f>IF('Monthly Avg Balance'!AC12=0,"",'Monthly NII'!AC21*12/'Monthly Avg Balance'!AC12)</x:f>
        <x:v>0.07483105787637073</x:v>
      </x:c>
      <x:c r="AD22" s="51" t="n">
        <x:f>IF('Monthly Avg Balance'!AD12=0,"",'Monthly NII'!AD21*12/'Monthly Avg Balance'!AD12)</x:f>
        <x:v>0.07566143012536877</x:v>
      </x:c>
      <x:c r="AE22" s="51" t="n">
        <x:f>IF('Monthly Avg Balance'!AE12=0,"",'Monthly NII'!AE21*12/'Monthly Avg Balance'!AE12)</x:f>
        <x:v>0.07742882129811365</x:v>
      </x:c>
      <x:c r="AF22" s="113" t="n">
        <x:f>'Monthly NII'!AF21*12/'Monthly Avg Balance'!AF12</x:f>
        <x:v>0.07969095371822318</x:v>
      </x:c>
      <x:c r="AG22" s="113" t="n">
        <x:f>'Monthly NII'!AG21*12/'Monthly Avg Balance'!AG12</x:f>
        <x:v>0.07936444808004112</x:v>
      </x:c>
      <x:c r="AH22" s="113" t="n">
        <x:f>'Monthly NII'!AH21*12/'Monthly Avg Balance'!AH12</x:f>
        <x:v>0.0793999095232192</x:v>
      </x:c>
      <x:c r="AI22" s="113" t="n">
        <x:f>'Monthly NII'!AI21*12/'Monthly Avg Balance'!AI12</x:f>
        <x:v>0.07943523829521663</x:v>
      </x:c>
      <x:c r="AJ22" s="113" t="n">
        <x:f>'Monthly NII'!AJ21*12/'Monthly Avg Balance'!AJ12</x:f>
        <x:v>0.07910821849507593</x:v>
      </x:c>
      <x:c r="AK22" s="113" t="n">
        <x:f>'Monthly NII'!AK21*12/'Monthly Avg Balance'!AK12</x:f>
        <x:v>0.07914325616503588</x:v>
      </x:c>
      <x:c r="AL22" s="113" t="n">
        <x:f>'Monthly NII'!AL21*12/'Monthly Avg Balance'!AL12</x:f>
        <x:v>0.07917816441731915</x:v>
      </x:c>
      <x:c r="AM22" s="113" t="n">
        <x:f>'Monthly NII'!AM21*12/'Monthly Avg Balance'!AM12</x:f>
        <x:v>0.07885064027864334</x:v>
      </x:c>
      <x:c r="AN22" s="113" t="n">
        <x:f>'Monthly NII'!AN21*12/'Monthly Avg Balance'!AN12</x:f>
        <x:v>0.07888526388768495</x:v>
      </x:c>
      <x:c r="AO22" s="113" t="n">
        <x:f>'Monthly NII'!AO21*12/'Monthly Avg Balance'!AO12</x:f>
        <x:v>0.07891976126891834</x:v>
      </x:c>
      <x:c r="AP22" s="113" t="n">
        <x:f>'Monthly NII'!AP21*12/'Monthly Avg Balance'!AP12</x:f>
        <x:v>0.07859174242417136</x:v>
      </x:c>
      <x:c r="AQ22" s="113" t="n">
        <x:f>'Monthly NII'!AQ21*12/'Monthly Avg Balance'!AQ12</x:f>
        <x:v>0.07862596149486069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RowHeight="15"/>
  <x:cols>
    <x:col min="1" max="1" width="4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8" t="str">
        <x:v>Controlled Monthly Imputation Checks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</x:row>
    <x:row r="2">
      <x:c r="A2" s="29" t="str">
        <x:v>Actual controls run through Q2:25. Forecast columns thereafter verify quarter-end links, four-point averages and monthly NII sums.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</x:row>
    <x:row r="4">
      <x:c r="A4" s="23" t="str">
        <x:v>Line item</x:v>
      </x:c>
      <x:c r="B4" s="23" t="str">
        <x:v>Q1:23</x:v>
      </x:c>
      <x:c r="C4" s="23" t="str">
        <x:v>Q2:23</x:v>
      </x:c>
      <x:c r="D4" s="23" t="str">
        <x:v>Q3:23</x:v>
      </x:c>
      <x:c r="E4" s="23" t="str">
        <x:v>Q4:23</x:v>
      </x:c>
      <x:c r="F4" s="23" t="str">
        <x:v>Q1:24</x:v>
      </x:c>
      <x:c r="G4" s="23" t="str">
        <x:v>Q2:24</x:v>
      </x:c>
      <x:c r="H4" s="23" t="str">
        <x:v>Q3:24</x:v>
      </x:c>
      <x:c r="I4" s="23" t="str">
        <x:v>Q4:24</x:v>
      </x:c>
      <x:c r="J4" s="23" t="str">
        <x:v>Q1:25</x:v>
      </x:c>
      <x:c r="K4" s="23" t="str">
        <x:v>Q2:25</x:v>
      </x:c>
      <x:c r="L4" s="23" t="str">
        <x:v>Q3:25</x:v>
      </x:c>
      <x:c r="M4" s="23" t="str">
        <x:v>Q4:25</x:v>
      </x:c>
      <x:c r="N4" s="23" t="str">
        <x:v>Q1:26</x:v>
      </x:c>
      <x:c r="O4" s="23" t="str">
        <x:v>Q2:26</x:v>
      </x:c>
    </x:row>
    <x:row r="5">
      <x:c r="A5" s="25" t="str">
        <x:v>QUARTER-END ANCHOR DIFFERENCE</x:v>
      </x:c>
      <x:c r="B5" s="25"/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</x:row>
    <x:row r="6">
      <x:c r="A6" s="20" t="str">
        <x:v>  Credit card</x:v>
      </x:c>
      <x:c r="B6" s="54" t="str">
        <x:f>IF(ISNUMBER('Quarter-End Anchors'!C6),ROUND('Monthly EOP Balance'!E6-'Quarter-End Anchors'!C6,2),"")</x:f>
      </x:c>
      <x:c r="C6" s="54" t="str">
        <x:f>IF(ISNUMBER('Quarter-End Anchors'!D6),ROUND('Monthly EOP Balance'!H6-'Quarter-End Anchors'!D6,2),"")</x:f>
      </x:c>
      <x:c r="D6" s="54" t="str">
        <x:f>IF(ISNUMBER('Quarter-End Anchors'!E6),ROUND('Monthly EOP Balance'!K6-'Quarter-End Anchors'!E6,2),"")</x:f>
      </x:c>
      <x:c r="E6" s="54" t="n">
        <x:f>IF(ISNUMBER('Quarter-End Anchors'!F6),ROUND('Monthly EOP Balance'!N6-'Quarter-End Anchors'!F6,2),"")</x:f>
        <x:v>0</x:v>
      </x:c>
      <x:c r="F6" s="54" t="n">
        <x:f>IF(ISNUMBER('Quarter-End Anchors'!G6),ROUND('Monthly EOP Balance'!Q6-'Quarter-End Anchors'!G6,2),"")</x:f>
        <x:v>0</x:v>
      </x:c>
      <x:c r="G6" s="54" t="n">
        <x:f>IF(ISNUMBER('Quarter-End Anchors'!H6),ROUND('Monthly EOP Balance'!T6-'Quarter-End Anchors'!H6,2),"")</x:f>
        <x:v>0</x:v>
      </x:c>
      <x:c r="H6" s="54" t="n">
        <x:f>IF(ISNUMBER('Quarter-End Anchors'!I6),ROUND('Monthly EOP Balance'!W6-'Quarter-End Anchors'!I6,2),"")</x:f>
        <x:v>0</x:v>
      </x:c>
      <x:c r="I6" s="54" t="n">
        <x:f>IF(ISNUMBER('Quarter-End Anchors'!J6),ROUND('Monthly EOP Balance'!Z6-'Quarter-End Anchors'!J6,2),"")</x:f>
        <x:v>0</x:v>
      </x:c>
      <x:c r="J6" s="54" t="n">
        <x:f>IF(ISNUMBER('Quarter-End Anchors'!K6),ROUND('Monthly EOP Balance'!AC6-'Quarter-End Anchors'!K6,2),"")</x:f>
        <x:v>0</x:v>
      </x:c>
      <x:c r="K6" s="54" t="n">
        <x:f>IF(ISNUMBER('Quarter-End Anchors'!L6),ROUND('Monthly EOP Balance'!AF6-'Quarter-End Anchors'!L6,2),"")</x:f>
        <x:v>0</x:v>
      </x:c>
      <x:c r="L6" s="54" t="n">
        <x:f>IF(ISNUMBER('Quarter-End Anchors'!M6),ROUND('Monthly EOP Balance'!AI6-'Quarter-End Anchors'!M6,2),"")</x:f>
        <x:v>0</x:v>
      </x:c>
      <x:c r="M6" s="54" t="n">
        <x:f>IF(ISNUMBER('Quarter-End Anchors'!N6),ROUND('Monthly EOP Balance'!AL6-'Quarter-End Anchors'!N6,2),"")</x:f>
        <x:v>0</x:v>
      </x:c>
      <x:c r="N6" s="54" t="n">
        <x:f>IF(ISNUMBER('Quarter-End Anchors'!O6),ROUND('Monthly EOP Balance'!AO6-'Quarter-End Anchors'!O6,2),"")</x:f>
        <x:v>0</x:v>
      </x:c>
      <x:c r="O6" s="54" t="n">
        <x:f>IF(ISNUMBER('Quarter-End Anchors'!P6),ROUND('Monthly EOP Balance'!AR6-'Quarter-End Anchors'!P6,2),"")</x:f>
        <x:v>0</x:v>
      </x:c>
    </x:row>
    <x:row r="7">
      <x:c r="A7" s="20" t="str">
        <x:v>  Consumer banking</x:v>
      </x:c>
      <x:c r="B7" s="54" t="str">
        <x:f>IF(ISNUMBER('Quarter-End Anchors'!C7),ROUND('Monthly EOP Balance'!E7-'Quarter-End Anchors'!C7,2),"")</x:f>
      </x:c>
      <x:c r="C7" s="54" t="str">
        <x:f>IF(ISNUMBER('Quarter-End Anchors'!D7),ROUND('Monthly EOP Balance'!H7-'Quarter-End Anchors'!D7,2),"")</x:f>
      </x:c>
      <x:c r="D7" s="54" t="str">
        <x:f>IF(ISNUMBER('Quarter-End Anchors'!E7),ROUND('Monthly EOP Balance'!K7-'Quarter-End Anchors'!E7,2),"")</x:f>
      </x:c>
      <x:c r="E7" s="54" t="n">
        <x:f>IF(ISNUMBER('Quarter-End Anchors'!F7),ROUND('Monthly EOP Balance'!N7-'Quarter-End Anchors'!F7,2),"")</x:f>
        <x:v>0</x:v>
      </x:c>
      <x:c r="F7" s="54" t="n">
        <x:f>IF(ISNUMBER('Quarter-End Anchors'!G7),ROUND('Monthly EOP Balance'!Q7-'Quarter-End Anchors'!G7,2),"")</x:f>
        <x:v>0</x:v>
      </x:c>
      <x:c r="G7" s="54" t="n">
        <x:f>IF(ISNUMBER('Quarter-End Anchors'!H7),ROUND('Monthly EOP Balance'!T7-'Quarter-End Anchors'!H7,2),"")</x:f>
        <x:v>0</x:v>
      </x:c>
      <x:c r="H7" s="54" t="n">
        <x:f>IF(ISNUMBER('Quarter-End Anchors'!I7),ROUND('Monthly EOP Balance'!W7-'Quarter-End Anchors'!I7,2),"")</x:f>
        <x:v>0</x:v>
      </x:c>
      <x:c r="I7" s="54" t="n">
        <x:f>IF(ISNUMBER('Quarter-End Anchors'!J7),ROUND('Monthly EOP Balance'!Z7-'Quarter-End Anchors'!J7,2),"")</x:f>
        <x:v>0</x:v>
      </x:c>
      <x:c r="J7" s="54" t="n">
        <x:f>IF(ISNUMBER('Quarter-End Anchors'!K7),ROUND('Monthly EOP Balance'!AC7-'Quarter-End Anchors'!K7,2),"")</x:f>
        <x:v>0</x:v>
      </x:c>
      <x:c r="K7" s="54" t="n">
        <x:f>IF(ISNUMBER('Quarter-End Anchors'!L7),ROUND('Monthly EOP Balance'!AF7-'Quarter-End Anchors'!L7,2),"")</x:f>
        <x:v>0</x:v>
      </x:c>
      <x:c r="L7" s="54" t="n">
        <x:f>IF(ISNUMBER('Quarter-End Anchors'!M7),ROUND('Monthly EOP Balance'!AI7-'Quarter-End Anchors'!M7,2),"")</x:f>
        <x:v>0</x:v>
      </x:c>
      <x:c r="M7" s="54" t="n">
        <x:f>IF(ISNUMBER('Quarter-End Anchors'!N7),ROUND('Monthly EOP Balance'!AL7-'Quarter-End Anchors'!N7,2),"")</x:f>
        <x:v>0</x:v>
      </x:c>
      <x:c r="N7" s="54" t="n">
        <x:f>IF(ISNUMBER('Quarter-End Anchors'!O7),ROUND('Monthly EOP Balance'!AO7-'Quarter-End Anchors'!O7,2),"")</x:f>
        <x:v>0</x:v>
      </x:c>
      <x:c r="O7" s="54" t="n">
        <x:f>IF(ISNUMBER('Quarter-End Anchors'!P7),ROUND('Monthly EOP Balance'!AR7-'Quarter-End Anchors'!P7,2),"")</x:f>
        <x:v>0</x:v>
      </x:c>
    </x:row>
    <x:row r="8">
      <x:c r="A8" s="20" t="str">
        <x:v>  Commercial banking</x:v>
      </x:c>
      <x:c r="B8" s="54" t="str">
        <x:f>IF(ISNUMBER('Quarter-End Anchors'!C8),ROUND('Monthly EOP Balance'!E8-'Quarter-End Anchors'!C8,2),"")</x:f>
      </x:c>
      <x:c r="C8" s="54" t="str">
        <x:f>IF(ISNUMBER('Quarter-End Anchors'!D8),ROUND('Monthly EOP Balance'!H8-'Quarter-End Anchors'!D8,2),"")</x:f>
      </x:c>
      <x:c r="D8" s="54" t="str">
        <x:f>IF(ISNUMBER('Quarter-End Anchors'!E8),ROUND('Monthly EOP Balance'!K8-'Quarter-End Anchors'!E8,2),"")</x:f>
      </x:c>
      <x:c r="E8" s="54" t="n">
        <x:f>IF(ISNUMBER('Quarter-End Anchors'!F8),ROUND('Monthly EOP Balance'!N8-'Quarter-End Anchors'!F8,2),"")</x:f>
        <x:v>0</x:v>
      </x:c>
      <x:c r="F8" s="54" t="n">
        <x:f>IF(ISNUMBER('Quarter-End Anchors'!G8),ROUND('Monthly EOP Balance'!Q8-'Quarter-End Anchors'!G8,2),"")</x:f>
        <x:v>0</x:v>
      </x:c>
      <x:c r="G8" s="54" t="n">
        <x:f>IF(ISNUMBER('Quarter-End Anchors'!H8),ROUND('Monthly EOP Balance'!T8-'Quarter-End Anchors'!H8,2),"")</x:f>
        <x:v>0</x:v>
      </x:c>
      <x:c r="H8" s="54" t="n">
        <x:f>IF(ISNUMBER('Quarter-End Anchors'!I8),ROUND('Monthly EOP Balance'!W8-'Quarter-End Anchors'!I8,2),"")</x:f>
        <x:v>0</x:v>
      </x:c>
      <x:c r="I8" s="54" t="n">
        <x:f>IF(ISNUMBER('Quarter-End Anchors'!J8),ROUND('Monthly EOP Balance'!Z8-'Quarter-End Anchors'!J8,2),"")</x:f>
        <x:v>0</x:v>
      </x:c>
      <x:c r="J8" s="54" t="n">
        <x:f>IF(ISNUMBER('Quarter-End Anchors'!K8),ROUND('Monthly EOP Balance'!AC8-'Quarter-End Anchors'!K8,2),"")</x:f>
        <x:v>0</x:v>
      </x:c>
      <x:c r="K8" s="54" t="n">
        <x:f>IF(ISNUMBER('Quarter-End Anchors'!L8),ROUND('Monthly EOP Balance'!AF8-'Quarter-End Anchors'!L8,2),"")</x:f>
        <x:v>0</x:v>
      </x:c>
      <x:c r="L8" s="54" t="n">
        <x:f>IF(ISNUMBER('Quarter-End Anchors'!M8),ROUND('Monthly EOP Balance'!AI8-'Quarter-End Anchors'!M8,2),"")</x:f>
        <x:v>0</x:v>
      </x:c>
      <x:c r="M8" s="54" t="n">
        <x:f>IF(ISNUMBER('Quarter-End Anchors'!N8),ROUND('Monthly EOP Balance'!AL8-'Quarter-End Anchors'!N8,2),"")</x:f>
        <x:v>0</x:v>
      </x:c>
      <x:c r="N8" s="54" t="n">
        <x:f>IF(ISNUMBER('Quarter-End Anchors'!O8),ROUND('Monthly EOP Balance'!AO8-'Quarter-End Anchors'!O8,2),"")</x:f>
        <x:v>0</x:v>
      </x:c>
      <x:c r="O8" s="54" t="n">
        <x:f>IF(ISNUMBER('Quarter-End Anchors'!P8),ROUND('Monthly EOP Balance'!AR8-'Quarter-End Anchors'!P8,2),"")</x:f>
        <x:v>0</x:v>
      </x:c>
    </x:row>
    <x:row r="9">
      <x:c r="A9" s="20" t="str">
        <x:v>  Total loans (incl. HFS)</x:v>
      </x:c>
      <x:c r="B9" s="54" t="str">
        <x:f>IF(ISNUMBER('Quarter-End Anchors'!C9),ROUND('Monthly EOP Balance'!E9-'Quarter-End Anchors'!C9,2),"")</x:f>
      </x:c>
      <x:c r="C9" s="54" t="str">
        <x:f>IF(ISNUMBER('Quarter-End Anchors'!D9),ROUND('Monthly EOP Balance'!H9-'Quarter-End Anchors'!D9,2),"")</x:f>
      </x:c>
      <x:c r="D9" s="54" t="str">
        <x:f>IF(ISNUMBER('Quarter-End Anchors'!E9),ROUND('Monthly EOP Balance'!K9-'Quarter-End Anchors'!E9,2),"")</x:f>
      </x:c>
      <x:c r="E9" s="54" t="n">
        <x:f>IF(ISNUMBER('Quarter-End Anchors'!F9),ROUND('Monthly EOP Balance'!N9-'Quarter-End Anchors'!F9,2),"")</x:f>
        <x:v>0</x:v>
      </x:c>
      <x:c r="F9" s="54" t="n">
        <x:f>IF(ISNUMBER('Quarter-End Anchors'!G9),ROUND('Monthly EOP Balance'!Q9-'Quarter-End Anchors'!G9,2),"")</x:f>
        <x:v>0</x:v>
      </x:c>
      <x:c r="G9" s="54" t="n">
        <x:f>IF(ISNUMBER('Quarter-End Anchors'!H9),ROUND('Monthly EOP Balance'!T9-'Quarter-End Anchors'!H9,2),"")</x:f>
        <x:v>0</x:v>
      </x:c>
      <x:c r="H9" s="54" t="n">
        <x:f>IF(ISNUMBER('Quarter-End Anchors'!I9),ROUND('Monthly EOP Balance'!W9-'Quarter-End Anchors'!I9,2),"")</x:f>
        <x:v>0</x:v>
      </x:c>
      <x:c r="I9" s="54" t="n">
        <x:f>IF(ISNUMBER('Quarter-End Anchors'!J9),ROUND('Monthly EOP Balance'!Z9-'Quarter-End Anchors'!J9,2),"")</x:f>
        <x:v>0</x:v>
      </x:c>
      <x:c r="J9" s="54" t="n">
        <x:f>IF(ISNUMBER('Quarter-End Anchors'!K9),ROUND('Monthly EOP Balance'!AC9-'Quarter-End Anchors'!K9,2),"")</x:f>
        <x:v>0</x:v>
      </x:c>
      <x:c r="K9" s="54" t="n">
        <x:f>IF(ISNUMBER('Quarter-End Anchors'!L9),ROUND('Monthly EOP Balance'!AF9-'Quarter-End Anchors'!L9,2),"")</x:f>
        <x:v>0</x:v>
      </x:c>
      <x:c r="L9" s="54" t="n">
        <x:f>IF(ISNUMBER('Quarter-End Anchors'!M9),ROUND('Monthly EOP Balance'!AI9-'Quarter-End Anchors'!M9,2),"")</x:f>
        <x:v>0</x:v>
      </x:c>
      <x:c r="M9" s="54" t="n">
        <x:f>IF(ISNUMBER('Quarter-End Anchors'!N9),ROUND('Monthly EOP Balance'!AL9-'Quarter-End Anchors'!N9,2),"")</x:f>
        <x:v>0</x:v>
      </x:c>
      <x:c r="N9" s="54" t="n">
        <x:f>IF(ISNUMBER('Quarter-End Anchors'!O9),ROUND('Monthly EOP Balance'!AO9-'Quarter-End Anchors'!O9,2),"")</x:f>
        <x:v>0</x:v>
      </x:c>
      <x:c r="O9" s="54" t="n">
        <x:f>IF(ISNUMBER('Quarter-End Anchors'!P9),ROUND('Monthly EOP Balance'!AR9-'Quarter-End Anchors'!P9,2),"")</x:f>
        <x:v>0</x:v>
      </x:c>
    </x:row>
    <x:row r="10">
      <x:c r="A10" s="20" t="str">
        <x:v>  Investment securities</x:v>
      </x:c>
      <x:c r="B10" s="54" t="str">
        <x:f>IF(ISNUMBER('Quarter-End Anchors'!C10),ROUND('Monthly EOP Balance'!E10-'Quarter-End Anchors'!C10,2),"")</x:f>
      </x:c>
      <x:c r="C10" s="54" t="str">
        <x:f>IF(ISNUMBER('Quarter-End Anchors'!D10),ROUND('Monthly EOP Balance'!H10-'Quarter-End Anchors'!D10,2),"")</x:f>
      </x:c>
      <x:c r="D10" s="54" t="str">
        <x:f>IF(ISNUMBER('Quarter-End Anchors'!E10),ROUND('Monthly EOP Balance'!K10-'Quarter-End Anchors'!E10,2),"")</x:f>
      </x:c>
      <x:c r="E10" s="54" t="n">
        <x:f>IF(ISNUMBER('Quarter-End Anchors'!F10),ROUND('Monthly EOP Balance'!N10-'Quarter-End Anchors'!F10,2),"")</x:f>
        <x:v>0</x:v>
      </x:c>
      <x:c r="F10" s="54" t="n">
        <x:f>IF(ISNUMBER('Quarter-End Anchors'!G10),ROUND('Monthly EOP Balance'!Q10-'Quarter-End Anchors'!G10,2),"")</x:f>
        <x:v>0</x:v>
      </x:c>
      <x:c r="G10" s="54" t="n">
        <x:f>IF(ISNUMBER('Quarter-End Anchors'!H10),ROUND('Monthly EOP Balance'!T10-'Quarter-End Anchors'!H10,2),"")</x:f>
        <x:v>0</x:v>
      </x:c>
      <x:c r="H10" s="54" t="n">
        <x:f>IF(ISNUMBER('Quarter-End Anchors'!I10),ROUND('Monthly EOP Balance'!W10-'Quarter-End Anchors'!I10,2),"")</x:f>
        <x:v>0</x:v>
      </x:c>
      <x:c r="I10" s="54" t="n">
        <x:f>IF(ISNUMBER('Quarter-End Anchors'!J10),ROUND('Monthly EOP Balance'!Z10-'Quarter-End Anchors'!J10,2),"")</x:f>
        <x:v>0</x:v>
      </x:c>
      <x:c r="J10" s="54" t="n">
        <x:f>IF(ISNUMBER('Quarter-End Anchors'!K10),ROUND('Monthly EOP Balance'!AC10-'Quarter-End Anchors'!K10,2),"")</x:f>
        <x:v>0</x:v>
      </x:c>
      <x:c r="K10" s="54" t="n">
        <x:f>IF(ISNUMBER('Quarter-End Anchors'!L10),ROUND('Monthly EOP Balance'!AF10-'Quarter-End Anchors'!L10,2),"")</x:f>
        <x:v>0</x:v>
      </x:c>
      <x:c r="L10" s="54" t="n">
        <x:f>IF(ISNUMBER('Quarter-End Anchors'!M10),ROUND('Monthly EOP Balance'!AI10-'Quarter-End Anchors'!M10,2),"")</x:f>
        <x:v>0</x:v>
      </x:c>
      <x:c r="M10" s="54" t="n">
        <x:f>IF(ISNUMBER('Quarter-End Anchors'!N10),ROUND('Monthly EOP Balance'!AL10-'Quarter-End Anchors'!N10,2),"")</x:f>
        <x:v>0</x:v>
      </x:c>
      <x:c r="N10" s="54" t="n">
        <x:f>IF(ISNUMBER('Quarter-End Anchors'!O10),ROUND('Monthly EOP Balance'!AO10-'Quarter-End Anchors'!O10,2),"")</x:f>
        <x:v>0</x:v>
      </x:c>
      <x:c r="O10" s="54" t="n">
        <x:f>IF(ISNUMBER('Quarter-End Anchors'!P10),ROUND('Monthly EOP Balance'!AR10-'Quarter-End Anchors'!P10,2),"")</x:f>
        <x:v>0</x:v>
      </x:c>
    </x:row>
    <x:row r="11">
      <x:c r="A11" s="20" t="str">
        <x:v>  Cash equivalents and other</x:v>
      </x:c>
      <x:c r="B11" s="54" t="n">
        <x:f>IF(ISNUMBER('Quarter-End Anchors'!C11),ROUND('Monthly EOP Balance'!E11-'Quarter-End Anchors'!C11,2),"")</x:f>
        <x:v>0</x:v>
      </x:c>
      <x:c r="C11" s="54" t="n">
        <x:f>IF(ISNUMBER('Quarter-End Anchors'!D11),ROUND('Monthly EOP Balance'!H11-'Quarter-End Anchors'!D11,2),"")</x:f>
        <x:v>0</x:v>
      </x:c>
      <x:c r="D11" s="54" t="n">
        <x:f>IF(ISNUMBER('Quarter-End Anchors'!E11),ROUND('Monthly EOP Balance'!K11-'Quarter-End Anchors'!E11,2),"")</x:f>
        <x:v>0</x:v>
      </x:c>
      <x:c r="E11" s="54" t="n">
        <x:f>IF(ISNUMBER('Quarter-End Anchors'!F11),ROUND('Monthly EOP Balance'!N11-'Quarter-End Anchors'!F11,2),"")</x:f>
        <x:v>0</x:v>
      </x:c>
      <x:c r="F11" s="54" t="n">
        <x:f>IF(ISNUMBER('Quarter-End Anchors'!G11),ROUND('Monthly EOP Balance'!Q11-'Quarter-End Anchors'!G11,2),"")</x:f>
        <x:v>0</x:v>
      </x:c>
      <x:c r="G11" s="54" t="n">
        <x:f>IF(ISNUMBER('Quarter-End Anchors'!H11),ROUND('Monthly EOP Balance'!T11-'Quarter-End Anchors'!H11,2),"")</x:f>
        <x:v>0</x:v>
      </x:c>
      <x:c r="H11" s="54" t="n">
        <x:f>IF(ISNUMBER('Quarter-End Anchors'!I11),ROUND('Monthly EOP Balance'!W11-'Quarter-End Anchors'!I11,2),"")</x:f>
        <x:v>0</x:v>
      </x:c>
      <x:c r="I11" s="54" t="n">
        <x:f>IF(ISNUMBER('Quarter-End Anchors'!J11),ROUND('Monthly EOP Balance'!Z11-'Quarter-End Anchors'!J11,2),"")</x:f>
        <x:v>0</x:v>
      </x:c>
      <x:c r="J11" s="54" t="n">
        <x:f>IF(ISNUMBER('Quarter-End Anchors'!K11),ROUND('Monthly EOP Balance'!AC11-'Quarter-End Anchors'!K11,2),"")</x:f>
        <x:v>0</x:v>
      </x:c>
      <x:c r="K11" s="54" t="n">
        <x:f>IF(ISNUMBER('Quarter-End Anchors'!L11),ROUND('Monthly EOP Balance'!AF11-'Quarter-End Anchors'!L11,2),"")</x:f>
        <x:v>0</x:v>
      </x:c>
      <x:c r="L11" s="54" t="n">
        <x:f>IF(ISNUMBER('Quarter-End Anchors'!M11),ROUND('Monthly EOP Balance'!AI11-'Quarter-End Anchors'!M11,2),"")</x:f>
        <x:v>0</x:v>
      </x:c>
      <x:c r="M11" s="54" t="n">
        <x:f>IF(ISNUMBER('Quarter-End Anchors'!N11),ROUND('Monthly EOP Balance'!AL11-'Quarter-End Anchors'!N11,2),"")</x:f>
        <x:v>0</x:v>
      </x:c>
      <x:c r="N11" s="54" t="n">
        <x:f>IF(ISNUMBER('Quarter-End Anchors'!O11),ROUND('Monthly EOP Balance'!AO11-'Quarter-End Anchors'!O11,2),"")</x:f>
        <x:v>0</x:v>
      </x:c>
      <x:c r="O11" s="54" t="n">
        <x:f>IF(ISNUMBER('Quarter-End Anchors'!P11),ROUND('Monthly EOP Balance'!AR11-'Quarter-End Anchors'!P11,2),"")</x:f>
        <x:v>0</x:v>
      </x:c>
    </x:row>
    <x:row r="12">
      <x:c r="A12" s="20" t="str">
        <x:v>  Total interest-earning assets</x:v>
      </x:c>
      <x:c r="B12" s="54" t="str">
        <x:f>IF(ISNUMBER('Quarter-End Anchors'!C12),ROUND('Monthly EOP Balance'!E12-'Quarter-End Anchors'!C12,2),"")</x:f>
      </x:c>
      <x:c r="C12" s="54" t="str">
        <x:f>IF(ISNUMBER('Quarter-End Anchors'!D12),ROUND('Monthly EOP Balance'!H12-'Quarter-End Anchors'!D12,2),"")</x:f>
      </x:c>
      <x:c r="D12" s="54" t="str">
        <x:f>IF(ISNUMBER('Quarter-End Anchors'!E12),ROUND('Monthly EOP Balance'!K12-'Quarter-End Anchors'!E12,2),"")</x:f>
      </x:c>
      <x:c r="E12" s="54" t="n">
        <x:f>IF(ISNUMBER('Quarter-End Anchors'!F12),ROUND('Monthly EOP Balance'!N12-'Quarter-End Anchors'!F12,2),"")</x:f>
        <x:v>0</x:v>
      </x:c>
      <x:c r="F12" s="54" t="n">
        <x:f>IF(ISNUMBER('Quarter-End Anchors'!G12),ROUND('Monthly EOP Balance'!Q12-'Quarter-End Anchors'!G12,2),"")</x:f>
        <x:v>0</x:v>
      </x:c>
      <x:c r="G12" s="54" t="n">
        <x:f>IF(ISNUMBER('Quarter-End Anchors'!H12),ROUND('Monthly EOP Balance'!T12-'Quarter-End Anchors'!H12,2),"")</x:f>
        <x:v>0</x:v>
      </x:c>
      <x:c r="H12" s="54" t="n">
        <x:f>IF(ISNUMBER('Quarter-End Anchors'!I12),ROUND('Monthly EOP Balance'!W12-'Quarter-End Anchors'!I12,2),"")</x:f>
        <x:v>0</x:v>
      </x:c>
      <x:c r="I12" s="54" t="n">
        <x:f>IF(ISNUMBER('Quarter-End Anchors'!J12),ROUND('Monthly EOP Balance'!Z12-'Quarter-End Anchors'!J12,2),"")</x:f>
        <x:v>0</x:v>
      </x:c>
      <x:c r="J12" s="54" t="n">
        <x:f>IF(ISNUMBER('Quarter-End Anchors'!K12),ROUND('Monthly EOP Balance'!AC12-'Quarter-End Anchors'!K12,2),"")</x:f>
        <x:v>0</x:v>
      </x:c>
      <x:c r="K12" s="54" t="n">
        <x:f>IF(ISNUMBER('Quarter-End Anchors'!L12),ROUND('Monthly EOP Balance'!AF12-'Quarter-End Anchors'!L12,2),"")</x:f>
        <x:v>0</x:v>
      </x:c>
      <x:c r="L12" s="54" t="n">
        <x:f>IF(ISNUMBER('Quarter-End Anchors'!M12),ROUND('Monthly EOP Balance'!AI12-'Quarter-End Anchors'!M12,2),"")</x:f>
        <x:v>0</x:v>
      </x:c>
      <x:c r="M12" s="54" t="n">
        <x:f>IF(ISNUMBER('Quarter-End Anchors'!N12),ROUND('Monthly EOP Balance'!AL12-'Quarter-End Anchors'!N12,2),"")</x:f>
        <x:v>0</x:v>
      </x:c>
      <x:c r="N12" s="54" t="n">
        <x:f>IF(ISNUMBER('Quarter-End Anchors'!O12),ROUND('Monthly EOP Balance'!AO12-'Quarter-End Anchors'!O12,2),"")</x:f>
        <x:v>0</x:v>
      </x:c>
      <x:c r="O12" s="54" t="n">
        <x:f>IF(ISNUMBER('Quarter-End Anchors'!P12),ROUND('Monthly EOP Balance'!AR12-'Quarter-End Anchors'!P12,2),"")</x:f>
        <x:v>0</x:v>
      </x:c>
    </x:row>
    <x:row r="13">
      <x:c r="A13" s="20" t="str">
        <x:v>  Interest-bearing deposits</x:v>
      </x:c>
      <x:c r="B13" s="54" t="str">
        <x:f>IF(ISNUMBER('Quarter-End Anchors'!C15),ROUND('Monthly EOP Balance'!E15-'Quarter-End Anchors'!C15,2),"")</x:f>
      </x:c>
      <x:c r="C13" s="54" t="str">
        <x:f>IF(ISNUMBER('Quarter-End Anchors'!D15),ROUND('Monthly EOP Balance'!H15-'Quarter-End Anchors'!D15,2),"")</x:f>
      </x:c>
      <x:c r="D13" s="54" t="str">
        <x:f>IF(ISNUMBER('Quarter-End Anchors'!E15),ROUND('Monthly EOP Balance'!K15-'Quarter-End Anchors'!E15,2),"")</x:f>
      </x:c>
      <x:c r="E13" s="54" t="n">
        <x:f>IF(ISNUMBER('Quarter-End Anchors'!F15),ROUND('Monthly EOP Balance'!N15-'Quarter-End Anchors'!F15,2),"")</x:f>
        <x:v>0</x:v>
      </x:c>
      <x:c r="F13" s="54" t="n">
        <x:f>IF(ISNUMBER('Quarter-End Anchors'!G15),ROUND('Monthly EOP Balance'!Q15-'Quarter-End Anchors'!G15,2),"")</x:f>
        <x:v>0</x:v>
      </x:c>
      <x:c r="G13" s="54" t="n">
        <x:f>IF(ISNUMBER('Quarter-End Anchors'!H15),ROUND('Monthly EOP Balance'!T15-'Quarter-End Anchors'!H15,2),"")</x:f>
        <x:v>0</x:v>
      </x:c>
      <x:c r="H13" s="54" t="n">
        <x:f>IF(ISNUMBER('Quarter-End Anchors'!I15),ROUND('Monthly EOP Balance'!W15-'Quarter-End Anchors'!I15,2),"")</x:f>
        <x:v>0</x:v>
      </x:c>
      <x:c r="I13" s="54" t="n">
        <x:f>IF(ISNUMBER('Quarter-End Anchors'!J15),ROUND('Monthly EOP Balance'!Z15-'Quarter-End Anchors'!J15,2),"")</x:f>
        <x:v>0</x:v>
      </x:c>
      <x:c r="J13" s="54" t="n">
        <x:f>IF(ISNUMBER('Quarter-End Anchors'!K15),ROUND('Monthly EOP Balance'!AC15-'Quarter-End Anchors'!K15,2),"")</x:f>
        <x:v>0</x:v>
      </x:c>
      <x:c r="K13" s="54" t="n">
        <x:f>IF(ISNUMBER('Quarter-End Anchors'!L15),ROUND('Monthly EOP Balance'!AF15-'Quarter-End Anchors'!L15,2),"")</x:f>
        <x:v>0</x:v>
      </x:c>
      <x:c r="L13" s="54" t="n">
        <x:f>IF(ISNUMBER('Quarter-End Anchors'!M15),ROUND('Monthly EOP Balance'!AI15-'Quarter-End Anchors'!M15,2),"")</x:f>
        <x:v>0</x:v>
      </x:c>
      <x:c r="M13" s="54" t="n">
        <x:f>IF(ISNUMBER('Quarter-End Anchors'!N15),ROUND('Monthly EOP Balance'!AL15-'Quarter-End Anchors'!N15,2),"")</x:f>
        <x:v>0</x:v>
      </x:c>
      <x:c r="N13" s="54" t="n">
        <x:f>IF(ISNUMBER('Quarter-End Anchors'!O15),ROUND('Monthly EOP Balance'!AO15-'Quarter-End Anchors'!O15,2),"")</x:f>
        <x:v>0</x:v>
      </x:c>
      <x:c r="O13" s="54" t="n">
        <x:f>IF(ISNUMBER('Quarter-End Anchors'!P15),ROUND('Monthly EOP Balance'!AR15-'Quarter-End Anchors'!P15,2),"")</x:f>
        <x:v>0</x:v>
      </x:c>
    </x:row>
    <x:row r="14">
      <x:c r="A14" s="20" t="str">
        <x:v>  Securitized debt obligations</x:v>
      </x:c>
      <x:c r="B14" s="54" t="str">
        <x:f>IF(ISNUMBER('Quarter-End Anchors'!C16),ROUND('Monthly EOP Balance'!E16-'Quarter-End Anchors'!C16,2),"")</x:f>
      </x:c>
      <x:c r="C14" s="54" t="str">
        <x:f>IF(ISNUMBER('Quarter-End Anchors'!D16),ROUND('Monthly EOP Balance'!H16-'Quarter-End Anchors'!D16,2),"")</x:f>
      </x:c>
      <x:c r="D14" s="54" t="str">
        <x:f>IF(ISNUMBER('Quarter-End Anchors'!E16),ROUND('Monthly EOP Balance'!K16-'Quarter-End Anchors'!E16,2),"")</x:f>
      </x:c>
      <x:c r="E14" s="54" t="n">
        <x:f>IF(ISNUMBER('Quarter-End Anchors'!F16),ROUND('Monthly EOP Balance'!N16-'Quarter-End Anchors'!F16,2),"")</x:f>
        <x:v>0</x:v>
      </x:c>
      <x:c r="F14" s="54" t="n">
        <x:f>IF(ISNUMBER('Quarter-End Anchors'!G16),ROUND('Monthly EOP Balance'!Q16-'Quarter-End Anchors'!G16,2),"")</x:f>
        <x:v>0</x:v>
      </x:c>
      <x:c r="G14" s="54" t="n">
        <x:f>IF(ISNUMBER('Quarter-End Anchors'!H16),ROUND('Monthly EOP Balance'!T16-'Quarter-End Anchors'!H16,2),"")</x:f>
        <x:v>0</x:v>
      </x:c>
      <x:c r="H14" s="54" t="n">
        <x:f>IF(ISNUMBER('Quarter-End Anchors'!I16),ROUND('Monthly EOP Balance'!W16-'Quarter-End Anchors'!I16,2),"")</x:f>
        <x:v>0</x:v>
      </x:c>
      <x:c r="I14" s="54" t="n">
        <x:f>IF(ISNUMBER('Quarter-End Anchors'!J16),ROUND('Monthly EOP Balance'!Z16-'Quarter-End Anchors'!J16,2),"")</x:f>
        <x:v>0</x:v>
      </x:c>
      <x:c r="J14" s="54" t="n">
        <x:f>IF(ISNUMBER('Quarter-End Anchors'!K16),ROUND('Monthly EOP Balance'!AC16-'Quarter-End Anchors'!K16,2),"")</x:f>
        <x:v>0</x:v>
      </x:c>
      <x:c r="K14" s="54" t="n">
        <x:f>IF(ISNUMBER('Quarter-End Anchors'!L16),ROUND('Monthly EOP Balance'!AF16-'Quarter-End Anchors'!L16,2),"")</x:f>
        <x:v>0</x:v>
      </x:c>
      <x:c r="L14" s="54" t="n">
        <x:f>IF(ISNUMBER('Quarter-End Anchors'!M16),ROUND('Monthly EOP Balance'!AI16-'Quarter-End Anchors'!M16,2),"")</x:f>
        <x:v>0</x:v>
      </x:c>
      <x:c r="M14" s="54" t="n">
        <x:f>IF(ISNUMBER('Quarter-End Anchors'!N16),ROUND('Monthly EOP Balance'!AL16-'Quarter-End Anchors'!N16,2),"")</x:f>
        <x:v>0</x:v>
      </x:c>
      <x:c r="N14" s="54" t="n">
        <x:f>IF(ISNUMBER('Quarter-End Anchors'!O16),ROUND('Monthly EOP Balance'!AO16-'Quarter-End Anchors'!O16,2),"")</x:f>
        <x:v>0</x:v>
      </x:c>
      <x:c r="O14" s="54" t="n">
        <x:f>IF(ISNUMBER('Quarter-End Anchors'!P16),ROUND('Monthly EOP Balance'!AR16-'Quarter-End Anchors'!P16,2),"")</x:f>
        <x:v>0</x:v>
      </x:c>
    </x:row>
    <x:row r="15">
      <x:c r="A15" s="20" t="str">
        <x:v>  Senior and subordinated notes</x:v>
      </x:c>
      <x:c r="B15" s="54" t="str">
        <x:f>IF(ISNUMBER('Quarter-End Anchors'!C17),ROUND('Monthly EOP Balance'!E17-'Quarter-End Anchors'!C17,2),"")</x:f>
      </x:c>
      <x:c r="C15" s="54" t="str">
        <x:f>IF(ISNUMBER('Quarter-End Anchors'!D17),ROUND('Monthly EOP Balance'!H17-'Quarter-End Anchors'!D17,2),"")</x:f>
      </x:c>
      <x:c r="D15" s="54" t="str">
        <x:f>IF(ISNUMBER('Quarter-End Anchors'!E17),ROUND('Monthly EOP Balance'!K17-'Quarter-End Anchors'!E17,2),"")</x:f>
      </x:c>
      <x:c r="E15" s="54" t="n">
        <x:f>IF(ISNUMBER('Quarter-End Anchors'!F17),ROUND('Monthly EOP Balance'!N17-'Quarter-End Anchors'!F17,2),"")</x:f>
        <x:v>0</x:v>
      </x:c>
      <x:c r="F15" s="54" t="n">
        <x:f>IF(ISNUMBER('Quarter-End Anchors'!G17),ROUND('Monthly EOP Balance'!Q17-'Quarter-End Anchors'!G17,2),"")</x:f>
        <x:v>0</x:v>
      </x:c>
      <x:c r="G15" s="54" t="n">
        <x:f>IF(ISNUMBER('Quarter-End Anchors'!H17),ROUND('Monthly EOP Balance'!T17-'Quarter-End Anchors'!H17,2),"")</x:f>
        <x:v>0</x:v>
      </x:c>
      <x:c r="H15" s="54" t="n">
        <x:f>IF(ISNUMBER('Quarter-End Anchors'!I17),ROUND('Monthly EOP Balance'!W17-'Quarter-End Anchors'!I17,2),"")</x:f>
        <x:v>0</x:v>
      </x:c>
      <x:c r="I15" s="54" t="n">
        <x:f>IF(ISNUMBER('Quarter-End Anchors'!J17),ROUND('Monthly EOP Balance'!Z17-'Quarter-End Anchors'!J17,2),"")</x:f>
        <x:v>0</x:v>
      </x:c>
      <x:c r="J15" s="54" t="n">
        <x:f>IF(ISNUMBER('Quarter-End Anchors'!K17),ROUND('Monthly EOP Balance'!AC17-'Quarter-End Anchors'!K17,2),"")</x:f>
        <x:v>0</x:v>
      </x:c>
      <x:c r="K15" s="54" t="n">
        <x:f>IF(ISNUMBER('Quarter-End Anchors'!L17),ROUND('Monthly EOP Balance'!AF17-'Quarter-End Anchors'!L17,2),"")</x:f>
        <x:v>0</x:v>
      </x:c>
      <x:c r="L15" s="54" t="n">
        <x:f>IF(ISNUMBER('Quarter-End Anchors'!M17),ROUND('Monthly EOP Balance'!AI17-'Quarter-End Anchors'!M17,2),"")</x:f>
        <x:v>0</x:v>
      </x:c>
      <x:c r="M15" s="54" t="n">
        <x:f>IF(ISNUMBER('Quarter-End Anchors'!N17),ROUND('Monthly EOP Balance'!AL17-'Quarter-End Anchors'!N17,2),"")</x:f>
        <x:v>0</x:v>
      </x:c>
      <x:c r="N15" s="54" t="n">
        <x:f>IF(ISNUMBER('Quarter-End Anchors'!O17),ROUND('Monthly EOP Balance'!AO17-'Quarter-End Anchors'!O17,2),"")</x:f>
        <x:v>0</x:v>
      </x:c>
      <x:c r="O15" s="54" t="n">
        <x:f>IF(ISNUMBER('Quarter-End Anchors'!P17),ROUND('Monthly EOP Balance'!AR17-'Quarter-End Anchors'!P17,2),"")</x:f>
        <x:v>0</x:v>
      </x:c>
    </x:row>
    <x:row r="16">
      <x:c r="A16" s="20" t="str">
        <x:v>  Other borrowings</x:v>
      </x:c>
      <x:c r="B16" s="54" t="str">
        <x:f>IF(ISNUMBER('Quarter-End Anchors'!C18),ROUND('Monthly EOP Balance'!E18-'Quarter-End Anchors'!C18,2),"")</x:f>
      </x:c>
      <x:c r="C16" s="54" t="str">
        <x:f>IF(ISNUMBER('Quarter-End Anchors'!D18),ROUND('Monthly EOP Balance'!H18-'Quarter-End Anchors'!D18,2),"")</x:f>
      </x:c>
      <x:c r="D16" s="54" t="str">
        <x:f>IF(ISNUMBER('Quarter-End Anchors'!E18),ROUND('Monthly EOP Balance'!K18-'Quarter-End Anchors'!E18,2),"")</x:f>
      </x:c>
      <x:c r="E16" s="54" t="n">
        <x:f>IF(ISNUMBER('Quarter-End Anchors'!F18),ROUND('Monthly EOP Balance'!N18-'Quarter-End Anchors'!F18,2),"")</x:f>
        <x:v>0</x:v>
      </x:c>
      <x:c r="F16" s="54" t="n">
        <x:f>IF(ISNUMBER('Quarter-End Anchors'!G18),ROUND('Monthly EOP Balance'!Q18-'Quarter-End Anchors'!G18,2),"")</x:f>
        <x:v>0</x:v>
      </x:c>
      <x:c r="G16" s="54" t="n">
        <x:f>IF(ISNUMBER('Quarter-End Anchors'!H18),ROUND('Monthly EOP Balance'!T18-'Quarter-End Anchors'!H18,2),"")</x:f>
        <x:v>0</x:v>
      </x:c>
      <x:c r="H16" s="54" t="n">
        <x:f>IF(ISNUMBER('Quarter-End Anchors'!I18),ROUND('Monthly EOP Balance'!W18-'Quarter-End Anchors'!I18,2),"")</x:f>
        <x:v>0</x:v>
      </x:c>
      <x:c r="I16" s="54" t="n">
        <x:f>IF(ISNUMBER('Quarter-End Anchors'!J18),ROUND('Monthly EOP Balance'!Z18-'Quarter-End Anchors'!J18,2),"")</x:f>
        <x:v>0</x:v>
      </x:c>
      <x:c r="J16" s="54" t="n">
        <x:f>IF(ISNUMBER('Quarter-End Anchors'!K18),ROUND('Monthly EOP Balance'!AC18-'Quarter-End Anchors'!K18,2),"")</x:f>
        <x:v>0</x:v>
      </x:c>
      <x:c r="K16" s="54" t="n">
        <x:f>IF(ISNUMBER('Quarter-End Anchors'!L18),ROUND('Monthly EOP Balance'!AF18-'Quarter-End Anchors'!L18,2),"")</x:f>
        <x:v>0</x:v>
      </x:c>
      <x:c r="L16" s="54" t="n">
        <x:f>IF(ISNUMBER('Quarter-End Anchors'!M18),ROUND('Monthly EOP Balance'!AI18-'Quarter-End Anchors'!M18,2),"")</x:f>
        <x:v>0</x:v>
      </x:c>
      <x:c r="M16" s="54" t="n">
        <x:f>IF(ISNUMBER('Quarter-End Anchors'!N18),ROUND('Monthly EOP Balance'!AL18-'Quarter-End Anchors'!N18,2),"")</x:f>
        <x:v>0</x:v>
      </x:c>
      <x:c r="N16" s="54" t="n">
        <x:f>IF(ISNUMBER('Quarter-End Anchors'!O18),ROUND('Monthly EOP Balance'!AO18-'Quarter-End Anchors'!O18,2),"")</x:f>
        <x:v>0</x:v>
      </x:c>
      <x:c r="O16" s="54" t="n">
        <x:f>IF(ISNUMBER('Quarter-End Anchors'!P18),ROUND('Monthly EOP Balance'!AR18-'Quarter-End Anchors'!P18,2),"")</x:f>
        <x:v>0</x:v>
      </x:c>
    </x:row>
    <x:row r="17">
      <x:c r="A17" s="20" t="str">
        <x:v>  Total interest-bearing liabilities</x:v>
      </x:c>
      <x:c r="B17" s="54" t="str">
        <x:f>IF(ISNUMBER('Quarter-End Anchors'!C19),ROUND('Monthly EOP Balance'!E19-'Quarter-End Anchors'!C19,2),"")</x:f>
      </x:c>
      <x:c r="C17" s="54" t="str">
        <x:f>IF(ISNUMBER('Quarter-End Anchors'!D19),ROUND('Monthly EOP Balance'!H19-'Quarter-End Anchors'!D19,2),"")</x:f>
      </x:c>
      <x:c r="D17" s="54" t="str">
        <x:f>IF(ISNUMBER('Quarter-End Anchors'!E19),ROUND('Monthly EOP Balance'!K19-'Quarter-End Anchors'!E19,2),"")</x:f>
      </x:c>
      <x:c r="E17" s="54" t="n">
        <x:f>IF(ISNUMBER('Quarter-End Anchors'!F19),ROUND('Monthly EOP Balance'!N19-'Quarter-End Anchors'!F19,2),"")</x:f>
        <x:v>0</x:v>
      </x:c>
      <x:c r="F17" s="54" t="n">
        <x:f>IF(ISNUMBER('Quarter-End Anchors'!G19),ROUND('Monthly EOP Balance'!Q19-'Quarter-End Anchors'!G19,2),"")</x:f>
        <x:v>0</x:v>
      </x:c>
      <x:c r="G17" s="54" t="n">
        <x:f>IF(ISNUMBER('Quarter-End Anchors'!H19),ROUND('Monthly EOP Balance'!T19-'Quarter-End Anchors'!H19,2),"")</x:f>
        <x:v>0</x:v>
      </x:c>
      <x:c r="H17" s="54" t="n">
        <x:f>IF(ISNUMBER('Quarter-End Anchors'!I19),ROUND('Monthly EOP Balance'!W19-'Quarter-End Anchors'!I19,2),"")</x:f>
        <x:v>0</x:v>
      </x:c>
      <x:c r="I17" s="54" t="n">
        <x:f>IF(ISNUMBER('Quarter-End Anchors'!J19),ROUND('Monthly EOP Balance'!Z19-'Quarter-End Anchors'!J19,2),"")</x:f>
        <x:v>0</x:v>
      </x:c>
      <x:c r="J17" s="54" t="n">
        <x:f>IF(ISNUMBER('Quarter-End Anchors'!K19),ROUND('Monthly EOP Balance'!AC19-'Quarter-End Anchors'!K19,2),"")</x:f>
        <x:v>0</x:v>
      </x:c>
      <x:c r="K17" s="54" t="n">
        <x:f>IF(ISNUMBER('Quarter-End Anchors'!L19),ROUND('Monthly EOP Balance'!AF19-'Quarter-End Anchors'!L19,2),"")</x:f>
        <x:v>0</x:v>
      </x:c>
      <x:c r="L17" s="54" t="n">
        <x:f>IF(ISNUMBER('Quarter-End Anchors'!M19),ROUND('Monthly EOP Balance'!AI19-'Quarter-End Anchors'!M19,2),"")</x:f>
        <x:v>0</x:v>
      </x:c>
      <x:c r="M17" s="54" t="n">
        <x:f>IF(ISNUMBER('Quarter-End Anchors'!N19),ROUND('Monthly EOP Balance'!AL19-'Quarter-End Anchors'!N19,2),"")</x:f>
        <x:v>0</x:v>
      </x:c>
      <x:c r="N17" s="54" t="n">
        <x:f>IF(ISNUMBER('Quarter-End Anchors'!O19),ROUND('Monthly EOP Balance'!AO19-'Quarter-End Anchors'!O19,2),"")</x:f>
        <x:v>0</x:v>
      </x:c>
      <x:c r="O17" s="54" t="n">
        <x:f>IF(ISNUMBER('Quarter-End Anchors'!P19),ROUND('Monthly EOP Balance'!AR19-'Quarter-End Anchors'!P19,2),"")</x:f>
        <x:v>0</x:v>
      </x:c>
    </x:row>
    <x:row r="18">
      <x:c r="A18" s="20"/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  <x:c r="M18" s="54"/>
      <x:c r="N18" s="54"/>
      <x:c r="O18" s="54"/>
    </x:row>
    <x:row r="19">
      <x:c r="A19" s="25" t="str">
        <x:v>FOUR-POINT AVERAGE BALANCE DIFFERENCE</x:v>
      </x:c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</x:row>
    <x:row r="20">
      <x:c r="A20" s="20" t="str">
        <x:v>  Credit card</x:v>
      </x:c>
      <x:c r="B20" s="54" t="n">
        <x:f>ROUND(SUM('Monthly EOP Balance'!B6:'Monthly EOP Balance'!E6)/4-Balance!B6,2)</x:f>
        <x:v>0</x:v>
      </x:c>
      <x:c r="C20" s="54" t="n">
        <x:f>ROUND(SUM('Monthly EOP Balance'!E6:'Monthly EOP Balance'!H6)/4-Balance!C6,2)</x:f>
        <x:v>0</x:v>
      </x:c>
      <x:c r="D20" s="54" t="n">
        <x:f>ROUND(SUM('Monthly EOP Balance'!H6:'Monthly EOP Balance'!K6)/4-Balance!D6,2)</x:f>
        <x:v>0</x:v>
      </x:c>
      <x:c r="E20" s="54" t="n">
        <x:f>ROUND(SUM('Monthly EOP Balance'!K6:'Monthly EOP Balance'!N6)/4-Balance!E6,2)</x:f>
        <x:v>0</x:v>
      </x:c>
      <x:c r="F20" s="54" t="n">
        <x:f>ROUND(SUM('Monthly EOP Balance'!N6:'Monthly EOP Balance'!Q6)/4-Balance!F6,2)</x:f>
        <x:v>0</x:v>
      </x:c>
      <x:c r="G20" s="54" t="n">
        <x:f>ROUND(SUM('Monthly EOP Balance'!Q6:'Monthly EOP Balance'!T6)/4-Balance!G6,2)</x:f>
        <x:v>0</x:v>
      </x:c>
      <x:c r="H20" s="54" t="n">
        <x:f>ROUND(SUM('Monthly EOP Balance'!T6:'Monthly EOP Balance'!W6)/4-Balance!H6,2)</x:f>
        <x:v>0</x:v>
      </x:c>
      <x:c r="I20" s="54" t="n">
        <x:f>ROUND(SUM('Monthly EOP Balance'!W6:'Monthly EOP Balance'!Z6)/4-Balance!I6,2)</x:f>
        <x:v>0</x:v>
      </x:c>
      <x:c r="J20" s="54" t="n">
        <x:f>ROUND(SUM('Monthly EOP Balance'!Z6:'Monthly EOP Balance'!AC6)/4-Balance!J6,2)</x:f>
        <x:v>0</x:v>
      </x:c>
      <x:c r="K20" s="54" t="n">
        <x:f>ROUND(SUM('Monthly EOP Balance'!AC6:'Monthly EOP Balance'!AF6)/4-Balance!K6,2)</x:f>
        <x:v>0</x:v>
      </x:c>
      <x:c r="L20" s="54" t="n">
        <x:f>ROUND(SUM('Monthly EOP Balance'!AF6:'Monthly EOP Balance'!AI6)/4-Balance!L6,2)</x:f>
        <x:v>0</x:v>
      </x:c>
      <x:c r="M20" s="54" t="n">
        <x:f>ROUND(SUM('Monthly EOP Balance'!AI6:'Monthly EOP Balance'!AL6)/4-Balance!M6,2)</x:f>
        <x:v>0</x:v>
      </x:c>
      <x:c r="N20" s="54" t="n">
        <x:f>ROUND(SUM('Monthly EOP Balance'!AL6:'Monthly EOP Balance'!AO6)/4-Balance!N6,2)</x:f>
        <x:v>0</x:v>
      </x:c>
      <x:c r="O20" s="54" t="n">
        <x:f>ROUND(SUM('Monthly EOP Balance'!AO6:'Monthly EOP Balance'!AR6)/4-Balance!O6,2)</x:f>
        <x:v>0</x:v>
      </x:c>
    </x:row>
    <x:row r="21">
      <x:c r="A21" s="20" t="str">
        <x:v>  Consumer banking</x:v>
      </x:c>
      <x:c r="B21" s="54" t="n">
        <x:f>ROUND(SUM('Monthly EOP Balance'!B7:'Monthly EOP Balance'!E7)/4-Balance!B7,2)</x:f>
        <x:v>0</x:v>
      </x:c>
      <x:c r="C21" s="54" t="n">
        <x:f>ROUND(SUM('Monthly EOP Balance'!E7:'Monthly EOP Balance'!H7)/4-Balance!C7,2)</x:f>
        <x:v>0</x:v>
      </x:c>
      <x:c r="D21" s="54" t="n">
        <x:f>ROUND(SUM('Monthly EOP Balance'!H7:'Monthly EOP Balance'!K7)/4-Balance!D7,2)</x:f>
        <x:v>0</x:v>
      </x:c>
      <x:c r="E21" s="54" t="n">
        <x:f>ROUND(SUM('Monthly EOP Balance'!K7:'Monthly EOP Balance'!N7)/4-Balance!E7,2)</x:f>
        <x:v>0</x:v>
      </x:c>
      <x:c r="F21" s="54" t="n">
        <x:f>ROUND(SUM('Monthly EOP Balance'!N7:'Monthly EOP Balance'!Q7)/4-Balance!F7,2)</x:f>
        <x:v>0</x:v>
      </x:c>
      <x:c r="G21" s="54" t="n">
        <x:f>ROUND(SUM('Monthly EOP Balance'!Q7:'Monthly EOP Balance'!T7)/4-Balance!G7,2)</x:f>
        <x:v>0</x:v>
      </x:c>
      <x:c r="H21" s="54" t="n">
        <x:f>ROUND(SUM('Monthly EOP Balance'!T7:'Monthly EOP Balance'!W7)/4-Balance!H7,2)</x:f>
        <x:v>0</x:v>
      </x:c>
      <x:c r="I21" s="54" t="n">
        <x:f>ROUND(SUM('Monthly EOP Balance'!W7:'Monthly EOP Balance'!Z7)/4-Balance!I7,2)</x:f>
        <x:v>0</x:v>
      </x:c>
      <x:c r="J21" s="54" t="n">
        <x:f>ROUND(SUM('Monthly EOP Balance'!Z7:'Monthly EOP Balance'!AC7)/4-Balance!J7,2)</x:f>
        <x:v>0</x:v>
      </x:c>
      <x:c r="K21" s="54" t="n">
        <x:f>ROUND(SUM('Monthly EOP Balance'!AC7:'Monthly EOP Balance'!AF7)/4-Balance!K7,2)</x:f>
        <x:v>0</x:v>
      </x:c>
      <x:c r="L21" s="54" t="n">
        <x:f>ROUND(SUM('Monthly EOP Balance'!AF7:'Monthly EOP Balance'!AI7)/4-Balance!L7,2)</x:f>
        <x:v>0</x:v>
      </x:c>
      <x:c r="M21" s="54" t="n">
        <x:f>ROUND(SUM('Monthly EOP Balance'!AI7:'Monthly EOP Balance'!AL7)/4-Balance!M7,2)</x:f>
        <x:v>0</x:v>
      </x:c>
      <x:c r="N21" s="54" t="n">
        <x:f>ROUND(SUM('Monthly EOP Balance'!AL7:'Monthly EOP Balance'!AO7)/4-Balance!N7,2)</x:f>
        <x:v>0</x:v>
      </x:c>
      <x:c r="O21" s="54" t="n">
        <x:f>ROUND(SUM('Monthly EOP Balance'!AO7:'Monthly EOP Balance'!AR7)/4-Balance!O7,2)</x:f>
        <x:v>0</x:v>
      </x:c>
    </x:row>
    <x:row r="22">
      <x:c r="A22" s="20" t="str">
        <x:v>  Commercial banking</x:v>
      </x:c>
      <x:c r="B22" s="54" t="n">
        <x:f>ROUND(SUM('Monthly EOP Balance'!B8:'Monthly EOP Balance'!E8)/4-Balance!B8,2)</x:f>
        <x:v>0</x:v>
      </x:c>
      <x:c r="C22" s="54" t="n">
        <x:f>ROUND(SUM('Monthly EOP Balance'!E8:'Monthly EOP Balance'!H8)/4-Balance!C8,2)</x:f>
        <x:v>0</x:v>
      </x:c>
      <x:c r="D22" s="54" t="n">
        <x:f>ROUND(SUM('Monthly EOP Balance'!H8:'Monthly EOP Balance'!K8)/4-Balance!D8,2)</x:f>
        <x:v>0</x:v>
      </x:c>
      <x:c r="E22" s="54" t="n">
        <x:f>ROUND(SUM('Monthly EOP Balance'!K8:'Monthly EOP Balance'!N8)/4-Balance!E8,2)</x:f>
        <x:v>0</x:v>
      </x:c>
      <x:c r="F22" s="54" t="n">
        <x:f>ROUND(SUM('Monthly EOP Balance'!N8:'Monthly EOP Balance'!Q8)/4-Balance!F8,2)</x:f>
        <x:v>0</x:v>
      </x:c>
      <x:c r="G22" s="54" t="n">
        <x:f>ROUND(SUM('Monthly EOP Balance'!Q8:'Monthly EOP Balance'!T8)/4-Balance!G8,2)</x:f>
        <x:v>0</x:v>
      </x:c>
      <x:c r="H22" s="54" t="n">
        <x:f>ROUND(SUM('Monthly EOP Balance'!T8:'Monthly EOP Balance'!W8)/4-Balance!H8,2)</x:f>
        <x:v>0</x:v>
      </x:c>
      <x:c r="I22" s="54" t="n">
        <x:f>ROUND(SUM('Monthly EOP Balance'!W8:'Monthly EOP Balance'!Z8)/4-Balance!I8,2)</x:f>
        <x:v>0</x:v>
      </x:c>
      <x:c r="J22" s="54" t="n">
        <x:f>ROUND(SUM('Monthly EOP Balance'!Z8:'Monthly EOP Balance'!AC8)/4-Balance!J8,2)</x:f>
        <x:v>0</x:v>
      </x:c>
      <x:c r="K22" s="54" t="n">
        <x:f>ROUND(SUM('Monthly EOP Balance'!AC8:'Monthly EOP Balance'!AF8)/4-Balance!K8,2)</x:f>
        <x:v>0</x:v>
      </x:c>
      <x:c r="L22" s="54" t="n">
        <x:f>ROUND(SUM('Monthly EOP Balance'!AF8:'Monthly EOP Balance'!AI8)/4-Balance!L8,2)</x:f>
        <x:v>0</x:v>
      </x:c>
      <x:c r="M22" s="54" t="n">
        <x:f>ROUND(SUM('Monthly EOP Balance'!AI8:'Monthly EOP Balance'!AL8)/4-Balance!M8,2)</x:f>
        <x:v>0</x:v>
      </x:c>
      <x:c r="N22" s="54" t="n">
        <x:f>ROUND(SUM('Monthly EOP Balance'!AL8:'Monthly EOP Balance'!AO8)/4-Balance!N8,2)</x:f>
        <x:v>0</x:v>
      </x:c>
      <x:c r="O22" s="54" t="n">
        <x:f>ROUND(SUM('Monthly EOP Balance'!AO8:'Monthly EOP Balance'!AR8)/4-Balance!O8,2)</x:f>
        <x:v>0</x:v>
      </x:c>
    </x:row>
    <x:row r="23">
      <x:c r="A23" s="20" t="str">
        <x:v>  Total loans (incl. HFS)</x:v>
      </x:c>
      <x:c r="B23" s="54" t="n">
        <x:f>ROUND(SUM('Monthly EOP Balance'!B9:'Monthly EOP Balance'!E9)/4-Balance!B9,2)</x:f>
        <x:v>0</x:v>
      </x:c>
      <x:c r="C23" s="54" t="n">
        <x:f>ROUND(SUM('Monthly EOP Balance'!E9:'Monthly EOP Balance'!H9)/4-Balance!C9,2)</x:f>
        <x:v>0</x:v>
      </x:c>
      <x:c r="D23" s="54" t="n">
        <x:f>ROUND(SUM('Monthly EOP Balance'!H9:'Monthly EOP Balance'!K9)/4-Balance!D9,2)</x:f>
        <x:v>0</x:v>
      </x:c>
      <x:c r="E23" s="54" t="n">
        <x:f>ROUND(SUM('Monthly EOP Balance'!K9:'Monthly EOP Balance'!N9)/4-Balance!E9,2)</x:f>
        <x:v>0</x:v>
      </x:c>
      <x:c r="F23" s="54" t="n">
        <x:f>ROUND(SUM('Monthly EOP Balance'!N9:'Monthly EOP Balance'!Q9)/4-Balance!F9,2)</x:f>
        <x:v>0</x:v>
      </x:c>
      <x:c r="G23" s="54" t="n">
        <x:f>ROUND(SUM('Monthly EOP Balance'!Q9:'Monthly EOP Balance'!T9)/4-Balance!G9,2)</x:f>
        <x:v>0</x:v>
      </x:c>
      <x:c r="H23" s="54" t="n">
        <x:f>ROUND(SUM('Monthly EOP Balance'!T9:'Monthly EOP Balance'!W9)/4-Balance!H9,2)</x:f>
        <x:v>0</x:v>
      </x:c>
      <x:c r="I23" s="54" t="n">
        <x:f>ROUND(SUM('Monthly EOP Balance'!W9:'Monthly EOP Balance'!Z9)/4-Balance!I9,2)</x:f>
        <x:v>0</x:v>
      </x:c>
      <x:c r="J23" s="54" t="n">
        <x:f>ROUND(SUM('Monthly EOP Balance'!Z9:'Monthly EOP Balance'!AC9)/4-Balance!J9,2)</x:f>
        <x:v>0</x:v>
      </x:c>
      <x:c r="K23" s="54" t="n">
        <x:f>ROUND(SUM('Monthly EOP Balance'!AC9:'Monthly EOP Balance'!AF9)/4-Balance!K9,2)</x:f>
        <x:v>0</x:v>
      </x:c>
      <x:c r="L23" s="54" t="n">
        <x:f>ROUND(SUM('Monthly EOP Balance'!AF9:'Monthly EOP Balance'!AI9)/4-Balance!L9,2)</x:f>
        <x:v>0</x:v>
      </x:c>
      <x:c r="M23" s="54" t="n">
        <x:f>ROUND(SUM('Monthly EOP Balance'!AI9:'Monthly EOP Balance'!AL9)/4-Balance!M9,2)</x:f>
        <x:v>0</x:v>
      </x:c>
      <x:c r="N23" s="54" t="n">
        <x:f>ROUND(SUM('Monthly EOP Balance'!AL9:'Monthly EOP Balance'!AO9)/4-Balance!N9,2)</x:f>
        <x:v>0</x:v>
      </x:c>
      <x:c r="O23" s="54" t="n">
        <x:f>ROUND(SUM('Monthly EOP Balance'!AO9:'Monthly EOP Balance'!AR9)/4-Balance!O9,2)</x:f>
        <x:v>0</x:v>
      </x:c>
    </x:row>
    <x:row r="24">
      <x:c r="A24" s="20" t="str">
        <x:v>  Investment securities</x:v>
      </x:c>
      <x:c r="B24" s="54" t="n">
        <x:f>ROUND(SUM('Monthly EOP Balance'!B10:'Monthly EOP Balance'!E10)/4-Balance!B10,2)</x:f>
        <x:v>0</x:v>
      </x:c>
      <x:c r="C24" s="54" t="n">
        <x:f>ROUND(SUM('Monthly EOP Balance'!E10:'Monthly EOP Balance'!H10)/4-Balance!C10,2)</x:f>
        <x:v>0</x:v>
      </x:c>
      <x:c r="D24" s="54" t="n">
        <x:f>ROUND(SUM('Monthly EOP Balance'!H10:'Monthly EOP Balance'!K10)/4-Balance!D10,2)</x:f>
        <x:v>0</x:v>
      </x:c>
      <x:c r="E24" s="54" t="n">
        <x:f>ROUND(SUM('Monthly EOP Balance'!K10:'Monthly EOP Balance'!N10)/4-Balance!E10,2)</x:f>
        <x:v>0</x:v>
      </x:c>
      <x:c r="F24" s="54" t="n">
        <x:f>ROUND(SUM('Monthly EOP Balance'!N10:'Monthly EOP Balance'!Q10)/4-Balance!F10,2)</x:f>
        <x:v>0</x:v>
      </x:c>
      <x:c r="G24" s="54" t="n">
        <x:f>ROUND(SUM('Monthly EOP Balance'!Q10:'Monthly EOP Balance'!T10)/4-Balance!G10,2)</x:f>
        <x:v>0</x:v>
      </x:c>
      <x:c r="H24" s="54" t="n">
        <x:f>ROUND(SUM('Monthly EOP Balance'!T10:'Monthly EOP Balance'!W10)/4-Balance!H10,2)</x:f>
        <x:v>0</x:v>
      </x:c>
      <x:c r="I24" s="54" t="n">
        <x:f>ROUND(SUM('Monthly EOP Balance'!W10:'Monthly EOP Balance'!Z10)/4-Balance!I10,2)</x:f>
        <x:v>0</x:v>
      </x:c>
      <x:c r="J24" s="54" t="n">
        <x:f>ROUND(SUM('Monthly EOP Balance'!Z10:'Monthly EOP Balance'!AC10)/4-Balance!J10,2)</x:f>
        <x:v>0</x:v>
      </x:c>
      <x:c r="K24" s="54" t="n">
        <x:f>ROUND(SUM('Monthly EOP Balance'!AC10:'Monthly EOP Balance'!AF10)/4-Balance!K10,2)</x:f>
        <x:v>0</x:v>
      </x:c>
      <x:c r="L24" s="54" t="n">
        <x:f>ROUND(SUM('Monthly EOP Balance'!AF10:'Monthly EOP Balance'!AI10)/4-Balance!L10,2)</x:f>
        <x:v>0</x:v>
      </x:c>
      <x:c r="M24" s="54" t="n">
        <x:f>ROUND(SUM('Monthly EOP Balance'!AI10:'Monthly EOP Balance'!AL10)/4-Balance!M10,2)</x:f>
        <x:v>0</x:v>
      </x:c>
      <x:c r="N24" s="54" t="n">
        <x:f>ROUND(SUM('Monthly EOP Balance'!AL10:'Monthly EOP Balance'!AO10)/4-Balance!N10,2)</x:f>
        <x:v>0</x:v>
      </x:c>
      <x:c r="O24" s="54" t="n">
        <x:f>ROUND(SUM('Monthly EOP Balance'!AO10:'Monthly EOP Balance'!AR10)/4-Balance!O10,2)</x:f>
        <x:v>0</x:v>
      </x:c>
    </x:row>
    <x:row r="25">
      <x:c r="A25" s="20" t="str">
        <x:v>  Cash equivalents and other</x:v>
      </x:c>
      <x:c r="B25" s="54" t="n">
        <x:f>ROUND(SUM('Monthly EOP Balance'!B11:'Monthly EOP Balance'!E11)/4-Balance!B11,2)</x:f>
        <x:v>0</x:v>
      </x:c>
      <x:c r="C25" s="54" t="n">
        <x:f>ROUND(SUM('Monthly EOP Balance'!E11:'Monthly EOP Balance'!H11)/4-Balance!C11,2)</x:f>
        <x:v>0</x:v>
      </x:c>
      <x:c r="D25" s="54" t="n">
        <x:f>ROUND(SUM('Monthly EOP Balance'!H11:'Monthly EOP Balance'!K11)/4-Balance!D11,2)</x:f>
        <x:v>0</x:v>
      </x:c>
      <x:c r="E25" s="54" t="n">
        <x:f>ROUND(SUM('Monthly EOP Balance'!K11:'Monthly EOP Balance'!N11)/4-Balance!E11,2)</x:f>
        <x:v>0</x:v>
      </x:c>
      <x:c r="F25" s="54" t="n">
        <x:f>ROUND(SUM('Monthly EOP Balance'!N11:'Monthly EOP Balance'!Q11)/4-Balance!F11,2)</x:f>
        <x:v>0</x:v>
      </x:c>
      <x:c r="G25" s="54" t="n">
        <x:f>ROUND(SUM('Monthly EOP Balance'!Q11:'Monthly EOP Balance'!T11)/4-Balance!G11,2)</x:f>
        <x:v>0</x:v>
      </x:c>
      <x:c r="H25" s="54" t="n">
        <x:f>ROUND(SUM('Monthly EOP Balance'!T11:'Monthly EOP Balance'!W11)/4-Balance!H11,2)</x:f>
        <x:v>0</x:v>
      </x:c>
      <x:c r="I25" s="54" t="n">
        <x:f>ROUND(SUM('Monthly EOP Balance'!W11:'Monthly EOP Balance'!Z11)/4-Balance!I11,2)</x:f>
        <x:v>0</x:v>
      </x:c>
      <x:c r="J25" s="54" t="n">
        <x:f>ROUND(SUM('Monthly EOP Balance'!Z11:'Monthly EOP Balance'!AC11)/4-Balance!J11,2)</x:f>
        <x:v>0</x:v>
      </x:c>
      <x:c r="K25" s="54" t="n">
        <x:f>ROUND(SUM('Monthly EOP Balance'!AC11:'Monthly EOP Balance'!AF11)/4-Balance!K11,2)</x:f>
        <x:v>0</x:v>
      </x:c>
      <x:c r="L25" s="54" t="n">
        <x:f>ROUND(SUM('Monthly EOP Balance'!AF11:'Monthly EOP Balance'!AI11)/4-Balance!L11,2)</x:f>
        <x:v>0</x:v>
      </x:c>
      <x:c r="M25" s="54" t="n">
        <x:f>ROUND(SUM('Monthly EOP Balance'!AI11:'Monthly EOP Balance'!AL11)/4-Balance!M11,2)</x:f>
        <x:v>0</x:v>
      </x:c>
      <x:c r="N25" s="54" t="n">
        <x:f>ROUND(SUM('Monthly EOP Balance'!AL11:'Monthly EOP Balance'!AO11)/4-Balance!N11,2)</x:f>
        <x:v>0</x:v>
      </x:c>
      <x:c r="O25" s="54" t="n">
        <x:f>ROUND(SUM('Monthly EOP Balance'!AO11:'Monthly EOP Balance'!AR11)/4-Balance!O11,2)</x:f>
        <x:v>0</x:v>
      </x:c>
    </x:row>
    <x:row r="26">
      <x:c r="A26" s="20" t="str">
        <x:v>  Total interest-earning assets</x:v>
      </x:c>
      <x:c r="B26" s="54" t="n">
        <x:f>ROUND(SUM('Monthly EOP Balance'!B12:'Monthly EOP Balance'!E12)/4-Balance!B12,2)</x:f>
        <x:v>0</x:v>
      </x:c>
      <x:c r="C26" s="54" t="n">
        <x:f>ROUND(SUM('Monthly EOP Balance'!E12:'Monthly EOP Balance'!H12)/4-Balance!C12,2)</x:f>
        <x:v>0</x:v>
      </x:c>
      <x:c r="D26" s="54" t="n">
        <x:f>ROUND(SUM('Monthly EOP Balance'!H12:'Monthly EOP Balance'!K12)/4-Balance!D12,2)</x:f>
        <x:v>0</x:v>
      </x:c>
      <x:c r="E26" s="54" t="n">
        <x:f>ROUND(SUM('Monthly EOP Balance'!K12:'Monthly EOP Balance'!N12)/4-Balance!E12,2)</x:f>
        <x:v>0</x:v>
      </x:c>
      <x:c r="F26" s="54" t="n">
        <x:f>ROUND(SUM('Monthly EOP Balance'!N12:'Monthly EOP Balance'!Q12)/4-Balance!F12,2)</x:f>
        <x:v>0</x:v>
      </x:c>
      <x:c r="G26" s="54" t="n">
        <x:f>ROUND(SUM('Monthly EOP Balance'!Q12:'Monthly EOP Balance'!T12)/4-Balance!G12,2)</x:f>
        <x:v>0</x:v>
      </x:c>
      <x:c r="H26" s="54" t="n">
        <x:f>ROUND(SUM('Monthly EOP Balance'!T12:'Monthly EOP Balance'!W12)/4-Balance!H12,2)</x:f>
        <x:v>0</x:v>
      </x:c>
      <x:c r="I26" s="54" t="n">
        <x:f>ROUND(SUM('Monthly EOP Balance'!W12:'Monthly EOP Balance'!Z12)/4-Balance!I12,2)</x:f>
        <x:v>0</x:v>
      </x:c>
      <x:c r="J26" s="54" t="n">
        <x:f>ROUND(SUM('Monthly EOP Balance'!Z12:'Monthly EOP Balance'!AC12)/4-Balance!J12,2)</x:f>
        <x:v>0</x:v>
      </x:c>
      <x:c r="K26" s="54" t="n">
        <x:f>ROUND(SUM('Monthly EOP Balance'!AC12:'Monthly EOP Balance'!AF12)/4-Balance!K12,2)</x:f>
        <x:v>0</x:v>
      </x:c>
      <x:c r="L26" s="54" t="n">
        <x:f>ROUND(SUM('Monthly EOP Balance'!AF12:'Monthly EOP Balance'!AI12)/4-Balance!L12,2)</x:f>
        <x:v>0</x:v>
      </x:c>
      <x:c r="M26" s="54" t="n">
        <x:f>ROUND(SUM('Monthly EOP Balance'!AI12:'Monthly EOP Balance'!AL12)/4-Balance!M12,2)</x:f>
        <x:v>0</x:v>
      </x:c>
      <x:c r="N26" s="54" t="n">
        <x:f>ROUND(SUM('Monthly EOP Balance'!AL12:'Monthly EOP Balance'!AO12)/4-Balance!N12,2)</x:f>
        <x:v>0</x:v>
      </x:c>
      <x:c r="O26" s="54" t="n">
        <x:f>ROUND(SUM('Monthly EOP Balance'!AO12:'Monthly EOP Balance'!AR12)/4-Balance!O12,2)</x:f>
        <x:v>0</x:v>
      </x:c>
    </x:row>
    <x:row r="27">
      <x:c r="A27" s="20" t="str">
        <x:v>  Interest-bearing deposits</x:v>
      </x:c>
      <x:c r="B27" s="54" t="n">
        <x:f>ROUND(SUM('Monthly EOP Balance'!B15:'Monthly EOP Balance'!E15)/4-Balance!B15,2)</x:f>
        <x:v>0</x:v>
      </x:c>
      <x:c r="C27" s="54" t="n">
        <x:f>ROUND(SUM('Monthly EOP Balance'!E15:'Monthly EOP Balance'!H15)/4-Balance!C15,2)</x:f>
        <x:v>0</x:v>
      </x:c>
      <x:c r="D27" s="54" t="n">
        <x:f>ROUND(SUM('Monthly EOP Balance'!H15:'Monthly EOP Balance'!K15)/4-Balance!D15,2)</x:f>
        <x:v>0</x:v>
      </x:c>
      <x:c r="E27" s="54" t="n">
        <x:f>ROUND(SUM('Monthly EOP Balance'!K15:'Monthly EOP Balance'!N15)/4-Balance!E15,2)</x:f>
        <x:v>0</x:v>
      </x:c>
      <x:c r="F27" s="54" t="n">
        <x:f>ROUND(SUM('Monthly EOP Balance'!N15:'Monthly EOP Balance'!Q15)/4-Balance!F15,2)</x:f>
        <x:v>0</x:v>
      </x:c>
      <x:c r="G27" s="54" t="n">
        <x:f>ROUND(SUM('Monthly EOP Balance'!Q15:'Monthly EOP Balance'!T15)/4-Balance!G15,2)</x:f>
        <x:v>0</x:v>
      </x:c>
      <x:c r="H27" s="54" t="n">
        <x:f>ROUND(SUM('Monthly EOP Balance'!T15:'Monthly EOP Balance'!W15)/4-Balance!H15,2)</x:f>
        <x:v>0</x:v>
      </x:c>
      <x:c r="I27" s="54" t="n">
        <x:f>ROUND(SUM('Monthly EOP Balance'!W15:'Monthly EOP Balance'!Z15)/4-Balance!I15,2)</x:f>
        <x:v>0</x:v>
      </x:c>
      <x:c r="J27" s="54" t="n">
        <x:f>ROUND(SUM('Monthly EOP Balance'!Z15:'Monthly EOP Balance'!AC15)/4-Balance!J15,2)</x:f>
        <x:v>0</x:v>
      </x:c>
      <x:c r="K27" s="54" t="n">
        <x:f>ROUND(SUM('Monthly EOP Balance'!AC15:'Monthly EOP Balance'!AF15)/4-Balance!K15,2)</x:f>
        <x:v>0</x:v>
      </x:c>
      <x:c r="L27" s="54" t="n">
        <x:f>ROUND(SUM('Monthly EOP Balance'!AF15:'Monthly EOP Balance'!AI15)/4-Balance!L15,2)</x:f>
        <x:v>0</x:v>
      </x:c>
      <x:c r="M27" s="54" t="n">
        <x:f>ROUND(SUM('Monthly EOP Balance'!AI15:'Monthly EOP Balance'!AL15)/4-Balance!M15,2)</x:f>
        <x:v>0</x:v>
      </x:c>
      <x:c r="N27" s="54" t="n">
        <x:f>ROUND(SUM('Monthly EOP Balance'!AL15:'Monthly EOP Balance'!AO15)/4-Balance!N15,2)</x:f>
        <x:v>0</x:v>
      </x:c>
      <x:c r="O27" s="54" t="n">
        <x:f>ROUND(SUM('Monthly EOP Balance'!AO15:'Monthly EOP Balance'!AR15)/4-Balance!O15,2)</x:f>
        <x:v>0</x:v>
      </x:c>
    </x:row>
    <x:row r="28">
      <x:c r="A28" s="20" t="str">
        <x:v>  Securitized debt obligations</x:v>
      </x:c>
      <x:c r="B28" s="54" t="n">
        <x:f>ROUND(SUM('Monthly EOP Balance'!B16:'Monthly EOP Balance'!E16)/4-Balance!B16,2)</x:f>
        <x:v>0</x:v>
      </x:c>
      <x:c r="C28" s="54" t="n">
        <x:f>ROUND(SUM('Monthly EOP Balance'!E16:'Monthly EOP Balance'!H16)/4-Balance!C16,2)</x:f>
        <x:v>0</x:v>
      </x:c>
      <x:c r="D28" s="54" t="n">
        <x:f>ROUND(SUM('Monthly EOP Balance'!H16:'Monthly EOP Balance'!K16)/4-Balance!D16,2)</x:f>
        <x:v>0</x:v>
      </x:c>
      <x:c r="E28" s="54" t="n">
        <x:f>ROUND(SUM('Monthly EOP Balance'!K16:'Monthly EOP Balance'!N16)/4-Balance!E16,2)</x:f>
        <x:v>0</x:v>
      </x:c>
      <x:c r="F28" s="54" t="n">
        <x:f>ROUND(SUM('Monthly EOP Balance'!N16:'Monthly EOP Balance'!Q16)/4-Balance!F16,2)</x:f>
        <x:v>0</x:v>
      </x:c>
      <x:c r="G28" s="54" t="n">
        <x:f>ROUND(SUM('Monthly EOP Balance'!Q16:'Monthly EOP Balance'!T16)/4-Balance!G16,2)</x:f>
        <x:v>0</x:v>
      </x:c>
      <x:c r="H28" s="54" t="n">
        <x:f>ROUND(SUM('Monthly EOP Balance'!T16:'Monthly EOP Balance'!W16)/4-Balance!H16,2)</x:f>
        <x:v>0</x:v>
      </x:c>
      <x:c r="I28" s="54" t="n">
        <x:f>ROUND(SUM('Monthly EOP Balance'!W16:'Monthly EOP Balance'!Z16)/4-Balance!I16,2)</x:f>
        <x:v>0</x:v>
      </x:c>
      <x:c r="J28" s="54" t="n">
        <x:f>ROUND(SUM('Monthly EOP Balance'!Z16:'Monthly EOP Balance'!AC16)/4-Balance!J16,2)</x:f>
        <x:v>0</x:v>
      </x:c>
      <x:c r="K28" s="54" t="n">
        <x:f>ROUND(SUM('Monthly EOP Balance'!AC16:'Monthly EOP Balance'!AF16)/4-Balance!K16,2)</x:f>
        <x:v>0</x:v>
      </x:c>
      <x:c r="L28" s="54" t="n">
        <x:f>ROUND(SUM('Monthly EOP Balance'!AF16:'Monthly EOP Balance'!AI16)/4-Balance!L16,2)</x:f>
        <x:v>0</x:v>
      </x:c>
      <x:c r="M28" s="54" t="n">
        <x:f>ROUND(SUM('Monthly EOP Balance'!AI16:'Monthly EOP Balance'!AL16)/4-Balance!M16,2)</x:f>
        <x:v>0</x:v>
      </x:c>
      <x:c r="N28" s="54" t="n">
        <x:f>ROUND(SUM('Monthly EOP Balance'!AL16:'Monthly EOP Balance'!AO16)/4-Balance!N16,2)</x:f>
        <x:v>0</x:v>
      </x:c>
      <x:c r="O28" s="54" t="n">
        <x:f>ROUND(SUM('Monthly EOP Balance'!AO16:'Monthly EOP Balance'!AR16)/4-Balance!O16,2)</x:f>
        <x:v>0</x:v>
      </x:c>
    </x:row>
    <x:row r="29">
      <x:c r="A29" s="20" t="str">
        <x:v>  Senior and subordinated notes</x:v>
      </x:c>
      <x:c r="B29" s="54" t="n">
        <x:f>ROUND(SUM('Monthly EOP Balance'!B17:'Monthly EOP Balance'!E17)/4-Balance!B17,2)</x:f>
        <x:v>0</x:v>
      </x:c>
      <x:c r="C29" s="54" t="n">
        <x:f>ROUND(SUM('Monthly EOP Balance'!E17:'Monthly EOP Balance'!H17)/4-Balance!C17,2)</x:f>
        <x:v>0</x:v>
      </x:c>
      <x:c r="D29" s="54" t="n">
        <x:f>ROUND(SUM('Monthly EOP Balance'!H17:'Monthly EOP Balance'!K17)/4-Balance!D17,2)</x:f>
        <x:v>0</x:v>
      </x:c>
      <x:c r="E29" s="54" t="n">
        <x:f>ROUND(SUM('Monthly EOP Balance'!K17:'Monthly EOP Balance'!N17)/4-Balance!E17,2)</x:f>
        <x:v>0</x:v>
      </x:c>
      <x:c r="F29" s="54" t="n">
        <x:f>ROUND(SUM('Monthly EOP Balance'!N17:'Monthly EOP Balance'!Q17)/4-Balance!F17,2)</x:f>
        <x:v>0</x:v>
      </x:c>
      <x:c r="G29" s="54" t="n">
        <x:f>ROUND(SUM('Monthly EOP Balance'!Q17:'Monthly EOP Balance'!T17)/4-Balance!G17,2)</x:f>
        <x:v>0</x:v>
      </x:c>
      <x:c r="H29" s="54" t="n">
        <x:f>ROUND(SUM('Monthly EOP Balance'!T17:'Monthly EOP Balance'!W17)/4-Balance!H17,2)</x:f>
        <x:v>0</x:v>
      </x:c>
      <x:c r="I29" s="54" t="n">
        <x:f>ROUND(SUM('Monthly EOP Balance'!W17:'Monthly EOP Balance'!Z17)/4-Balance!I17,2)</x:f>
        <x:v>0</x:v>
      </x:c>
      <x:c r="J29" s="54" t="n">
        <x:f>ROUND(SUM('Monthly EOP Balance'!Z17:'Monthly EOP Balance'!AC17)/4-Balance!J17,2)</x:f>
        <x:v>0</x:v>
      </x:c>
      <x:c r="K29" s="54" t="n">
        <x:f>ROUND(SUM('Monthly EOP Balance'!AC17:'Monthly EOP Balance'!AF17)/4-Balance!K17,2)</x:f>
        <x:v>0</x:v>
      </x:c>
      <x:c r="L29" s="54" t="n">
        <x:f>ROUND(SUM('Monthly EOP Balance'!AF17:'Monthly EOP Balance'!AI17)/4-Balance!L17,2)</x:f>
        <x:v>0</x:v>
      </x:c>
      <x:c r="M29" s="54" t="n">
        <x:f>ROUND(SUM('Monthly EOP Balance'!AI17:'Monthly EOP Balance'!AL17)/4-Balance!M17,2)</x:f>
        <x:v>0</x:v>
      </x:c>
      <x:c r="N29" s="54" t="n">
        <x:f>ROUND(SUM('Monthly EOP Balance'!AL17:'Monthly EOP Balance'!AO17)/4-Balance!N17,2)</x:f>
        <x:v>0</x:v>
      </x:c>
      <x:c r="O29" s="54" t="n">
        <x:f>ROUND(SUM('Monthly EOP Balance'!AO17:'Monthly EOP Balance'!AR17)/4-Balance!O17,2)</x:f>
        <x:v>0</x:v>
      </x:c>
    </x:row>
    <x:row r="30">
      <x:c r="A30" s="20" t="str">
        <x:v>  Other borrowings</x:v>
      </x:c>
      <x:c r="B30" s="54" t="n">
        <x:f>ROUND(SUM('Monthly EOP Balance'!B18:'Monthly EOP Balance'!E18)/4-Balance!B18,2)</x:f>
        <x:v>0</x:v>
      </x:c>
      <x:c r="C30" s="54" t="n">
        <x:f>ROUND(SUM('Monthly EOP Balance'!E18:'Monthly EOP Balance'!H18)/4-Balance!C18,2)</x:f>
        <x:v>0</x:v>
      </x:c>
      <x:c r="D30" s="54" t="n">
        <x:f>ROUND(SUM('Monthly EOP Balance'!H18:'Monthly EOP Balance'!K18)/4-Balance!D18,2)</x:f>
        <x:v>0</x:v>
      </x:c>
      <x:c r="E30" s="54" t="n">
        <x:f>ROUND(SUM('Monthly EOP Balance'!K18:'Monthly EOP Balance'!N18)/4-Balance!E18,2)</x:f>
        <x:v>0</x:v>
      </x:c>
      <x:c r="F30" s="54" t="n">
        <x:f>ROUND(SUM('Monthly EOP Balance'!N18:'Monthly EOP Balance'!Q18)/4-Balance!F18,2)</x:f>
        <x:v>0</x:v>
      </x:c>
      <x:c r="G30" s="54" t="n">
        <x:f>ROUND(SUM('Monthly EOP Balance'!Q18:'Monthly EOP Balance'!T18)/4-Balance!G18,2)</x:f>
        <x:v>0</x:v>
      </x:c>
      <x:c r="H30" s="54" t="n">
        <x:f>ROUND(SUM('Monthly EOP Balance'!T18:'Monthly EOP Balance'!W18)/4-Balance!H18,2)</x:f>
        <x:v>0</x:v>
      </x:c>
      <x:c r="I30" s="54" t="n">
        <x:f>ROUND(SUM('Monthly EOP Balance'!W18:'Monthly EOP Balance'!Z18)/4-Balance!I18,2)</x:f>
        <x:v>0</x:v>
      </x:c>
      <x:c r="J30" s="54" t="n">
        <x:f>ROUND(SUM('Monthly EOP Balance'!Z18:'Monthly EOP Balance'!AC18)/4-Balance!J18,2)</x:f>
        <x:v>0</x:v>
      </x:c>
      <x:c r="K30" s="54" t="n">
        <x:f>ROUND(SUM('Monthly EOP Balance'!AC18:'Monthly EOP Balance'!AF18)/4-Balance!K18,2)</x:f>
        <x:v>0</x:v>
      </x:c>
      <x:c r="L30" s="54" t="n">
        <x:f>ROUND(SUM('Monthly EOP Balance'!AF18:'Monthly EOP Balance'!AI18)/4-Balance!L18,2)</x:f>
        <x:v>0</x:v>
      </x:c>
      <x:c r="M30" s="54" t="n">
        <x:f>ROUND(SUM('Monthly EOP Balance'!AI18:'Monthly EOP Balance'!AL18)/4-Balance!M18,2)</x:f>
        <x:v>0</x:v>
      </x:c>
      <x:c r="N30" s="54" t="n">
        <x:f>ROUND(SUM('Monthly EOP Balance'!AL18:'Monthly EOP Balance'!AO18)/4-Balance!N18,2)</x:f>
        <x:v>0</x:v>
      </x:c>
      <x:c r="O30" s="54" t="n">
        <x:f>ROUND(SUM('Monthly EOP Balance'!AO18:'Monthly EOP Balance'!AR18)/4-Balance!O18,2)</x:f>
        <x:v>0</x:v>
      </x:c>
    </x:row>
    <x:row r="31">
      <x:c r="A31" s="20" t="str">
        <x:v>  Total interest-bearing liabilities</x:v>
      </x:c>
      <x:c r="B31" s="54" t="n">
        <x:f>ROUND(SUM('Monthly EOP Balance'!B19:'Monthly EOP Balance'!E19)/4-Balance!B19,2)</x:f>
        <x:v>0</x:v>
      </x:c>
      <x:c r="C31" s="54" t="n">
        <x:f>ROUND(SUM('Monthly EOP Balance'!E19:'Monthly EOP Balance'!H19)/4-Balance!C19,2)</x:f>
        <x:v>0</x:v>
      </x:c>
      <x:c r="D31" s="54" t="n">
        <x:f>ROUND(SUM('Monthly EOP Balance'!H19:'Monthly EOP Balance'!K19)/4-Balance!D19,2)</x:f>
        <x:v>0</x:v>
      </x:c>
      <x:c r="E31" s="54" t="n">
        <x:f>ROUND(SUM('Monthly EOP Balance'!K19:'Monthly EOP Balance'!N19)/4-Balance!E19,2)</x:f>
        <x:v>0</x:v>
      </x:c>
      <x:c r="F31" s="54" t="n">
        <x:f>ROUND(SUM('Monthly EOP Balance'!N19:'Monthly EOP Balance'!Q19)/4-Balance!F19,2)</x:f>
        <x:v>0</x:v>
      </x:c>
      <x:c r="G31" s="54" t="n">
        <x:f>ROUND(SUM('Monthly EOP Balance'!Q19:'Monthly EOP Balance'!T19)/4-Balance!G19,2)</x:f>
        <x:v>0</x:v>
      </x:c>
      <x:c r="H31" s="54" t="n">
        <x:f>ROUND(SUM('Monthly EOP Balance'!T19:'Monthly EOP Balance'!W19)/4-Balance!H19,2)</x:f>
        <x:v>0</x:v>
      </x:c>
      <x:c r="I31" s="54" t="n">
        <x:f>ROUND(SUM('Monthly EOP Balance'!W19:'Monthly EOP Balance'!Z19)/4-Balance!I19,2)</x:f>
        <x:v>0</x:v>
      </x:c>
      <x:c r="J31" s="54" t="n">
        <x:f>ROUND(SUM('Monthly EOP Balance'!Z19:'Monthly EOP Balance'!AC19)/4-Balance!J19,2)</x:f>
        <x:v>0</x:v>
      </x:c>
      <x:c r="K31" s="54" t="n">
        <x:f>ROUND(SUM('Monthly EOP Balance'!AC19:'Monthly EOP Balance'!AF19)/4-Balance!K19,2)</x:f>
        <x:v>0</x:v>
      </x:c>
      <x:c r="L31" s="54" t="n">
        <x:f>ROUND(SUM('Monthly EOP Balance'!AF19:'Monthly EOP Balance'!AI19)/4-Balance!L19,2)</x:f>
        <x:v>0</x:v>
      </x:c>
      <x:c r="M31" s="54" t="n">
        <x:f>ROUND(SUM('Monthly EOP Balance'!AI19:'Monthly EOP Balance'!AL19)/4-Balance!M19,2)</x:f>
        <x:v>0</x:v>
      </x:c>
      <x:c r="N31" s="54" t="n">
        <x:f>ROUND(SUM('Monthly EOP Balance'!AL19:'Monthly EOP Balance'!AO19)/4-Balance!N19,2)</x:f>
        <x:v>0</x:v>
      </x:c>
      <x:c r="O31" s="54" t="n">
        <x:f>ROUND(SUM('Monthly EOP Balance'!AO19:'Monthly EOP Balance'!AR19)/4-Balance!O19,2)</x:f>
        <x:v>0</x:v>
      </x:c>
    </x:row>
    <x:row r="32">
      <x:c r="A32" s="20"/>
      <x:c r="B32" s="54"/>
      <x:c r="C32" s="54"/>
      <x:c r="D32" s="54"/>
      <x:c r="E32" s="54"/>
      <x:c r="F32" s="54"/>
      <x:c r="G32" s="54"/>
      <x:c r="H32" s="54"/>
      <x:c r="I32" s="54"/>
      <x:c r="J32" s="54"/>
      <x:c r="K32" s="54"/>
      <x:c r="L32" s="54"/>
      <x:c r="M32" s="54"/>
      <x:c r="N32" s="54"/>
      <x:c r="O32" s="54"/>
    </x:row>
    <x:row r="33">
      <x:c r="A33" s="25" t="str">
        <x:v>MONTHLY INCOME SUM DIFFERENCE</x:v>
      </x:c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</x:row>
    <x:row r="34">
      <x:c r="A34" s="20" t="str">
        <x:v>  Credit card</x:v>
      </x:c>
      <x:c r="B34" s="54" t="n">
        <x:f>ROUND(SUM('Monthly NII'!B6:'Monthly NII'!D6)-'Net Interest Income'!B6,2)</x:f>
        <x:v>0</x:v>
      </x:c>
      <x:c r="C34" s="54" t="n">
        <x:f>ROUND(SUM('Monthly NII'!E6:'Monthly NII'!G6)-'Net Interest Income'!C6,2)</x:f>
        <x:v>0</x:v>
      </x:c>
      <x:c r="D34" s="54" t="n">
        <x:f>ROUND(SUM('Monthly NII'!H6:'Monthly NII'!J6)-'Net Interest Income'!D6,2)</x:f>
        <x:v>0</x:v>
      </x:c>
      <x:c r="E34" s="54" t="n">
        <x:f>ROUND(SUM('Monthly NII'!K6:'Monthly NII'!M6)-'Net Interest Income'!E6,2)</x:f>
        <x:v>0</x:v>
      </x:c>
      <x:c r="F34" s="54" t="n">
        <x:f>ROUND(SUM('Monthly NII'!N6:'Monthly NII'!P6)-'Net Interest Income'!F6,2)</x:f>
        <x:v>0</x:v>
      </x:c>
      <x:c r="G34" s="54" t="n">
        <x:f>ROUND(SUM('Monthly NII'!Q6:'Monthly NII'!S6)-'Net Interest Income'!G6,2)</x:f>
        <x:v>0</x:v>
      </x:c>
      <x:c r="H34" s="54" t="n">
        <x:f>ROUND(SUM('Monthly NII'!T6:'Monthly NII'!V6)-'Net Interest Income'!H6,2)</x:f>
        <x:v>0</x:v>
      </x:c>
      <x:c r="I34" s="54" t="n">
        <x:f>ROUND(SUM('Monthly NII'!W6:'Monthly NII'!Y6)-'Net Interest Income'!I6,2)</x:f>
        <x:v>0</x:v>
      </x:c>
      <x:c r="J34" s="54" t="n">
        <x:f>ROUND(SUM('Monthly NII'!Z6:'Monthly NII'!AB6)-'Net Interest Income'!J6,2)</x:f>
        <x:v>0</x:v>
      </x:c>
      <x:c r="K34" s="54" t="n">
        <x:f>ROUND(SUM('Monthly NII'!AC6:'Monthly NII'!AE6)-'Net Interest Income'!K6,2)</x:f>
        <x:v>0</x:v>
      </x:c>
      <x:c r="L34" s="54" t="n">
        <x:f>ROUND(SUM('Monthly NII'!AF6:'Monthly NII'!AH6)-'Net Interest Income'!L6,2)</x:f>
        <x:v>0</x:v>
      </x:c>
      <x:c r="M34" s="54" t="n">
        <x:f>ROUND(SUM('Monthly NII'!AI6:'Monthly NII'!AK6)-'Net Interest Income'!M6,2)</x:f>
        <x:v>0</x:v>
      </x:c>
      <x:c r="N34" s="54" t="n">
        <x:f>ROUND(SUM('Monthly NII'!AL6:'Monthly NII'!AN6)-'Net Interest Income'!N6,2)</x:f>
        <x:v>0</x:v>
      </x:c>
      <x:c r="O34" s="54" t="n">
        <x:f>ROUND(SUM('Monthly NII'!AO6:'Monthly NII'!AQ6)-'Net Interest Income'!O6,2)</x:f>
        <x:v>0</x:v>
      </x:c>
    </x:row>
    <x:row r="35">
      <x:c r="A35" s="20" t="str">
        <x:v>  Consumer banking</x:v>
      </x:c>
      <x:c r="B35" s="54" t="n">
        <x:f>ROUND(SUM('Monthly NII'!B7:'Monthly NII'!D7)-'Net Interest Income'!B7,2)</x:f>
        <x:v>0</x:v>
      </x:c>
      <x:c r="C35" s="54" t="n">
        <x:f>ROUND(SUM('Monthly NII'!E7:'Monthly NII'!G7)-'Net Interest Income'!C7,2)</x:f>
        <x:v>0</x:v>
      </x:c>
      <x:c r="D35" s="54" t="n">
        <x:f>ROUND(SUM('Monthly NII'!H7:'Monthly NII'!J7)-'Net Interest Income'!D7,2)</x:f>
        <x:v>0</x:v>
      </x:c>
      <x:c r="E35" s="54" t="n">
        <x:f>ROUND(SUM('Monthly NII'!K7:'Monthly NII'!M7)-'Net Interest Income'!E7,2)</x:f>
        <x:v>0</x:v>
      </x:c>
      <x:c r="F35" s="54" t="n">
        <x:f>ROUND(SUM('Monthly NII'!N7:'Monthly NII'!P7)-'Net Interest Income'!F7,2)</x:f>
        <x:v>0</x:v>
      </x:c>
      <x:c r="G35" s="54" t="n">
        <x:f>ROUND(SUM('Monthly NII'!Q7:'Monthly NII'!S7)-'Net Interest Income'!G7,2)</x:f>
        <x:v>0</x:v>
      </x:c>
      <x:c r="H35" s="54" t="n">
        <x:f>ROUND(SUM('Monthly NII'!T7:'Monthly NII'!V7)-'Net Interest Income'!H7,2)</x:f>
        <x:v>0</x:v>
      </x:c>
      <x:c r="I35" s="54" t="n">
        <x:f>ROUND(SUM('Monthly NII'!W7:'Monthly NII'!Y7)-'Net Interest Income'!I7,2)</x:f>
        <x:v>0</x:v>
      </x:c>
      <x:c r="J35" s="54" t="n">
        <x:f>ROUND(SUM('Monthly NII'!Z7:'Monthly NII'!AB7)-'Net Interest Income'!J7,2)</x:f>
        <x:v>0</x:v>
      </x:c>
      <x:c r="K35" s="54" t="n">
        <x:f>ROUND(SUM('Monthly NII'!AC7:'Monthly NII'!AE7)-'Net Interest Income'!K7,2)</x:f>
        <x:v>0</x:v>
      </x:c>
      <x:c r="L35" s="54" t="n">
        <x:f>ROUND(SUM('Monthly NII'!AF7:'Monthly NII'!AH7)-'Net Interest Income'!L7,2)</x:f>
        <x:v>0</x:v>
      </x:c>
      <x:c r="M35" s="54" t="n">
        <x:f>ROUND(SUM('Monthly NII'!AI7:'Monthly NII'!AK7)-'Net Interest Income'!M7,2)</x:f>
        <x:v>0</x:v>
      </x:c>
      <x:c r="N35" s="54" t="n">
        <x:f>ROUND(SUM('Monthly NII'!AL7:'Monthly NII'!AN7)-'Net Interest Income'!N7,2)</x:f>
        <x:v>0</x:v>
      </x:c>
      <x:c r="O35" s="54" t="n">
        <x:f>ROUND(SUM('Monthly NII'!AO7:'Monthly NII'!AQ7)-'Net Interest Income'!O7,2)</x:f>
        <x:v>0</x:v>
      </x:c>
    </x:row>
    <x:row r="36">
      <x:c r="A36" s="20" t="str">
        <x:v>  Commercial banking</x:v>
      </x:c>
      <x:c r="B36" s="54" t="n">
        <x:f>ROUND(SUM('Monthly NII'!B8:'Monthly NII'!D8)-'Net Interest Income'!B8,2)</x:f>
        <x:v>0</x:v>
      </x:c>
      <x:c r="C36" s="54" t="n">
        <x:f>ROUND(SUM('Monthly NII'!E8:'Monthly NII'!G8)-'Net Interest Income'!C8,2)</x:f>
        <x:v>0</x:v>
      </x:c>
      <x:c r="D36" s="54" t="n">
        <x:f>ROUND(SUM('Monthly NII'!H8:'Monthly NII'!J8)-'Net Interest Income'!D8,2)</x:f>
        <x:v>0</x:v>
      </x:c>
      <x:c r="E36" s="54" t="n">
        <x:f>ROUND(SUM('Monthly NII'!K8:'Monthly NII'!M8)-'Net Interest Income'!E8,2)</x:f>
        <x:v>0</x:v>
      </x:c>
      <x:c r="F36" s="54" t="n">
        <x:f>ROUND(SUM('Monthly NII'!N8:'Monthly NII'!P8)-'Net Interest Income'!F8,2)</x:f>
        <x:v>0</x:v>
      </x:c>
      <x:c r="G36" s="54" t="n">
        <x:f>ROUND(SUM('Monthly NII'!Q8:'Monthly NII'!S8)-'Net Interest Income'!G8,2)</x:f>
        <x:v>0</x:v>
      </x:c>
      <x:c r="H36" s="54" t="n">
        <x:f>ROUND(SUM('Monthly NII'!T8:'Monthly NII'!V8)-'Net Interest Income'!H8,2)</x:f>
        <x:v>0</x:v>
      </x:c>
      <x:c r="I36" s="54" t="n">
        <x:f>ROUND(SUM('Monthly NII'!W8:'Monthly NII'!Y8)-'Net Interest Income'!I8,2)</x:f>
        <x:v>0</x:v>
      </x:c>
      <x:c r="J36" s="54" t="n">
        <x:f>ROUND(SUM('Monthly NII'!Z8:'Monthly NII'!AB8)-'Net Interest Income'!J8,2)</x:f>
        <x:v>0</x:v>
      </x:c>
      <x:c r="K36" s="54" t="n">
        <x:f>ROUND(SUM('Monthly NII'!AC8:'Monthly NII'!AE8)-'Net Interest Income'!K8,2)</x:f>
        <x:v>0</x:v>
      </x:c>
      <x:c r="L36" s="54" t="n">
        <x:f>ROUND(SUM('Monthly NII'!AF8:'Monthly NII'!AH8)-'Net Interest Income'!L8,2)</x:f>
        <x:v>0</x:v>
      </x:c>
      <x:c r="M36" s="54" t="n">
        <x:f>ROUND(SUM('Monthly NII'!AI8:'Monthly NII'!AK8)-'Net Interest Income'!M8,2)</x:f>
        <x:v>0</x:v>
      </x:c>
      <x:c r="N36" s="54" t="n">
        <x:f>ROUND(SUM('Monthly NII'!AL8:'Monthly NII'!AN8)-'Net Interest Income'!N8,2)</x:f>
        <x:v>0</x:v>
      </x:c>
      <x:c r="O36" s="54" t="n">
        <x:f>ROUND(SUM('Monthly NII'!AO8:'Monthly NII'!AQ8)-'Net Interest Income'!O8,2)</x:f>
        <x:v>0</x:v>
      </x:c>
    </x:row>
    <x:row r="37">
      <x:c r="A37" s="20" t="str">
        <x:v>  Total loans (incl. HFS)</x:v>
      </x:c>
      <x:c r="B37" s="54" t="n">
        <x:f>ROUND(SUM('Monthly NII'!B9:'Monthly NII'!D9)-'Net Interest Income'!B9,2)</x:f>
        <x:v>0</x:v>
      </x:c>
      <x:c r="C37" s="54" t="n">
        <x:f>ROUND(SUM('Monthly NII'!E9:'Monthly NII'!G9)-'Net Interest Income'!C9,2)</x:f>
        <x:v>0</x:v>
      </x:c>
      <x:c r="D37" s="54" t="n">
        <x:f>ROUND(SUM('Monthly NII'!H9:'Monthly NII'!J9)-'Net Interest Income'!D9,2)</x:f>
        <x:v>0</x:v>
      </x:c>
      <x:c r="E37" s="54" t="n">
        <x:f>ROUND(SUM('Monthly NII'!K9:'Monthly NII'!M9)-'Net Interest Income'!E9,2)</x:f>
        <x:v>0</x:v>
      </x:c>
      <x:c r="F37" s="54" t="n">
        <x:f>ROUND(SUM('Monthly NII'!N9:'Monthly NII'!P9)-'Net Interest Income'!F9,2)</x:f>
        <x:v>0</x:v>
      </x:c>
      <x:c r="G37" s="54" t="n">
        <x:f>ROUND(SUM('Monthly NII'!Q9:'Monthly NII'!S9)-'Net Interest Income'!G9,2)</x:f>
        <x:v>0</x:v>
      </x:c>
      <x:c r="H37" s="54" t="n">
        <x:f>ROUND(SUM('Monthly NII'!T9:'Monthly NII'!V9)-'Net Interest Income'!H9,2)</x:f>
        <x:v>0</x:v>
      </x:c>
      <x:c r="I37" s="54" t="n">
        <x:f>ROUND(SUM('Monthly NII'!W9:'Monthly NII'!Y9)-'Net Interest Income'!I9,2)</x:f>
        <x:v>0</x:v>
      </x:c>
      <x:c r="J37" s="54" t="n">
        <x:f>ROUND(SUM('Monthly NII'!Z9:'Monthly NII'!AB9)-'Net Interest Income'!J9,2)</x:f>
        <x:v>0</x:v>
      </x:c>
      <x:c r="K37" s="54" t="n">
        <x:f>ROUND(SUM('Monthly NII'!AC9:'Monthly NII'!AE9)-'Net Interest Income'!K9,2)</x:f>
        <x:v>0</x:v>
      </x:c>
      <x:c r="L37" s="54" t="n">
        <x:f>ROUND(SUM('Monthly NII'!AF9:'Monthly NII'!AH9)-'Net Interest Income'!L9,2)</x:f>
        <x:v>0</x:v>
      </x:c>
      <x:c r="M37" s="54" t="n">
        <x:f>ROUND(SUM('Monthly NII'!AI9:'Monthly NII'!AK9)-'Net Interest Income'!M9,2)</x:f>
        <x:v>0</x:v>
      </x:c>
      <x:c r="N37" s="54" t="n">
        <x:f>ROUND(SUM('Monthly NII'!AL9:'Monthly NII'!AN9)-'Net Interest Income'!N9,2)</x:f>
        <x:v>0</x:v>
      </x:c>
      <x:c r="O37" s="54" t="n">
        <x:f>ROUND(SUM('Monthly NII'!AO9:'Monthly NII'!AQ9)-'Net Interest Income'!O9,2)</x:f>
        <x:v>0</x:v>
      </x:c>
    </x:row>
    <x:row r="38">
      <x:c r="A38" s="20" t="str">
        <x:v>  Investment securities</x:v>
      </x:c>
      <x:c r="B38" s="54" t="n">
        <x:f>ROUND(SUM('Monthly NII'!B10:'Monthly NII'!D10)-'Net Interest Income'!B10,2)</x:f>
        <x:v>0</x:v>
      </x:c>
      <x:c r="C38" s="54" t="n">
        <x:f>ROUND(SUM('Monthly NII'!E10:'Monthly NII'!G10)-'Net Interest Income'!C10,2)</x:f>
        <x:v>0</x:v>
      </x:c>
      <x:c r="D38" s="54" t="n">
        <x:f>ROUND(SUM('Monthly NII'!H10:'Monthly NII'!J10)-'Net Interest Income'!D10,2)</x:f>
        <x:v>0</x:v>
      </x:c>
      <x:c r="E38" s="54" t="n">
        <x:f>ROUND(SUM('Monthly NII'!K10:'Monthly NII'!M10)-'Net Interest Income'!E10,2)</x:f>
        <x:v>0</x:v>
      </x:c>
      <x:c r="F38" s="54" t="n">
        <x:f>ROUND(SUM('Monthly NII'!N10:'Monthly NII'!P10)-'Net Interest Income'!F10,2)</x:f>
        <x:v>0</x:v>
      </x:c>
      <x:c r="G38" s="54" t="n">
        <x:f>ROUND(SUM('Monthly NII'!Q10:'Monthly NII'!S10)-'Net Interest Income'!G10,2)</x:f>
        <x:v>0</x:v>
      </x:c>
      <x:c r="H38" s="54" t="n">
        <x:f>ROUND(SUM('Monthly NII'!T10:'Monthly NII'!V10)-'Net Interest Income'!H10,2)</x:f>
        <x:v>0</x:v>
      </x:c>
      <x:c r="I38" s="54" t="n">
        <x:f>ROUND(SUM('Monthly NII'!W10:'Monthly NII'!Y10)-'Net Interest Income'!I10,2)</x:f>
        <x:v>0</x:v>
      </x:c>
      <x:c r="J38" s="54" t="n">
        <x:f>ROUND(SUM('Monthly NII'!Z10:'Monthly NII'!AB10)-'Net Interest Income'!J10,2)</x:f>
        <x:v>0</x:v>
      </x:c>
      <x:c r="K38" s="54" t="n">
        <x:f>ROUND(SUM('Monthly NII'!AC10:'Monthly NII'!AE10)-'Net Interest Income'!K10,2)</x:f>
        <x:v>0</x:v>
      </x:c>
      <x:c r="L38" s="54" t="n">
        <x:f>ROUND(SUM('Monthly NII'!AF10:'Monthly NII'!AH10)-'Net Interest Income'!L10,2)</x:f>
        <x:v>0</x:v>
      </x:c>
      <x:c r="M38" s="54" t="n">
        <x:f>ROUND(SUM('Monthly NII'!AI10:'Monthly NII'!AK10)-'Net Interest Income'!M10,2)</x:f>
        <x:v>0</x:v>
      </x:c>
      <x:c r="N38" s="54" t="n">
        <x:f>ROUND(SUM('Monthly NII'!AL10:'Monthly NII'!AN10)-'Net Interest Income'!N10,2)</x:f>
        <x:v>0</x:v>
      </x:c>
      <x:c r="O38" s="54" t="n">
        <x:f>ROUND(SUM('Monthly NII'!AO10:'Monthly NII'!AQ10)-'Net Interest Income'!O10,2)</x:f>
        <x:v>0</x:v>
      </x:c>
    </x:row>
    <x:row r="39">
      <x:c r="A39" s="20" t="str">
        <x:v>  Cash equivalents and other</x:v>
      </x:c>
      <x:c r="B39" s="54" t="n">
        <x:f>ROUND(SUM('Monthly NII'!B11:'Monthly NII'!D11)-'Net Interest Income'!B11,2)</x:f>
        <x:v>0</x:v>
      </x:c>
      <x:c r="C39" s="54" t="n">
        <x:f>ROUND(SUM('Monthly NII'!E11:'Monthly NII'!G11)-'Net Interest Income'!C11,2)</x:f>
        <x:v>0</x:v>
      </x:c>
      <x:c r="D39" s="54" t="n">
        <x:f>ROUND(SUM('Monthly NII'!H11:'Monthly NII'!J11)-'Net Interest Income'!D11,2)</x:f>
        <x:v>0</x:v>
      </x:c>
      <x:c r="E39" s="54" t="n">
        <x:f>ROUND(SUM('Monthly NII'!K11:'Monthly NII'!M11)-'Net Interest Income'!E11,2)</x:f>
        <x:v>0</x:v>
      </x:c>
      <x:c r="F39" s="54" t="n">
        <x:f>ROUND(SUM('Monthly NII'!N11:'Monthly NII'!P11)-'Net Interest Income'!F11,2)</x:f>
        <x:v>0</x:v>
      </x:c>
      <x:c r="G39" s="54" t="n">
        <x:f>ROUND(SUM('Monthly NII'!Q11:'Monthly NII'!S11)-'Net Interest Income'!G11,2)</x:f>
        <x:v>0</x:v>
      </x:c>
      <x:c r="H39" s="54" t="n">
        <x:f>ROUND(SUM('Monthly NII'!T11:'Monthly NII'!V11)-'Net Interest Income'!H11,2)</x:f>
        <x:v>0</x:v>
      </x:c>
      <x:c r="I39" s="54" t="n">
        <x:f>ROUND(SUM('Monthly NII'!W11:'Monthly NII'!Y11)-'Net Interest Income'!I11,2)</x:f>
        <x:v>0</x:v>
      </x:c>
      <x:c r="J39" s="54" t="n">
        <x:f>ROUND(SUM('Monthly NII'!Z11:'Monthly NII'!AB11)-'Net Interest Income'!J11,2)</x:f>
        <x:v>0</x:v>
      </x:c>
      <x:c r="K39" s="54" t="n">
        <x:f>ROUND(SUM('Monthly NII'!AC11:'Monthly NII'!AE11)-'Net Interest Income'!K11,2)</x:f>
        <x:v>0</x:v>
      </x:c>
      <x:c r="L39" s="54" t="n">
        <x:f>ROUND(SUM('Monthly NII'!AF11:'Monthly NII'!AH11)-'Net Interest Income'!L11,2)</x:f>
        <x:v>0</x:v>
      </x:c>
      <x:c r="M39" s="54" t="n">
        <x:f>ROUND(SUM('Monthly NII'!AI11:'Monthly NII'!AK11)-'Net Interest Income'!M11,2)</x:f>
        <x:v>0</x:v>
      </x:c>
      <x:c r="N39" s="54" t="n">
        <x:f>ROUND(SUM('Monthly NII'!AL11:'Monthly NII'!AN11)-'Net Interest Income'!N11,2)</x:f>
        <x:v>0</x:v>
      </x:c>
      <x:c r="O39" s="54" t="n">
        <x:f>ROUND(SUM('Monthly NII'!AO11:'Monthly NII'!AQ11)-'Net Interest Income'!O11,2)</x:f>
        <x:v>0</x:v>
      </x:c>
    </x:row>
    <x:row r="40">
      <x:c r="A40" s="20" t="str">
        <x:v>  Total interest-earning assets</x:v>
      </x:c>
      <x:c r="B40" s="54" t="n">
        <x:f>ROUND(SUM('Monthly NII'!B12:'Monthly NII'!D12)-'Net Interest Income'!B12,2)</x:f>
        <x:v>0</x:v>
      </x:c>
      <x:c r="C40" s="54" t="n">
        <x:f>ROUND(SUM('Monthly NII'!E12:'Monthly NII'!G12)-'Net Interest Income'!C12,2)</x:f>
        <x:v>0</x:v>
      </x:c>
      <x:c r="D40" s="54" t="n">
        <x:f>ROUND(SUM('Monthly NII'!H12:'Monthly NII'!J12)-'Net Interest Income'!D12,2)</x:f>
        <x:v>0</x:v>
      </x:c>
      <x:c r="E40" s="54" t="n">
        <x:f>ROUND(SUM('Monthly NII'!K12:'Monthly NII'!M12)-'Net Interest Income'!E12,2)</x:f>
        <x:v>0</x:v>
      </x:c>
      <x:c r="F40" s="54" t="n">
        <x:f>ROUND(SUM('Monthly NII'!N12:'Monthly NII'!P12)-'Net Interest Income'!F12,2)</x:f>
        <x:v>0</x:v>
      </x:c>
      <x:c r="G40" s="54" t="n">
        <x:f>ROUND(SUM('Monthly NII'!Q12:'Monthly NII'!S12)-'Net Interest Income'!G12,2)</x:f>
        <x:v>0</x:v>
      </x:c>
      <x:c r="H40" s="54" t="n">
        <x:f>ROUND(SUM('Monthly NII'!T12:'Monthly NII'!V12)-'Net Interest Income'!H12,2)</x:f>
        <x:v>0</x:v>
      </x:c>
      <x:c r="I40" s="54" t="n">
        <x:f>ROUND(SUM('Monthly NII'!W12:'Monthly NII'!Y12)-'Net Interest Income'!I12,2)</x:f>
        <x:v>0</x:v>
      </x:c>
      <x:c r="J40" s="54" t="n">
        <x:f>ROUND(SUM('Monthly NII'!Z12:'Monthly NII'!AB12)-'Net Interest Income'!J12,2)</x:f>
        <x:v>0</x:v>
      </x:c>
      <x:c r="K40" s="54" t="n">
        <x:f>ROUND(SUM('Monthly NII'!AC12:'Monthly NII'!AE12)-'Net Interest Income'!K12,2)</x:f>
        <x:v>0</x:v>
      </x:c>
      <x:c r="L40" s="54" t="n">
        <x:f>ROUND(SUM('Monthly NII'!AF12:'Monthly NII'!AH12)-'Net Interest Income'!L12,2)</x:f>
        <x:v>0</x:v>
      </x:c>
      <x:c r="M40" s="54" t="n">
        <x:f>ROUND(SUM('Monthly NII'!AI12:'Monthly NII'!AK12)-'Net Interest Income'!M12,2)</x:f>
        <x:v>0</x:v>
      </x:c>
      <x:c r="N40" s="54" t="n">
        <x:f>ROUND(SUM('Monthly NII'!AL12:'Monthly NII'!AN12)-'Net Interest Income'!N12,2)</x:f>
        <x:v>0</x:v>
      </x:c>
      <x:c r="O40" s="54" t="n">
        <x:f>ROUND(SUM('Monthly NII'!AO12:'Monthly NII'!AQ12)-'Net Interest Income'!O12,2)</x:f>
        <x:v>0</x:v>
      </x:c>
    </x:row>
    <x:row r="41">
      <x:c r="A41" s="20" t="str">
        <x:v>  Interest-bearing deposits</x:v>
      </x:c>
      <x:c r="B41" s="54" t="n">
        <x:f>ROUND(SUM('Monthly NII'!B15:'Monthly NII'!D15)-'Net Interest Income'!B15,2)</x:f>
        <x:v>0</x:v>
      </x:c>
      <x:c r="C41" s="54" t="n">
        <x:f>ROUND(SUM('Monthly NII'!E15:'Monthly NII'!G15)-'Net Interest Income'!C15,2)</x:f>
        <x:v>0</x:v>
      </x:c>
      <x:c r="D41" s="54" t="n">
        <x:f>ROUND(SUM('Monthly NII'!H15:'Monthly NII'!J15)-'Net Interest Income'!D15,2)</x:f>
        <x:v>0</x:v>
      </x:c>
      <x:c r="E41" s="54" t="n">
        <x:f>ROUND(SUM('Monthly NII'!K15:'Monthly NII'!M15)-'Net Interest Income'!E15,2)</x:f>
        <x:v>0</x:v>
      </x:c>
      <x:c r="F41" s="54" t="n">
        <x:f>ROUND(SUM('Monthly NII'!N15:'Monthly NII'!P15)-'Net Interest Income'!F15,2)</x:f>
        <x:v>0</x:v>
      </x:c>
      <x:c r="G41" s="54" t="n">
        <x:f>ROUND(SUM('Monthly NII'!Q15:'Monthly NII'!S15)-'Net Interest Income'!G15,2)</x:f>
        <x:v>0</x:v>
      </x:c>
      <x:c r="H41" s="54" t="n">
        <x:f>ROUND(SUM('Monthly NII'!T15:'Monthly NII'!V15)-'Net Interest Income'!H15,2)</x:f>
        <x:v>0</x:v>
      </x:c>
      <x:c r="I41" s="54" t="n">
        <x:f>ROUND(SUM('Monthly NII'!W15:'Monthly NII'!Y15)-'Net Interest Income'!I15,2)</x:f>
        <x:v>0</x:v>
      </x:c>
      <x:c r="J41" s="54" t="n">
        <x:f>ROUND(SUM('Monthly NII'!Z15:'Monthly NII'!AB15)-'Net Interest Income'!J15,2)</x:f>
        <x:v>0</x:v>
      </x:c>
      <x:c r="K41" s="54" t="n">
        <x:f>ROUND(SUM('Monthly NII'!AC15:'Monthly NII'!AE15)-'Net Interest Income'!K15,2)</x:f>
        <x:v>0</x:v>
      </x:c>
      <x:c r="L41" s="54" t="n">
        <x:f>ROUND(SUM('Monthly NII'!AF15:'Monthly NII'!AH15)-'Net Interest Income'!L15,2)</x:f>
        <x:v>0</x:v>
      </x:c>
      <x:c r="M41" s="54" t="n">
        <x:f>ROUND(SUM('Monthly NII'!AI15:'Monthly NII'!AK15)-'Net Interest Income'!M15,2)</x:f>
        <x:v>0</x:v>
      </x:c>
      <x:c r="N41" s="54" t="n">
        <x:f>ROUND(SUM('Monthly NII'!AL15:'Monthly NII'!AN15)-'Net Interest Income'!N15,2)</x:f>
        <x:v>0</x:v>
      </x:c>
      <x:c r="O41" s="54" t="n">
        <x:f>ROUND(SUM('Monthly NII'!AO15:'Monthly NII'!AQ15)-'Net Interest Income'!O15,2)</x:f>
        <x:v>0</x:v>
      </x:c>
    </x:row>
    <x:row r="42">
      <x:c r="A42" s="20" t="str">
        <x:v>  Securitized debt obligations</x:v>
      </x:c>
      <x:c r="B42" s="54" t="n">
        <x:f>ROUND(SUM('Monthly NII'!B16:'Monthly NII'!D16)-'Net Interest Income'!B16,2)</x:f>
        <x:v>0</x:v>
      </x:c>
      <x:c r="C42" s="54" t="n">
        <x:f>ROUND(SUM('Monthly NII'!E16:'Monthly NII'!G16)-'Net Interest Income'!C16,2)</x:f>
        <x:v>0</x:v>
      </x:c>
      <x:c r="D42" s="54" t="n">
        <x:f>ROUND(SUM('Monthly NII'!H16:'Monthly NII'!J16)-'Net Interest Income'!D16,2)</x:f>
        <x:v>0</x:v>
      </x:c>
      <x:c r="E42" s="54" t="n">
        <x:f>ROUND(SUM('Monthly NII'!K16:'Monthly NII'!M16)-'Net Interest Income'!E16,2)</x:f>
        <x:v>0</x:v>
      </x:c>
      <x:c r="F42" s="54" t="n">
        <x:f>ROUND(SUM('Monthly NII'!N16:'Monthly NII'!P16)-'Net Interest Income'!F16,2)</x:f>
        <x:v>0</x:v>
      </x:c>
      <x:c r="G42" s="54" t="n">
        <x:f>ROUND(SUM('Monthly NII'!Q16:'Monthly NII'!S16)-'Net Interest Income'!G16,2)</x:f>
        <x:v>0</x:v>
      </x:c>
      <x:c r="H42" s="54" t="n">
        <x:f>ROUND(SUM('Monthly NII'!T16:'Monthly NII'!V16)-'Net Interest Income'!H16,2)</x:f>
        <x:v>0</x:v>
      </x:c>
      <x:c r="I42" s="54" t="n">
        <x:f>ROUND(SUM('Monthly NII'!W16:'Monthly NII'!Y16)-'Net Interest Income'!I16,2)</x:f>
        <x:v>0</x:v>
      </x:c>
      <x:c r="J42" s="54" t="n">
        <x:f>ROUND(SUM('Monthly NII'!Z16:'Monthly NII'!AB16)-'Net Interest Income'!J16,2)</x:f>
        <x:v>0</x:v>
      </x:c>
      <x:c r="K42" s="54" t="n">
        <x:f>ROUND(SUM('Monthly NII'!AC16:'Monthly NII'!AE16)-'Net Interest Income'!K16,2)</x:f>
        <x:v>0</x:v>
      </x:c>
      <x:c r="L42" s="54" t="n">
        <x:f>ROUND(SUM('Monthly NII'!AF16:'Monthly NII'!AH16)-'Net Interest Income'!L16,2)</x:f>
        <x:v>0</x:v>
      </x:c>
      <x:c r="M42" s="54" t="n">
        <x:f>ROUND(SUM('Monthly NII'!AI16:'Monthly NII'!AK16)-'Net Interest Income'!M16,2)</x:f>
        <x:v>0</x:v>
      </x:c>
      <x:c r="N42" s="54" t="n">
        <x:f>ROUND(SUM('Monthly NII'!AL16:'Monthly NII'!AN16)-'Net Interest Income'!N16,2)</x:f>
        <x:v>0</x:v>
      </x:c>
      <x:c r="O42" s="54" t="n">
        <x:f>ROUND(SUM('Monthly NII'!AO16:'Monthly NII'!AQ16)-'Net Interest Income'!O16,2)</x:f>
        <x:v>0</x:v>
      </x:c>
    </x:row>
    <x:row r="43">
      <x:c r="A43" s="20" t="str">
        <x:v>  Senior and subordinated notes</x:v>
      </x:c>
      <x:c r="B43" s="54" t="n">
        <x:f>ROUND(SUM('Monthly NII'!B17:'Monthly NII'!D17)-'Net Interest Income'!B17,2)</x:f>
        <x:v>0</x:v>
      </x:c>
      <x:c r="C43" s="54" t="n">
        <x:f>ROUND(SUM('Monthly NII'!E17:'Monthly NII'!G17)-'Net Interest Income'!C17,2)</x:f>
        <x:v>0</x:v>
      </x:c>
      <x:c r="D43" s="54" t="n">
        <x:f>ROUND(SUM('Monthly NII'!H17:'Monthly NII'!J17)-'Net Interest Income'!D17,2)</x:f>
        <x:v>0</x:v>
      </x:c>
      <x:c r="E43" s="54" t="n">
        <x:f>ROUND(SUM('Monthly NII'!K17:'Monthly NII'!M17)-'Net Interest Income'!E17,2)</x:f>
        <x:v>0</x:v>
      </x:c>
      <x:c r="F43" s="54" t="n">
        <x:f>ROUND(SUM('Monthly NII'!N17:'Monthly NII'!P17)-'Net Interest Income'!F17,2)</x:f>
        <x:v>0</x:v>
      </x:c>
      <x:c r="G43" s="54" t="n">
        <x:f>ROUND(SUM('Monthly NII'!Q17:'Monthly NII'!S17)-'Net Interest Income'!G17,2)</x:f>
        <x:v>0</x:v>
      </x:c>
      <x:c r="H43" s="54" t="n">
        <x:f>ROUND(SUM('Monthly NII'!T17:'Monthly NII'!V17)-'Net Interest Income'!H17,2)</x:f>
        <x:v>0</x:v>
      </x:c>
      <x:c r="I43" s="54" t="n">
        <x:f>ROUND(SUM('Monthly NII'!W17:'Monthly NII'!Y17)-'Net Interest Income'!I17,2)</x:f>
        <x:v>0</x:v>
      </x:c>
      <x:c r="J43" s="54" t="n">
        <x:f>ROUND(SUM('Monthly NII'!Z17:'Monthly NII'!AB17)-'Net Interest Income'!J17,2)</x:f>
        <x:v>0</x:v>
      </x:c>
      <x:c r="K43" s="54" t="n">
        <x:f>ROUND(SUM('Monthly NII'!AC17:'Monthly NII'!AE17)-'Net Interest Income'!K17,2)</x:f>
        <x:v>0</x:v>
      </x:c>
      <x:c r="L43" s="54" t="n">
        <x:f>ROUND(SUM('Monthly NII'!AF17:'Monthly NII'!AH17)-'Net Interest Income'!L17,2)</x:f>
        <x:v>0</x:v>
      </x:c>
      <x:c r="M43" s="54" t="n">
        <x:f>ROUND(SUM('Monthly NII'!AI17:'Monthly NII'!AK17)-'Net Interest Income'!M17,2)</x:f>
        <x:v>0</x:v>
      </x:c>
      <x:c r="N43" s="54" t="n">
        <x:f>ROUND(SUM('Monthly NII'!AL17:'Monthly NII'!AN17)-'Net Interest Income'!N17,2)</x:f>
        <x:v>0</x:v>
      </x:c>
      <x:c r="O43" s="54" t="n">
        <x:f>ROUND(SUM('Monthly NII'!AO17:'Monthly NII'!AQ17)-'Net Interest Income'!O17,2)</x:f>
        <x:v>0</x:v>
      </x:c>
    </x:row>
    <x:row r="44">
      <x:c r="A44" s="20" t="str">
        <x:v>  Other borrowings</x:v>
      </x:c>
      <x:c r="B44" s="54" t="n">
        <x:f>ROUND(SUM('Monthly NII'!B18:'Monthly NII'!D18)-'Net Interest Income'!B18,2)</x:f>
        <x:v>0</x:v>
      </x:c>
      <x:c r="C44" s="54" t="n">
        <x:f>ROUND(SUM('Monthly NII'!E18:'Monthly NII'!G18)-'Net Interest Income'!C18,2)</x:f>
        <x:v>0</x:v>
      </x:c>
      <x:c r="D44" s="54" t="n">
        <x:f>ROUND(SUM('Monthly NII'!H18:'Monthly NII'!J18)-'Net Interest Income'!D18,2)</x:f>
        <x:v>0</x:v>
      </x:c>
      <x:c r="E44" s="54" t="n">
        <x:f>ROUND(SUM('Monthly NII'!K18:'Monthly NII'!M18)-'Net Interest Income'!E18,2)</x:f>
        <x:v>0</x:v>
      </x:c>
      <x:c r="F44" s="54" t="n">
        <x:f>ROUND(SUM('Monthly NII'!N18:'Monthly NII'!P18)-'Net Interest Income'!F18,2)</x:f>
        <x:v>0</x:v>
      </x:c>
      <x:c r="G44" s="54" t="n">
        <x:f>ROUND(SUM('Monthly NII'!Q18:'Monthly NII'!S18)-'Net Interest Income'!G18,2)</x:f>
        <x:v>0</x:v>
      </x:c>
      <x:c r="H44" s="54" t="n">
        <x:f>ROUND(SUM('Monthly NII'!T18:'Monthly NII'!V18)-'Net Interest Income'!H18,2)</x:f>
        <x:v>0</x:v>
      </x:c>
      <x:c r="I44" s="54" t="n">
        <x:f>ROUND(SUM('Monthly NII'!W18:'Monthly NII'!Y18)-'Net Interest Income'!I18,2)</x:f>
        <x:v>0</x:v>
      </x:c>
      <x:c r="J44" s="54" t="n">
        <x:f>ROUND(SUM('Monthly NII'!Z18:'Monthly NII'!AB18)-'Net Interest Income'!J18,2)</x:f>
        <x:v>0</x:v>
      </x:c>
      <x:c r="K44" s="54" t="n">
        <x:f>ROUND(SUM('Monthly NII'!AC18:'Monthly NII'!AE18)-'Net Interest Income'!K18,2)</x:f>
        <x:v>0</x:v>
      </x:c>
      <x:c r="L44" s="54" t="n">
        <x:f>ROUND(SUM('Monthly NII'!AF18:'Monthly NII'!AH18)-'Net Interest Income'!L18,2)</x:f>
        <x:v>0</x:v>
      </x:c>
      <x:c r="M44" s="54" t="n">
        <x:f>ROUND(SUM('Monthly NII'!AI18:'Monthly NII'!AK18)-'Net Interest Income'!M18,2)</x:f>
        <x:v>0</x:v>
      </x:c>
      <x:c r="N44" s="54" t="n">
        <x:f>ROUND(SUM('Monthly NII'!AL18:'Monthly NII'!AN18)-'Net Interest Income'!N18,2)</x:f>
        <x:v>0</x:v>
      </x:c>
      <x:c r="O44" s="54" t="n">
        <x:f>ROUND(SUM('Monthly NII'!AO18:'Monthly NII'!AQ18)-'Net Interest Income'!O18,2)</x:f>
        <x:v>0</x:v>
      </x:c>
    </x:row>
    <x:row r="45">
      <x:c r="A45" s="20" t="str">
        <x:v>  Total interest-bearing liabilities</x:v>
      </x:c>
      <x:c r="B45" s="54" t="n">
        <x:f>ROUND(SUM('Monthly NII'!B19:'Monthly NII'!D19)-'Net Interest Income'!B19,2)</x:f>
        <x:v>0</x:v>
      </x:c>
      <x:c r="C45" s="54" t="n">
        <x:f>ROUND(SUM('Monthly NII'!E19:'Monthly NII'!G19)-'Net Interest Income'!C19,2)</x:f>
        <x:v>0</x:v>
      </x:c>
      <x:c r="D45" s="54" t="n">
        <x:f>ROUND(SUM('Monthly NII'!H19:'Monthly NII'!J19)-'Net Interest Income'!D19,2)</x:f>
        <x:v>0</x:v>
      </x:c>
      <x:c r="E45" s="54" t="n">
        <x:f>ROUND(SUM('Monthly NII'!K19:'Monthly NII'!M19)-'Net Interest Income'!E19,2)</x:f>
        <x:v>0</x:v>
      </x:c>
      <x:c r="F45" s="54" t="n">
        <x:f>ROUND(SUM('Monthly NII'!N19:'Monthly NII'!P19)-'Net Interest Income'!F19,2)</x:f>
        <x:v>0</x:v>
      </x:c>
      <x:c r="G45" s="54" t="n">
        <x:f>ROUND(SUM('Monthly NII'!Q19:'Monthly NII'!S19)-'Net Interest Income'!G19,2)</x:f>
        <x:v>0</x:v>
      </x:c>
      <x:c r="H45" s="54" t="n">
        <x:f>ROUND(SUM('Monthly NII'!T19:'Monthly NII'!V19)-'Net Interest Income'!H19,2)</x:f>
        <x:v>0</x:v>
      </x:c>
      <x:c r="I45" s="54" t="n">
        <x:f>ROUND(SUM('Monthly NII'!W19:'Monthly NII'!Y19)-'Net Interest Income'!I19,2)</x:f>
        <x:v>0</x:v>
      </x:c>
      <x:c r="J45" s="54" t="n">
        <x:f>ROUND(SUM('Monthly NII'!Z19:'Monthly NII'!AB19)-'Net Interest Income'!J19,2)</x:f>
        <x:v>0</x:v>
      </x:c>
      <x:c r="K45" s="54" t="n">
        <x:f>ROUND(SUM('Monthly NII'!AC19:'Monthly NII'!AE19)-'Net Interest Income'!K19,2)</x:f>
        <x:v>0</x:v>
      </x:c>
      <x:c r="L45" s="54" t="n">
        <x:f>ROUND(SUM('Monthly NII'!AF19:'Monthly NII'!AH19)-'Net Interest Income'!L19,2)</x:f>
        <x:v>0</x:v>
      </x:c>
      <x:c r="M45" s="54" t="n">
        <x:f>ROUND(SUM('Monthly NII'!AI19:'Monthly NII'!AK19)-'Net Interest Income'!M19,2)</x:f>
        <x:v>0</x:v>
      </x:c>
      <x:c r="N45" s="54" t="n">
        <x:f>ROUND(SUM('Monthly NII'!AL19:'Monthly NII'!AN19)-'Net Interest Income'!N19,2)</x:f>
        <x:v>0</x:v>
      </x:c>
      <x:c r="O45" s="54" t="n">
        <x:f>ROUND(SUM('Monthly NII'!AO19:'Monthly NII'!AQ19)-'Net Interest Income'!O19,2)</x:f>
        <x:v>0</x:v>
      </x:c>
    </x:row>
    <x:row r="46">
      <x:c r="A46" s="20" t="str">
        <x:v>NET INTEREST INCOME</x:v>
      </x:c>
      <x:c r="B46" s="54" t="n">
        <x:f>ROUND(SUM('Monthly NII'!B21:'Monthly NII'!D21)-'Net Interest Income'!B21,2)</x:f>
        <x:v>0</x:v>
      </x:c>
      <x:c r="C46" s="54" t="n">
        <x:f>ROUND(SUM('Monthly NII'!E21:'Monthly NII'!G21)-'Net Interest Income'!C21,2)</x:f>
        <x:v>0</x:v>
      </x:c>
      <x:c r="D46" s="54" t="n">
        <x:f>ROUND(SUM('Monthly NII'!H21:'Monthly NII'!J21)-'Net Interest Income'!D21,2)</x:f>
        <x:v>0</x:v>
      </x:c>
      <x:c r="E46" s="54" t="n">
        <x:f>ROUND(SUM('Monthly NII'!K21:'Monthly NII'!M21)-'Net Interest Income'!E21,2)</x:f>
        <x:v>0</x:v>
      </x:c>
      <x:c r="F46" s="54" t="n">
        <x:f>ROUND(SUM('Monthly NII'!N21:'Monthly NII'!P21)-'Net Interest Income'!F21,2)</x:f>
        <x:v>0</x:v>
      </x:c>
      <x:c r="G46" s="54" t="n">
        <x:f>ROUND(SUM('Monthly NII'!Q21:'Monthly NII'!S21)-'Net Interest Income'!G21,2)</x:f>
        <x:v>0</x:v>
      </x:c>
      <x:c r="H46" s="54" t="n">
        <x:f>ROUND(SUM('Monthly NII'!T21:'Monthly NII'!V21)-'Net Interest Income'!H21,2)</x:f>
        <x:v>0</x:v>
      </x:c>
      <x:c r="I46" s="54" t="n">
        <x:f>ROUND(SUM('Monthly NII'!W21:'Monthly NII'!Y21)-'Net Interest Income'!I21,2)</x:f>
        <x:v>0</x:v>
      </x:c>
      <x:c r="J46" s="54" t="n">
        <x:f>ROUND(SUM('Monthly NII'!Z21:'Monthly NII'!AB21)-'Net Interest Income'!J21,2)</x:f>
        <x:v>0</x:v>
      </x:c>
      <x:c r="K46" s="54" t="n">
        <x:f>ROUND(SUM('Monthly NII'!AC21:'Monthly NII'!AE21)-'Net Interest Income'!K21,2)</x:f>
        <x:v>0</x:v>
      </x:c>
      <x:c r="L46" s="54" t="n">
        <x:f>ROUND(SUM('Monthly NII'!AF21:'Monthly NII'!AH21)-'Net Interest Income'!L21,2)</x:f>
        <x:v>0</x:v>
      </x:c>
      <x:c r="M46" s="54" t="n">
        <x:f>ROUND(SUM('Monthly NII'!AI21:'Monthly NII'!AK21)-'Net Interest Income'!M21,2)</x:f>
        <x:v>0</x:v>
      </x:c>
      <x:c r="N46" s="54" t="n">
        <x:f>ROUND(SUM('Monthly NII'!AL21:'Monthly NII'!AN21)-'Net Interest Income'!N21,2)</x:f>
        <x:v>0</x:v>
      </x:c>
      <x:c r="O46" s="54" t="n">
        <x:f>ROUND(SUM('Monthly NII'!AO21:'Monthly NII'!AQ21)-'Net Interest Income'!O21,2)</x:f>
        <x:v>0</x:v>
      </x:c>
    </x:row>
    <x:row r="47">
      <x:c r="A47" s="20"/>
      <x:c r="B47" s="54"/>
      <x:c r="C47" s="54"/>
      <x:c r="D47" s="54"/>
      <x:c r="E47" s="54"/>
      <x:c r="F47" s="54"/>
      <x:c r="G47" s="54"/>
      <x:c r="H47" s="54"/>
      <x:c r="I47" s="54"/>
      <x:c r="J47" s="54"/>
      <x:c r="K47" s="54"/>
      <x:c r="L47" s="54"/>
      <x:c r="M47" s="54"/>
      <x:c r="N47" s="54"/>
      <x:c r="O47" s="54"/>
    </x:row>
    <x:row r="48">
      <x:c r="A48" s="25" t="str">
        <x:v>EFFECTIVE RATE LESS QUARTERLY RATE (BPS, INFORMATIONAL)</x:v>
      </x:c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</x:row>
    <x:row r="49">
      <x:c r="A49" s="20" t="str">
        <x:v>  Credit card</x:v>
      </x:c>
      <x:c r="B49" s="56" t="n">
        <x:f>ROUND((('Net Interest Income'!B6*4/Balance!B6)-Rate!B6)*10000,2)</x:f>
        <x:v>-0.11</x:v>
      </x:c>
      <x:c r="C49" s="56" t="n">
        <x:f>ROUND((('Net Interest Income'!C6*4/Balance!C6)-Rate!C6)*10000,2)</x:f>
        <x:v>-0.36</x:v>
      </x:c>
      <x:c r="D49" s="56" t="n">
        <x:f>ROUND((('Net Interest Income'!D6*4/Balance!D6)-Rate!D6)*10000,2)</x:f>
        <x:v>0.08</x:v>
      </x:c>
      <x:c r="E49" s="56" t="n">
        <x:f>ROUND((('Net Interest Income'!E6*4/Balance!E6)-Rate!E6)*10000,2)</x:f>
        <x:v>0.41</x:v>
      </x:c>
      <x:c r="F49" s="56" t="n">
        <x:f>ROUND((('Net Interest Income'!F6*4/Balance!F6)-Rate!F6)*10000,2)</x:f>
        <x:v>-0.08</x:v>
      </x:c>
      <x:c r="G49" s="56" t="n">
        <x:f>ROUND((('Net Interest Income'!G6*4/Balance!G6)-Rate!G6)*10000,2)</x:f>
        <x:v>0.28</x:v>
      </x:c>
      <x:c r="H49" s="56" t="n">
        <x:f>ROUND((('Net Interest Income'!H6*4/Balance!H6)-Rate!H6)*10000,2)</x:f>
        <x:v>0.27</x:v>
      </x:c>
      <x:c r="I49" s="56" t="n">
        <x:f>ROUND((('Net Interest Income'!I6*4/Balance!I6)-Rate!I6)*10000,2)</x:f>
        <x:v>-0.32</x:v>
      </x:c>
      <x:c r="J49" s="56" t="n">
        <x:f>ROUND((('Net Interest Income'!J6*4/Balance!J6)-Rate!J6)*10000,2)</x:f>
        <x:v>-0.39</x:v>
      </x:c>
      <x:c r="K49" s="56" t="n">
        <x:f>ROUND((('Net Interest Income'!K6*4/Balance!K6)-Rate!K6)*10000,2)</x:f>
        <x:v>0.43</x:v>
      </x:c>
      <x:c r="L49" s="56" t="n">
        <x:f>ROUND((('Net Interest Income'!L6*4/Balance!L6)-Rate!L6)*10000,2)</x:f>
        <x:v>0</x:v>
      </x:c>
      <x:c r="M49" s="56" t="n">
        <x:f>ROUND((('Net Interest Income'!M6*4/Balance!M6)-Rate!M6)*10000,2)</x:f>
        <x:v>0</x:v>
      </x:c>
      <x:c r="N49" s="56" t="n">
        <x:f>ROUND((('Net Interest Income'!N6*4/Balance!N6)-Rate!N6)*10000,2)</x:f>
        <x:v>0</x:v>
      </x:c>
      <x:c r="O49" s="56" t="n">
        <x:f>ROUND((('Net Interest Income'!O6*4/Balance!O6)-Rate!O6)*10000,2)</x:f>
        <x:v>0</x:v>
      </x:c>
    </x:row>
    <x:row r="50">
      <x:c r="A50" s="20" t="str">
        <x:v>  Consumer banking</x:v>
      </x:c>
      <x:c r="B50" s="56" t="n">
        <x:f>ROUND((('Net Interest Income'!B7*4/Balance!B7)-Rate!B7)*10000,2)</x:f>
        <x:v>-0.25</x:v>
      </x:c>
      <x:c r="C50" s="56" t="n">
        <x:f>ROUND((('Net Interest Income'!C7*4/Balance!C7)-Rate!C7)*10000,2)</x:f>
        <x:v>0</x:v>
      </x:c>
      <x:c r="D50" s="56" t="n">
        <x:f>ROUND((('Net Interest Income'!D7*4/Balance!D7)-Rate!D7)*10000,2)</x:f>
        <x:v>-0.15</x:v>
      </x:c>
      <x:c r="E50" s="56" t="n">
        <x:f>ROUND((('Net Interest Income'!E7*4/Balance!E7)-Rate!E7)*10000,2)</x:f>
        <x:v>0.07</x:v>
      </x:c>
      <x:c r="F50" s="56" t="n">
        <x:f>ROUND((('Net Interest Income'!F7*4/Balance!F7)-Rate!F7)*10000,2)</x:f>
        <x:v>0.12</x:v>
      </x:c>
      <x:c r="G50" s="56" t="n">
        <x:f>ROUND((('Net Interest Income'!G7*4/Balance!G7)-Rate!G7)*10000,2)</x:f>
        <x:v>0.8</x:v>
      </x:c>
      <x:c r="H50" s="56" t="n">
        <x:f>ROUND((('Net Interest Income'!H7*4/Balance!H7)-Rate!H7)*10000,2)</x:f>
        <x:v>0.4</x:v>
      </x:c>
      <x:c r="I50" s="56" t="n">
        <x:f>ROUND((('Net Interest Income'!I7*4/Balance!I7)-Rate!I7)*10000,2)</x:f>
        <x:v>-0.22</x:v>
      </x:c>
      <x:c r="J50" s="56" t="n">
        <x:f>ROUND((('Net Interest Income'!J7*4/Balance!J7)-Rate!J7)*10000,2)</x:f>
        <x:v>0.67</x:v>
      </x:c>
      <x:c r="K50" s="56" t="n">
        <x:f>ROUND((('Net Interest Income'!K7*4/Balance!K7)-Rate!K7)*10000,2)</x:f>
        <x:v>-0.6</x:v>
      </x:c>
      <x:c r="L50" s="56" t="n">
        <x:f>ROUND((('Net Interest Income'!L7*4/Balance!L7)-Rate!L7)*10000,2)</x:f>
        <x:v>0</x:v>
      </x:c>
      <x:c r="M50" s="56" t="n">
        <x:f>ROUND((('Net Interest Income'!M7*4/Balance!M7)-Rate!M7)*10000,2)</x:f>
        <x:v>0</x:v>
      </x:c>
      <x:c r="N50" s="56" t="n">
        <x:f>ROUND((('Net Interest Income'!N7*4/Balance!N7)-Rate!N7)*10000,2)</x:f>
        <x:v>0</x:v>
      </x:c>
      <x:c r="O50" s="56" t="n">
        <x:f>ROUND((('Net Interest Income'!O7*4/Balance!O7)-Rate!O7)*10000,2)</x:f>
        <x:v>0</x:v>
      </x:c>
    </x:row>
    <x:row r="51">
      <x:c r="A51" s="20" t="str">
        <x:v>  Commercial banking</x:v>
      </x:c>
      <x:c r="B51" s="56" t="n">
        <x:f>ROUND((('Net Interest Income'!B8*4/Balance!B8)-Rate!B8)*10000,2)</x:f>
        <x:v>0.2</x:v>
      </x:c>
      <x:c r="C51" s="56" t="n">
        <x:f>ROUND((('Net Interest Income'!C8*4/Balance!C8)-Rate!C8)*10000,2)</x:f>
        <x:v>-0.76</x:v>
      </x:c>
      <x:c r="D51" s="56" t="n">
        <x:f>ROUND((('Net Interest Income'!D8*4/Balance!D8)-Rate!D8)*10000,2)</x:f>
        <x:v>-0.05</x:v>
      </x:c>
      <x:c r="E51" s="56" t="n">
        <x:f>ROUND((('Net Interest Income'!E8*4/Balance!E8)-Rate!E8)*10000,2)</x:f>
        <x:v>-0.47</x:v>
      </x:c>
      <x:c r="F51" s="56" t="n">
        <x:f>ROUND((('Net Interest Income'!F8*4/Balance!F8)-Rate!F8)*10000,2)</x:f>
        <x:v>0.09</x:v>
      </x:c>
      <x:c r="G51" s="56" t="n">
        <x:f>ROUND((('Net Interest Income'!G8*4/Balance!G8)-Rate!G8)*10000,2)</x:f>
        <x:v>-0.34</x:v>
      </x:c>
      <x:c r="H51" s="56" t="n">
        <x:f>ROUND((('Net Interest Income'!H8*4/Balance!H8)-Rate!H8)*10000,2)</x:f>
        <x:v>0.66</x:v>
      </x:c>
      <x:c r="I51" s="56" t="n">
        <x:f>ROUND((('Net Interest Income'!I8*4/Balance!I8)-Rate!I8)*10000,2)</x:f>
        <x:v>-0.41</x:v>
      </x:c>
      <x:c r="J51" s="56" t="n">
        <x:f>ROUND((('Net Interest Income'!J8*4/Balance!J8)-Rate!J8)*10000,2)</x:f>
        <x:v>0.01</x:v>
      </x:c>
      <x:c r="K51" s="56" t="n">
        <x:f>ROUND((('Net Interest Income'!K8*4/Balance!K8)-Rate!K8)*10000,2)</x:f>
        <x:v>0.46</x:v>
      </x:c>
      <x:c r="L51" s="56" t="n">
        <x:f>ROUND((('Net Interest Income'!L8*4/Balance!L8)-Rate!L8)*10000,2)</x:f>
        <x:v>0</x:v>
      </x:c>
      <x:c r="M51" s="56" t="n">
        <x:f>ROUND((('Net Interest Income'!M8*4/Balance!M8)-Rate!M8)*10000,2)</x:f>
        <x:v>0</x:v>
      </x:c>
      <x:c r="N51" s="56" t="n">
        <x:f>ROUND((('Net Interest Income'!N8*4/Balance!N8)-Rate!N8)*10000,2)</x:f>
        <x:v>0</x:v>
      </x:c>
      <x:c r="O51" s="56" t="n">
        <x:f>ROUND((('Net Interest Income'!O8*4/Balance!O8)-Rate!O8)*10000,2)</x:f>
        <x:v>0</x:v>
      </x:c>
    </x:row>
    <x:row r="52">
      <x:c r="A52" s="20" t="str">
        <x:v>  Total loans (incl. HFS)</x:v>
      </x:c>
      <x:c r="B52" s="56" t="n">
        <x:f>ROUND((('Net Interest Income'!B9*4/Balance!B9)-Rate!B9)*10000,2)</x:f>
        <x:v>0.43</x:v>
      </x:c>
      <x:c r="C52" s="56" t="n">
        <x:f>ROUND((('Net Interest Income'!C9*4/Balance!C9)-Rate!C9)*10000,2)</x:f>
        <x:v>0.38</x:v>
      </x:c>
      <x:c r="D52" s="56" t="n">
        <x:f>ROUND((('Net Interest Income'!D9*4/Balance!D9)-Rate!D9)*10000,2)</x:f>
        <x:v>0.28</x:v>
      </x:c>
      <x:c r="E52" s="56" t="n">
        <x:f>ROUND((('Net Interest Income'!E9*4/Balance!E9)-Rate!E9)*10000,2)</x:f>
        <x:v>-0.39</x:v>
      </x:c>
      <x:c r="F52" s="56" t="n">
        <x:f>ROUND((('Net Interest Income'!F9*4/Balance!F9)-Rate!F9)*10000,2)</x:f>
        <x:v>0.44</x:v>
      </x:c>
      <x:c r="G52" s="56" t="n">
        <x:f>ROUND((('Net Interest Income'!G9*4/Balance!G9)-Rate!G9)*10000,2)</x:f>
        <x:v>-0.35</x:v>
      </x:c>
      <x:c r="H52" s="56" t="n">
        <x:f>ROUND((('Net Interest Income'!H9*4/Balance!H9)-Rate!H9)*10000,2)</x:f>
        <x:v>-0.31</x:v>
      </x:c>
      <x:c r="I52" s="56" t="n">
        <x:f>ROUND((('Net Interest Income'!I9*4/Balance!I9)-Rate!I9)*10000,2)</x:f>
        <x:v>0.09</x:v>
      </x:c>
      <x:c r="J52" s="56" t="n">
        <x:f>ROUND((('Net Interest Income'!J9*4/Balance!J9)-Rate!J9)*10000,2)</x:f>
        <x:v>-0.28</x:v>
      </x:c>
      <x:c r="K52" s="56" t="n">
        <x:f>ROUND((('Net Interest Income'!K9*4/Balance!K9)-Rate!K9)*10000,2)</x:f>
        <x:v>0.49</x:v>
      </x:c>
      <x:c r="L52" s="56" t="n">
        <x:f>ROUND((('Net Interest Income'!L9*4/Balance!L9)-Rate!L9)*10000,2)</x:f>
        <x:v>0</x:v>
      </x:c>
      <x:c r="M52" s="56" t="n">
        <x:f>ROUND((('Net Interest Income'!M9*4/Balance!M9)-Rate!M9)*10000,2)</x:f>
        <x:v>0</x:v>
      </x:c>
      <x:c r="N52" s="56" t="n">
        <x:f>ROUND((('Net Interest Income'!N9*4/Balance!N9)-Rate!N9)*10000,2)</x:f>
        <x:v>0</x:v>
      </x:c>
      <x:c r="O52" s="56" t="n">
        <x:f>ROUND((('Net Interest Income'!O9*4/Balance!O9)-Rate!O9)*10000,2)</x:f>
        <x:v>0</x:v>
      </x:c>
    </x:row>
    <x:row r="53">
      <x:c r="A53" s="20" t="str">
        <x:v>  Investment securities</x:v>
      </x:c>
      <x:c r="B53" s="56" t="n">
        <x:f>ROUND((('Net Interest Income'!B10*4/Balance!B10)-Rate!B10)*10000,2)</x:f>
        <x:v>0.45</x:v>
      </x:c>
      <x:c r="C53" s="56" t="n">
        <x:f>ROUND((('Net Interest Income'!C10*4/Balance!C10)-Rate!C10)*10000,2)</x:f>
        <x:v>0.02</x:v>
      </x:c>
      <x:c r="D53" s="56" t="n">
        <x:f>ROUND((('Net Interest Income'!D10*4/Balance!D10)-Rate!D10)*10000,2)</x:f>
        <x:v>-0.5</x:v>
      </x:c>
      <x:c r="E53" s="56" t="n">
        <x:f>ROUND((('Net Interest Income'!E10*4/Balance!E10)-Rate!E10)*10000,2)</x:f>
        <x:v>-0.11</x:v>
      </x:c>
      <x:c r="F53" s="56" t="n">
        <x:f>ROUND((('Net Interest Income'!F10*4/Balance!F10)-Rate!F10)*10000,2)</x:f>
        <x:v>0.22</x:v>
      </x:c>
      <x:c r="G53" s="56" t="n">
        <x:f>ROUND((('Net Interest Income'!G10*4/Balance!G10)-Rate!G10)*10000,2)</x:f>
        <x:v>-0.15</x:v>
      </x:c>
      <x:c r="H53" s="56" t="n">
        <x:f>ROUND((('Net Interest Income'!H10*4/Balance!H10)-Rate!H10)*10000,2)</x:f>
        <x:v>-0.54</x:v>
      </x:c>
      <x:c r="I53" s="56" t="n">
        <x:f>ROUND((('Net Interest Income'!I10*4/Balance!I10)-Rate!I10)*10000,2)</x:f>
        <x:v>0.47</x:v>
      </x:c>
      <x:c r="J53" s="56" t="n">
        <x:f>ROUND((('Net Interest Income'!J10*4/Balance!J10)-Rate!J10)*10000,2)</x:f>
        <x:v>0.4</x:v>
      </x:c>
      <x:c r="K53" s="56" t="n">
        <x:f>ROUND((('Net Interest Income'!K10*4/Balance!K10)-Rate!K10)*10000,2)</x:f>
        <x:v>0.12</x:v>
      </x:c>
      <x:c r="L53" s="56" t="n">
        <x:f>ROUND((('Net Interest Income'!L10*4/Balance!L10)-Rate!L10)*10000,2)</x:f>
        <x:v>0</x:v>
      </x:c>
      <x:c r="M53" s="56" t="n">
        <x:f>ROUND((('Net Interest Income'!M10*4/Balance!M10)-Rate!M10)*10000,2)</x:f>
        <x:v>0</x:v>
      </x:c>
      <x:c r="N53" s="56" t="n">
        <x:f>ROUND((('Net Interest Income'!N10*4/Balance!N10)-Rate!N10)*10000,2)</x:f>
        <x:v>0</x:v>
      </x:c>
      <x:c r="O53" s="56" t="n">
        <x:f>ROUND((('Net Interest Income'!O10*4/Balance!O10)-Rate!O10)*10000,2)</x:f>
        <x:v>0</x:v>
      </x:c>
    </x:row>
    <x:row r="54">
      <x:c r="A54" s="20" t="str">
        <x:v>  Cash equivalents and other</x:v>
      </x:c>
      <x:c r="B54" s="56" t="n">
        <x:f>ROUND((('Net Interest Income'!B11*4/Balance!B11)-Rate!B11)*10000,2)</x:f>
        <x:v>-0.77</x:v>
      </x:c>
      <x:c r="C54" s="56" t="n">
        <x:f>ROUND((('Net Interest Income'!C11*4/Balance!C11)-Rate!C11)*10000,2)</x:f>
        <x:v>0.41</x:v>
      </x:c>
      <x:c r="D54" s="56" t="n">
        <x:f>ROUND((('Net Interest Income'!D11*4/Balance!D11)-Rate!D11)*10000,2)</x:f>
        <x:v>0.01</x:v>
      </x:c>
      <x:c r="E54" s="56" t="n">
        <x:f>ROUND((('Net Interest Income'!E11*4/Balance!E11)-Rate!E11)*10000,2)</x:f>
        <x:v>-0.16</x:v>
      </x:c>
      <x:c r="F54" s="56" t="n">
        <x:f>ROUND((('Net Interest Income'!F11*4/Balance!F11)-Rate!F11)*10000,2)</x:f>
        <x:v>1.23</x:v>
      </x:c>
      <x:c r="G54" s="56" t="n">
        <x:f>ROUND((('Net Interest Income'!G11*4/Balance!G11)-Rate!G11)*10000,2)</x:f>
        <x:v>-0.91</x:v>
      </x:c>
      <x:c r="H54" s="56" t="n">
        <x:f>ROUND((('Net Interest Income'!H11*4/Balance!H11)-Rate!H11)*10000,2)</x:f>
        <x:v>0.13</x:v>
      </x:c>
      <x:c r="I54" s="56" t="n">
        <x:f>ROUND((('Net Interest Income'!I11*4/Balance!I11)-Rate!I11)*10000,2)</x:f>
        <x:v>0.2</x:v>
      </x:c>
      <x:c r="J54" s="56" t="n">
        <x:f>ROUND((('Net Interest Income'!J11*4/Balance!J11)-Rate!J11)*10000,2)</x:f>
        <x:v>0.87</x:v>
      </x:c>
      <x:c r="K54" s="56" t="n">
        <x:f>ROUND((('Net Interest Income'!K11*4/Balance!K11)-Rate!K11)*10000,2)</x:f>
        <x:v>-0.04</x:v>
      </x:c>
      <x:c r="L54" s="56" t="n">
        <x:f>ROUND((('Net Interest Income'!L11*4/Balance!L11)-Rate!L11)*10000,2)</x:f>
        <x:v>0</x:v>
      </x:c>
      <x:c r="M54" s="56" t="n">
        <x:f>ROUND((('Net Interest Income'!M11*4/Balance!M11)-Rate!M11)*10000,2)</x:f>
        <x:v>0</x:v>
      </x:c>
      <x:c r="N54" s="56" t="n">
        <x:f>ROUND((('Net Interest Income'!N11*4/Balance!N11)-Rate!N11)*10000,2)</x:f>
        <x:v>0</x:v>
      </x:c>
      <x:c r="O54" s="56" t="n">
        <x:f>ROUND((('Net Interest Income'!O11*4/Balance!O11)-Rate!O11)*10000,2)</x:f>
        <x:v>0</x:v>
      </x:c>
    </x:row>
    <x:row r="55">
      <x:c r="A55" s="20" t="str">
        <x:v>  Total interest-earning assets</x:v>
      </x:c>
      <x:c r="B55" s="56" t="n">
        <x:f>ROUND((('Net Interest Income'!B12*4/Balance!B12)-Rate!B12)*10000,2)</x:f>
        <x:v>0.51</x:v>
      </x:c>
      <x:c r="C55" s="56" t="n">
        <x:f>ROUND((('Net Interest Income'!C12*4/Balance!C12)-Rate!C12)*10000,2)</x:f>
        <x:v>-0.01</x:v>
      </x:c>
      <x:c r="D55" s="56" t="n">
        <x:f>ROUND((('Net Interest Income'!D12*4/Balance!D12)-Rate!D12)*10000,2)</x:f>
        <x:v>-0.42</x:v>
      </x:c>
      <x:c r="E55" s="56" t="n">
        <x:f>ROUND((('Net Interest Income'!E12*4/Balance!E12)-Rate!E12)*10000,2)</x:f>
        <x:v>0.34</x:v>
      </x:c>
      <x:c r="F55" s="56" t="n">
        <x:f>ROUND((('Net Interest Income'!F12*4/Balance!F12)-Rate!F12)*10000,2)</x:f>
        <x:v>0.39</x:v>
      </x:c>
      <x:c r="G55" s="56" t="n">
        <x:f>ROUND((('Net Interest Income'!G12*4/Balance!G12)-Rate!G12)*10000,2)</x:f>
        <x:v>-0.35</x:v>
      </x:c>
      <x:c r="H55" s="56" t="n">
        <x:f>ROUND((('Net Interest Income'!H12*4/Balance!H12)-Rate!H12)*10000,2)</x:f>
        <x:v>-0.18</x:v>
      </x:c>
      <x:c r="I55" s="56" t="n">
        <x:f>ROUND((('Net Interest Income'!I12*4/Balance!I12)-Rate!I12)*10000,2)</x:f>
        <x:v>0.34</x:v>
      </x:c>
      <x:c r="J55" s="56" t="n">
        <x:f>ROUND((('Net Interest Income'!J12*4/Balance!J12)-Rate!J12)*10000,2)</x:f>
        <x:v>-0.08</x:v>
      </x:c>
      <x:c r="K55" s="56" t="n">
        <x:f>ROUND((('Net Interest Income'!K12*4/Balance!K12)-Rate!K12)*10000,2)</x:f>
        <x:v>-0.3</x:v>
      </x:c>
      <x:c r="L55" s="56" t="n">
        <x:f>ROUND((('Net Interest Income'!L12*4/Balance!L12)-Rate!L12)*10000,2)</x:f>
        <x:v>0</x:v>
      </x:c>
      <x:c r="M55" s="56" t="n">
        <x:f>ROUND((('Net Interest Income'!M12*4/Balance!M12)-Rate!M12)*10000,2)</x:f>
        <x:v>0</x:v>
      </x:c>
      <x:c r="N55" s="56" t="n">
        <x:f>ROUND((('Net Interest Income'!N12*4/Balance!N12)-Rate!N12)*10000,2)</x:f>
        <x:v>0</x:v>
      </x:c>
      <x:c r="O55" s="56" t="n">
        <x:f>ROUND((('Net Interest Income'!O12*4/Balance!O12)-Rate!O12)*10000,2)</x:f>
        <x:v>0</x:v>
      </x:c>
    </x:row>
    <x:row r="56">
      <x:c r="A56" s="20" t="str">
        <x:v>  Interest-bearing deposits</x:v>
      </x:c>
      <x:c r="B56" s="56" t="n">
        <x:f>ROUND((('Net Interest Income'!B15*4/Balance!B15)-Rate!B15)*10000,2)</x:f>
        <x:v>0.42</x:v>
      </x:c>
      <x:c r="C56" s="56" t="n">
        <x:f>ROUND((('Net Interest Income'!C15*4/Balance!C15)-Rate!C15)*10000,2)</x:f>
        <x:v>-0.2</x:v>
      </x:c>
      <x:c r="D56" s="56" t="n">
        <x:f>ROUND((('Net Interest Income'!D15*4/Balance!D15)-Rate!D15)*10000,2)</x:f>
        <x:v>0.47</x:v>
      </x:c>
      <x:c r="E56" s="56" t="n">
        <x:f>ROUND((('Net Interest Income'!E15*4/Balance!E15)-Rate!E15)*10000,2)</x:f>
        <x:v>-0.46</x:v>
      </x:c>
      <x:c r="F56" s="56" t="n">
        <x:f>ROUND((('Net Interest Income'!F15*4/Balance!F15)-Rate!F15)*10000,2)</x:f>
        <x:v>0.21</x:v>
      </x:c>
      <x:c r="G56" s="56" t="n">
        <x:f>ROUND((('Net Interest Income'!G15*4/Balance!G15)-Rate!G15)*10000,2)</x:f>
        <x:v>0.38</x:v>
      </x:c>
      <x:c r="H56" s="56" t="n">
        <x:f>ROUND((('Net Interest Income'!H15*4/Balance!H15)-Rate!H15)*10000,2)</x:f>
        <x:v>0.01</x:v>
      </x:c>
      <x:c r="I56" s="56" t="n">
        <x:f>ROUND((('Net Interest Income'!I15*4/Balance!I15)-Rate!I15)*10000,2)</x:f>
        <x:v>0.21</x:v>
      </x:c>
      <x:c r="J56" s="56" t="n">
        <x:f>ROUND((('Net Interest Income'!J15*4/Balance!J15)-Rate!J15)*10000,2)</x:f>
        <x:v>-0.55</x:v>
      </x:c>
      <x:c r="K56" s="56" t="n">
        <x:f>ROUND((('Net Interest Income'!K15*4/Balance!K15)-Rate!K15)*10000,2)</x:f>
        <x:v>0.36</x:v>
      </x:c>
      <x:c r="L56" s="56" t="n">
        <x:f>ROUND((('Net Interest Income'!L15*4/Balance!L15)-Rate!L15)*10000,2)</x:f>
        <x:v>0</x:v>
      </x:c>
      <x:c r="M56" s="56" t="n">
        <x:f>ROUND((('Net Interest Income'!M15*4/Balance!M15)-Rate!M15)*10000,2)</x:f>
        <x:v>0</x:v>
      </x:c>
      <x:c r="N56" s="56" t="n">
        <x:f>ROUND((('Net Interest Income'!N15*4/Balance!N15)-Rate!N15)*10000,2)</x:f>
        <x:v>0</x:v>
      </x:c>
      <x:c r="O56" s="56" t="n">
        <x:f>ROUND((('Net Interest Income'!O15*4/Balance!O15)-Rate!O15)*10000,2)</x:f>
        <x:v>0</x:v>
      </x:c>
    </x:row>
    <x:row r="57">
      <x:c r="A57" s="20" t="str">
        <x:v>  Securitized debt obligations</x:v>
      </x:c>
      <x:c r="B57" s="56" t="n">
        <x:f>ROUND((('Net Interest Income'!B16*4/Balance!B16)-Rate!B16)*10000,2)</x:f>
        <x:v>-0.75</x:v>
      </x:c>
      <x:c r="C57" s="56" t="n">
        <x:f>ROUND((('Net Interest Income'!C16*4/Balance!C16)-Rate!C16)*10000,2)</x:f>
        <x:v>0.2</x:v>
      </x:c>
      <x:c r="D57" s="56" t="n">
        <x:f>ROUND((('Net Interest Income'!D16*4/Balance!D16)-Rate!D16)*10000,2)</x:f>
        <x:v>1.34</x:v>
      </x:c>
      <x:c r="E57" s="56" t="n">
        <x:f>ROUND((('Net Interest Income'!E16*4/Balance!E16)-Rate!E16)*10000,2)</x:f>
        <x:v>-0.4</x:v>
      </x:c>
      <x:c r="F57" s="56" t="n">
        <x:f>ROUND((('Net Interest Income'!F16*4/Balance!F16)-Rate!F16)*10000,2)</x:f>
        <x:v>0.33</x:v>
      </x:c>
      <x:c r="G57" s="56" t="n">
        <x:f>ROUND((('Net Interest Income'!G16*4/Balance!G16)-Rate!G16)*10000,2)</x:f>
        <x:v>0.34</x:v>
      </x:c>
      <x:c r="H57" s="56" t="n">
        <x:f>ROUND((('Net Interest Income'!H16*4/Balance!H16)-Rate!H16)*10000,2)</x:f>
        <x:v>-1.83</x:v>
      </x:c>
      <x:c r="I57" s="56" t="n">
        <x:f>ROUND((('Net Interest Income'!I16*4/Balance!I16)-Rate!I16)*10000,2)</x:f>
        <x:v>-0.4</x:v>
      </x:c>
      <x:c r="J57" s="56" t="n">
        <x:f>ROUND((('Net Interest Income'!J16*4/Balance!J16)-Rate!J16)*10000,2)</x:f>
        <x:v>1.71</x:v>
      </x:c>
      <x:c r="K57" s="56" t="n">
        <x:f>ROUND((('Net Interest Income'!K16*4/Balance!K16)-Rate!K16)*10000,2)</x:f>
        <x:v>-3.05</x:v>
      </x:c>
      <x:c r="L57" s="56" t="n">
        <x:f>ROUND((('Net Interest Income'!L16*4/Balance!L16)-Rate!L16)*10000,2)</x:f>
        <x:v>0</x:v>
      </x:c>
      <x:c r="M57" s="56" t="n">
        <x:f>ROUND((('Net Interest Income'!M16*4/Balance!M16)-Rate!M16)*10000,2)</x:f>
        <x:v>0</x:v>
      </x:c>
      <x:c r="N57" s="56" t="n">
        <x:f>ROUND((('Net Interest Income'!N16*4/Balance!N16)-Rate!N16)*10000,2)</x:f>
        <x:v>0</x:v>
      </x:c>
      <x:c r="O57" s="56" t="n">
        <x:f>ROUND((('Net Interest Income'!O16*4/Balance!O16)-Rate!O16)*10000,2)</x:f>
        <x:v>0</x:v>
      </x:c>
    </x:row>
    <x:row r="58">
      <x:c r="A58" s="20" t="str">
        <x:v>  Senior and subordinated notes</x:v>
      </x:c>
      <x:c r="B58" s="56" t="n">
        <x:f>ROUND((('Net Interest Income'!B17*4/Balance!B17)-Rate!B17)*10000,2)</x:f>
        <x:v>0.06</x:v>
      </x:c>
      <x:c r="C58" s="56" t="n">
        <x:f>ROUND((('Net Interest Income'!C17*4/Balance!C17)-Rate!C17)*10000,2)</x:f>
        <x:v>0.24</x:v>
      </x:c>
      <x:c r="D58" s="56" t="n">
        <x:f>ROUND((('Net Interest Income'!D17*4/Balance!D17)-Rate!D17)*10000,2)</x:f>
        <x:v>-1.28</x:v>
      </x:c>
      <x:c r="E58" s="56" t="n">
        <x:f>ROUND((('Net Interest Income'!E17*4/Balance!E17)-Rate!E17)*10000,2)</x:f>
        <x:v>-0.06</x:v>
      </x:c>
      <x:c r="F58" s="56" t="n">
        <x:f>ROUND((('Net Interest Income'!F17*4/Balance!F17)-Rate!F17)*10000,2)</x:f>
        <x:v>0.54</x:v>
      </x:c>
      <x:c r="G58" s="56" t="n">
        <x:f>ROUND((('Net Interest Income'!G17*4/Balance!G17)-Rate!G17)*10000,2)</x:f>
        <x:v>-0.88</x:v>
      </x:c>
      <x:c r="H58" s="56" t="n">
        <x:f>ROUND((('Net Interest Income'!H17*4/Balance!H17)-Rate!H17)*10000,2)</x:f>
        <x:v>1.05</x:v>
      </x:c>
      <x:c r="I58" s="56" t="n">
        <x:f>ROUND((('Net Interest Income'!I17*4/Balance!I17)-Rate!I17)*10000,2)</x:f>
        <x:v>0.39</x:v>
      </x:c>
      <x:c r="J58" s="56" t="n">
        <x:f>ROUND((('Net Interest Income'!J17*4/Balance!J17)-Rate!J17)*10000,2)</x:f>
        <x:v>-0.01</x:v>
      </x:c>
      <x:c r="K58" s="56" t="n">
        <x:f>ROUND((('Net Interest Income'!K17*4/Balance!K17)-Rate!K17)*10000,2)</x:f>
        <x:v>0.01</x:v>
      </x:c>
      <x:c r="L58" s="56" t="n">
        <x:f>ROUND((('Net Interest Income'!L17*4/Balance!L17)-Rate!L17)*10000,2)</x:f>
        <x:v>0</x:v>
      </x:c>
      <x:c r="M58" s="56" t="n">
        <x:f>ROUND((('Net Interest Income'!M17*4/Balance!M17)-Rate!M17)*10000,2)</x:f>
        <x:v>0</x:v>
      </x:c>
      <x:c r="N58" s="56" t="n">
        <x:f>ROUND((('Net Interest Income'!N17*4/Balance!N17)-Rate!N17)*10000,2)</x:f>
        <x:v>0</x:v>
      </x:c>
      <x:c r="O58" s="56" t="n">
        <x:f>ROUND((('Net Interest Income'!O17*4/Balance!O17)-Rate!O17)*10000,2)</x:f>
        <x:v>0</x:v>
      </x:c>
    </x:row>
    <x:row r="59">
      <x:c r="A59" s="20" t="str">
        <x:v>  Other borrowings</x:v>
      </x:c>
      <x:c r="B59" s="56" t="n">
        <x:f>ROUND((('Net Interest Income'!B18*4/Balance!B18)-Rate!B18)*10000,2)</x:f>
        <x:v>-2.43</x:v>
      </x:c>
      <x:c r="C59" s="56" t="n">
        <x:f>ROUND((('Net Interest Income'!C18*4/Balance!C18)-Rate!C18)*10000,2)</x:f>
        <x:v>3.43</x:v>
      </x:c>
      <x:c r="D59" s="56" t="n">
        <x:f>ROUND((('Net Interest Income'!D18*4/Balance!D18)-Rate!D18)*10000,2)</x:f>
        <x:v>-1.08</x:v>
      </x:c>
      <x:c r="E59" s="56" t="n">
        <x:f>ROUND((('Net Interest Income'!E18*4/Balance!E18)-Rate!E18)*10000,2)</x:f>
        <x:v>-0.5</x:v>
      </x:c>
      <x:c r="F59" s="56" t="n">
        <x:f>ROUND((('Net Interest Income'!F18*4/Balance!F18)-Rate!F18)*10000,2)</x:f>
        <x:v>-9.44</x:v>
      </x:c>
      <x:c r="G59" s="56" t="n">
        <x:f>ROUND((('Net Interest Income'!G18*4/Balance!G18)-Rate!G18)*10000,2)</x:f>
        <x:v>2.86</x:v>
      </x:c>
      <x:c r="H59" s="56" t="n">
        <x:f>ROUND((('Net Interest Income'!H18*4/Balance!H18)-Rate!H18)*10000,2)</x:f>
        <x:v>0.69</x:v>
      </x:c>
      <x:c r="I59" s="56" t="n">
        <x:f>ROUND((('Net Interest Income'!I18*4/Balance!I18)-Rate!I18)*10000,2)</x:f>
        <x:v>-0.47</x:v>
      </x:c>
      <x:c r="J59" s="56" t="n">
        <x:f>ROUND((('Net Interest Income'!J18*4/Balance!J18)-Rate!J18)*10000,2)</x:f>
        <x:v>-1.29</x:v>
      </x:c>
      <x:c r="K59" s="56" t="n">
        <x:f>ROUND((('Net Interest Income'!K18*4/Balance!K18)-Rate!K18)*10000,2)</x:f>
        <x:v>9.99</x:v>
      </x:c>
      <x:c r="L59" s="56" t="n">
        <x:f>ROUND((('Net Interest Income'!L18*4/Balance!L18)-Rate!L18)*10000,2)</x:f>
        <x:v>0</x:v>
      </x:c>
      <x:c r="M59" s="56" t="n">
        <x:f>ROUND((('Net Interest Income'!M18*4/Balance!M18)-Rate!M18)*10000,2)</x:f>
        <x:v>0</x:v>
      </x:c>
      <x:c r="N59" s="56" t="n">
        <x:f>ROUND((('Net Interest Income'!N18*4/Balance!N18)-Rate!N18)*10000,2)</x:f>
        <x:v>0</x:v>
      </x:c>
      <x:c r="O59" s="56" t="n">
        <x:f>ROUND((('Net Interest Income'!O18*4/Balance!O18)-Rate!O18)*10000,2)</x:f>
        <x:v>0</x:v>
      </x:c>
    </x:row>
    <x:row r="60">
      <x:c r="A60" s="20" t="str">
        <x:v>  Total interest-bearing liabilities</x:v>
      </x:c>
      <x:c r="B60" s="56" t="n">
        <x:f>ROUND((('Net Interest Income'!B19*4/Balance!B19)-Rate!B19)*10000,2)</x:f>
        <x:v>-0.48</x:v>
      </x:c>
      <x:c r="C60" s="56" t="n">
        <x:f>ROUND((('Net Interest Income'!C19*4/Balance!C19)-Rate!C19)*10000,2)</x:f>
        <x:v>-0.1</x:v>
      </x:c>
      <x:c r="D60" s="56" t="n">
        <x:f>ROUND((('Net Interest Income'!D19*4/Balance!D19)-Rate!D19)*10000,2)</x:f>
        <x:v>0.33</x:v>
      </x:c>
      <x:c r="E60" s="56" t="n">
        <x:f>ROUND((('Net Interest Income'!E19*4/Balance!E19)-Rate!E19)*10000,2)</x:f>
        <x:v>0.19</x:v>
      </x:c>
      <x:c r="F60" s="56" t="n">
        <x:f>ROUND((('Net Interest Income'!F19*4/Balance!F19)-Rate!F19)*10000,2)</x:f>
        <x:v>-0.12</x:v>
      </x:c>
      <x:c r="G60" s="56" t="n">
        <x:f>ROUND((('Net Interest Income'!G19*4/Balance!G19)-Rate!G19)*10000,2)</x:f>
        <x:v>-0.12</x:v>
      </x:c>
      <x:c r="H60" s="56" t="n">
        <x:f>ROUND((('Net Interest Income'!H19*4/Balance!H19)-Rate!H19)*10000,2)</x:f>
        <x:v>-0.13</x:v>
      </x:c>
      <x:c r="I60" s="56" t="n">
        <x:f>ROUND((('Net Interest Income'!I19*4/Balance!I19)-Rate!I19)*10000,2)</x:f>
        <x:v>0.09</x:v>
      </x:c>
      <x:c r="J60" s="56" t="n">
        <x:f>ROUND((('Net Interest Income'!J19*4/Balance!J19)-Rate!J19)*10000,2)</x:f>
        <x:v>0.49</x:v>
      </x:c>
      <x:c r="K60" s="56" t="n">
        <x:f>ROUND((('Net Interest Income'!K19*4/Balance!K19)-Rate!K19)*10000,2)</x:f>
        <x:v>-0.29</x:v>
      </x:c>
      <x:c r="L60" s="56" t="n">
        <x:f>ROUND((('Net Interest Income'!L19*4/Balance!L19)-Rate!L19)*10000,2)</x:f>
        <x:v>0</x:v>
      </x:c>
      <x:c r="M60" s="56" t="n">
        <x:f>ROUND((('Net Interest Income'!M19*4/Balance!M19)-Rate!M19)*10000,2)</x:f>
        <x:v>0</x:v>
      </x:c>
      <x:c r="N60" s="56" t="n">
        <x:f>ROUND((('Net Interest Income'!N19*4/Balance!N19)-Rate!N19)*10000,2)</x:f>
        <x:v>0</x:v>
      </x:c>
      <x:c r="O60" s="56" t="n">
        <x:f>ROUND((('Net Interest Income'!O19*4/Balance!O19)-Rate!O19)*10000,2)</x:f>
        <x:v>0</x:v>
      </x:c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28" t="str">
        <x:v>Macro-driven balance sheet forecast</x:v>
      </x:c>
    </x:row>
    <x:row r="2" ht="28" customHeight="1">
      <x:c r="A2" s="30" t="str">
        <x:v>Actuals end June 2025. The macro path covers July 2025 through June 2026 and feeds the monthly balance, yield and NII schedules.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4">
      <x:c r="A4" s="61" t="str">
        <x:v>Macro driver</x:v>
      </x:c>
      <x:c r="B4" s="61" t="str">
        <x:v>2025-06</x:v>
      </x:c>
      <x:c r="C4" s="62" t="str">
        <x:v>2025-07</x:v>
      </x:c>
      <x:c r="D4" s="62" t="str">
        <x:v>2025-08</x:v>
      </x:c>
      <x:c r="E4" s="62" t="str">
        <x:v>2025-09</x:v>
      </x:c>
      <x:c r="F4" s="62" t="str">
        <x:v>2025-10</x:v>
      </x:c>
      <x:c r="G4" s="62" t="str">
        <x:v>2025-11</x:v>
      </x:c>
      <x:c r="H4" s="62" t="str">
        <x:v>2025-12</x:v>
      </x:c>
      <x:c r="I4" s="62" t="str">
        <x:v>2026-01</x:v>
      </x:c>
      <x:c r="J4" s="62" t="str">
        <x:v>2026-02</x:v>
      </x:c>
      <x:c r="K4" s="62" t="str">
        <x:v>2026-03</x:v>
      </x:c>
      <x:c r="L4" s="62" t="str">
        <x:v>2026-04</x:v>
      </x:c>
      <x:c r="M4" s="62" t="str">
        <x:v>2026-05</x:v>
      </x:c>
      <x:c r="N4" s="62" t="str">
        <x:v>2026-06</x:v>
      </x:c>
    </x:row>
    <x:row r="5">
      <x:c r="A5" s="20" t="str">
        <x:v>Fed funds effective rate</x:v>
      </x:c>
      <x:c r="B5" s="69" t="n">
        <x:v>4.33</x:v>
      </x:c>
      <x:c r="C5" s="70" t="n">
        <x:v>4.305</x:v>
      </x:c>
      <x:c r="D5" s="70" t="n">
        <x:v>4.279999999999999</x:v>
      </x:c>
      <x:c r="E5" s="70" t="n">
        <x:v>4.254999999999999</x:v>
      </x:c>
      <x:c r="F5" s="70" t="n">
        <x:v>4.229999999999999</x:v>
      </x:c>
      <x:c r="G5" s="70" t="n">
        <x:v>4.204999999999998</x:v>
      </x:c>
      <x:c r="H5" s="70" t="n">
        <x:v>4.179999999999998</x:v>
      </x:c>
      <x:c r="I5" s="70" t="n">
        <x:v>4.154999999999998</x:v>
      </x:c>
      <x:c r="J5" s="70" t="n">
        <x:v>4.129999999999997</x:v>
      </x:c>
      <x:c r="K5" s="70" t="n">
        <x:v>4.104999999999997</x:v>
      </x:c>
      <x:c r="L5" s="70" t="n">
        <x:v>4.0799999999999965</x:v>
      </x:c>
      <x:c r="M5" s="70" t="n">
        <x:v>4.054999999999996</x:v>
      </x:c>
      <x:c r="N5" s="70" t="n">
        <x:v>4.029999999999996</x:v>
      </x:c>
    </x:row>
    <x:row r="6">
      <x:c r="A6" s="20" t="str">
        <x:v>5-year Treasury yield</x:v>
      </x:c>
      <x:c r="B6" s="69" t="n">
        <x:v>3.96</x:v>
      </x:c>
      <x:c r="C6" s="70" t="n">
        <x:v>3.9116666666666666</x:v>
      </x:c>
      <x:c r="D6" s="70" t="n">
        <x:v>3.8633333333333333</x:v>
      </x:c>
      <x:c r="E6" s="70" t="n">
        <x:v>3.815</x:v>
      </x:c>
      <x:c r="F6" s="70" t="n">
        <x:v>3.7666666666666666</x:v>
      </x:c>
      <x:c r="G6" s="70" t="n">
        <x:v>3.7183333333333333</x:v>
      </x:c>
      <x:c r="H6" s="70" t="n">
        <x:v>3.67</x:v>
      </x:c>
      <x:c r="I6" s="70" t="n">
        <x:v>3.6216666666666666</x:v>
      </x:c>
      <x:c r="J6" s="70" t="n">
        <x:v>3.5733333333333333</x:v>
      </x:c>
      <x:c r="K6" s="70" t="n">
        <x:v>3.525</x:v>
      </x:c>
      <x:c r="L6" s="70" t="n">
        <x:v>3.4766666666666666</x:v>
      </x:c>
      <x:c r="M6" s="70" t="n">
        <x:v>3.4283333333333332</x:v>
      </x:c>
      <x:c r="N6" s="70" t="n">
        <x:v>3.38</x:v>
      </x:c>
    </x:row>
    <x:row r="7">
      <x:c r="A7" s="20" t="str">
        <x:v>10-year Treasury yield</x:v>
      </x:c>
      <x:c r="B7" s="69" t="n">
        <x:v>4.38</x:v>
      </x:c>
      <x:c r="C7" s="70" t="n">
        <x:v>4.378333333333333</x:v>
      </x:c>
      <x:c r="D7" s="70" t="n">
        <x:v>4.376666666666666</x:v>
      </x:c>
      <x:c r="E7" s="70" t="n">
        <x:v>4.374999999999999</x:v>
      </x:c>
      <x:c r="F7" s="70" t="n">
        <x:v>4.373333333333332</x:v>
      </x:c>
      <x:c r="G7" s="70" t="n">
        <x:v>4.371666666666665</x:v>
      </x:c>
      <x:c r="H7" s="70" t="n">
        <x:v>4.369999999999998</x:v>
      </x:c>
      <x:c r="I7" s="70" t="n">
        <x:v>4.368333333333331</x:v>
      </x:c>
      <x:c r="J7" s="70" t="n">
        <x:v>4.3666666666666645</x:v>
      </x:c>
      <x:c r="K7" s="70" t="n">
        <x:v>4.3649999999999975</x:v>
      </x:c>
      <x:c r="L7" s="70" t="n">
        <x:v>4.363333333333331</x:v>
      </x:c>
      <x:c r="M7" s="70" t="n">
        <x:v>4.361666666666664</x:v>
      </x:c>
      <x:c r="N7" s="70" t="n">
        <x:v>4.359999999999997</x:v>
      </x:c>
    </x:row>
    <x:row r="8">
      <x:c r="A8" s="20" t="str">
        <x:v>Prime rate</x:v>
      </x:c>
      <x:c r="B8" s="69" t="n">
        <x:v>7.5</x:v>
      </x:c>
      <x:c r="C8" s="70" t="n">
        <x:v>7.475</x:v>
      </x:c>
      <x:c r="D8" s="70" t="n">
        <x:v>7.449999999999999</x:v>
      </x:c>
      <x:c r="E8" s="70" t="n">
        <x:v>7.424999999999999</x:v>
      </x:c>
      <x:c r="F8" s="70" t="n">
        <x:v>7.399999999999999</x:v>
      </x:c>
      <x:c r="G8" s="70" t="n">
        <x:v>7.374999999999998</x:v>
      </x:c>
      <x:c r="H8" s="70" t="n">
        <x:v>7.349999999999998</x:v>
      </x:c>
      <x:c r="I8" s="70" t="n">
        <x:v>7.3249999999999975</x:v>
      </x:c>
      <x:c r="J8" s="70" t="n">
        <x:v>7.299999999999997</x:v>
      </x:c>
      <x:c r="K8" s="70" t="n">
        <x:v>7.274999999999997</x:v>
      </x:c>
      <x:c r="L8" s="70" t="n">
        <x:v>7.2499999999999964</x:v>
      </x:c>
      <x:c r="M8" s="70" t="n">
        <x:v>7.224999999999996</x:v>
      </x:c>
      <x:c r="N8" s="70" t="n">
        <x:v>7.199999999999996</x:v>
      </x:c>
    </x:row>
    <x:row r="9">
      <x:c r="A9" s="20" t="str">
        <x:v>Case-Shiller index, adjusted</x:v>
      </x:c>
      <x:c r="B9" s="69" t="n">
        <x:v>327.011</x:v>
      </x:c>
      <x:c r="C9" s="70" t="n">
        <x:v>326.95300000000003</x:v>
      </x:c>
      <x:c r="D9" s="70" t="n">
        <x:v>326.89500000000004</x:v>
      </x:c>
      <x:c r="E9" s="70" t="n">
        <x:v>326.83700000000005</x:v>
      </x:c>
      <x:c r="F9" s="70" t="n">
        <x:v>326.77900000000005</x:v>
      </x:c>
      <x:c r="G9" s="70" t="n">
        <x:v>326.72100000000006</x:v>
      </x:c>
      <x:c r="H9" s="70" t="n">
        <x:v>326.66300000000007</x:v>
      </x:c>
      <x:c r="I9" s="70" t="n">
        <x:v>326.6050000000001</x:v>
      </x:c>
      <x:c r="J9" s="70" t="n">
        <x:v>326.5470000000001</x:v>
      </x:c>
      <x:c r="K9" s="70" t="n">
        <x:v>326.4890000000001</x:v>
      </x:c>
      <x:c r="L9" s="70" t="n">
        <x:v>326.4310000000001</x:v>
      </x:c>
      <x:c r="M9" s="70" t="n">
        <x:v>326.3730000000001</x:v>
      </x:c>
      <x:c r="N9" s="70" t="n">
        <x:v>326.3150000000001</x:v>
      </x:c>
    </x:row>
    <x:row r="10">
      <x:c r="A10" s="20" t="str">
        <x:v>30-year mortgage rate</x:v>
      </x:c>
      <x:c r="B10" s="69" t="n">
        <x:v>6.8175</x:v>
      </x:c>
      <x:c r="C10" s="70" t="n">
        <x:v>6.815833333333333</x:v>
      </x:c>
      <x:c r="D10" s="70" t="n">
        <x:v>6.814166666666666</x:v>
      </x:c>
      <x:c r="E10" s="70" t="n">
        <x:v>6.812499999999999</x:v>
      </x:c>
      <x:c r="F10" s="70" t="n">
        <x:v>6.810833333333332</x:v>
      </x:c>
      <x:c r="G10" s="70" t="n">
        <x:v>6.809166666666665</x:v>
      </x:c>
      <x:c r="H10" s="70" t="n">
        <x:v>6.807499999999998</x:v>
      </x:c>
      <x:c r="I10" s="70" t="n">
        <x:v>6.805833333333331</x:v>
      </x:c>
      <x:c r="J10" s="70" t="n">
        <x:v>6.8041666666666645</x:v>
      </x:c>
      <x:c r="K10" s="70" t="n">
        <x:v>6.8024999999999975</x:v>
      </x:c>
      <x:c r="L10" s="70" t="n">
        <x:v>6.800833333333331</x:v>
      </x:c>
      <x:c r="M10" s="70" t="n">
        <x:v>6.799166666666664</x:v>
      </x:c>
      <x:c r="N10" s="70" t="n">
        <x:v>6.797499999999997</x:v>
      </x:c>
    </x:row>
    <x:row r="11">
      <x:c r="A11" s="20" t="str">
        <x:v>Unemployment rate</x:v>
      </x:c>
      <x:c r="B11" s="69" t="n">
        <x:v>4.1</x:v>
      </x:c>
      <x:c r="C11" s="70" t="n">
        <x:v>4.1</x:v>
      </x:c>
      <x:c r="D11" s="70" t="n">
        <x:v>4.1</x:v>
      </x:c>
      <x:c r="E11" s="70" t="n">
        <x:v>4.1</x:v>
      </x:c>
      <x:c r="F11" s="70" t="n">
        <x:v>4.1</x:v>
      </x:c>
      <x:c r="G11" s="70" t="n">
        <x:v>4.1</x:v>
      </x:c>
      <x:c r="H11" s="70" t="n">
        <x:v>4.1</x:v>
      </x:c>
      <x:c r="I11" s="70" t="n">
        <x:v>4.1</x:v>
      </x:c>
      <x:c r="J11" s="70" t="n">
        <x:v>4.1</x:v>
      </x:c>
      <x:c r="K11" s="70" t="n">
        <x:v>4.1</x:v>
      </x:c>
      <x:c r="L11" s="70" t="n">
        <x:v>4.1</x:v>
      </x:c>
      <x:c r="M11" s="70" t="n">
        <x:v>4.1</x:v>
      </x:c>
      <x:c r="N11" s="70" t="n">
        <x:v>4.1</x:v>
      </x:c>
    </x:row>
    <x:row r="12">
      <x:c r="A12" s="20" t="str">
        <x:v>Nonfarm payrolls (000s)</x:v>
      </x:c>
      <x:c r="B12" s="71" t="n">
        <x:v>158478</x:v>
      </x:c>
      <x:c r="C12" s="72" t="n">
        <x:v>158505</x:v>
      </x:c>
      <x:c r="D12" s="72" t="n">
        <x:v>158532</x:v>
      </x:c>
      <x:c r="E12" s="72" t="n">
        <x:v>158559</x:v>
      </x:c>
      <x:c r="F12" s="72" t="n">
        <x:v>158586</x:v>
      </x:c>
      <x:c r="G12" s="72" t="n">
        <x:v>158613</x:v>
      </x:c>
      <x:c r="H12" s="72" t="n">
        <x:v>158640</x:v>
      </x:c>
      <x:c r="I12" s="72" t="n">
        <x:v>158667</x:v>
      </x:c>
      <x:c r="J12" s="72" t="n">
        <x:v>158694</x:v>
      </x:c>
      <x:c r="K12" s="72" t="n">
        <x:v>158721</x:v>
      </x:c>
      <x:c r="L12" s="72" t="n">
        <x:v>158748</x:v>
      </x:c>
      <x:c r="M12" s="72" t="n">
        <x:v>158775</x:v>
      </x:c>
      <x:c r="N12" s="72" t="n">
        <x:v>158802</x:v>
      </x:c>
    </x:row>
    <x:row r="13">
      <x:c r="A13" s="20" t="str">
        <x:v>BBB corporate OAS</x:v>
      </x:c>
      <x:c r="B13" s="69" t="n">
        <x:v>1.1038</x:v>
      </x:c>
      <x:c r="C13" s="70" t="n">
        <x:v>1.1206166666666666</x:v>
      </x:c>
      <x:c r="D13" s="70" t="n">
        <x:v>1.1374333333333333</x:v>
      </x:c>
      <x:c r="E13" s="70" t="n">
        <x:v>1.15425</x:v>
      </x:c>
      <x:c r="F13" s="70" t="n">
        <x:v>1.1710666666666667</x:v>
      </x:c>
      <x:c r="G13" s="70" t="n">
        <x:v>1.1878833333333334</x:v>
      </x:c>
      <x:c r="H13" s="70" t="n">
        <x:v>1.2047</x:v>
      </x:c>
      <x:c r="I13" s="70" t="n">
        <x:v>1.2215166666666668</x:v>
      </x:c>
      <x:c r="J13" s="70" t="n">
        <x:v>1.2383333333333335</x:v>
      </x:c>
      <x:c r="K13" s="70" t="n">
        <x:v>1.2551500000000002</x:v>
      </x:c>
      <x:c r="L13" s="70" t="n">
        <x:v>1.271966666666667</x:v>
      </x:c>
      <x:c r="M13" s="70" t="n">
        <x:v>1.2887833333333336</x:v>
      </x:c>
      <x:c r="N13" s="70" t="n">
        <x:v>1.3056000000000003</x:v>
      </x:c>
    </x:row>
    <x:row r="14">
      <x:c r="A14" s="20" t="str">
        <x:v>Credit card rate, all accounts</x:v>
      </x:c>
      <x:c r="B14" s="69" t="n">
        <x:v>21.16</x:v>
      </x:c>
      <x:c r="C14" s="70"/>
      <x:c r="D14" s="70" t="n">
        <x:v>21.072499999999998</x:v>
      </x:c>
      <x:c r="E14" s="70"/>
      <x:c r="F14" s="70"/>
      <x:c r="G14" s="70" t="n">
        <x:v>20.985</x:v>
      </x:c>
      <x:c r="H14" s="70"/>
      <x:c r="I14" s="70"/>
      <x:c r="J14" s="70" t="n">
        <x:v>20.8975</x:v>
      </x:c>
      <x:c r="K14" s="70"/>
      <x:c r="L14" s="70"/>
      <x:c r="M14" s="70" t="n">
        <x:v>20.810000000000002</x:v>
      </x:c>
      <x:c r="N14" s="70"/>
    </x:row>
    <x:row r="15">
      <x:c r="A15" s="20" t="str">
        <x:v>Credit card rate used</x:v>
      </x:c>
      <x:c r="B15" s="73" t="n">
        <x:f>B14</x:f>
        <x:v>21.16</x:v>
      </x:c>
      <x:c r="C15" s="74" t="n">
        <x:f>IF(ISNUMBER(C14),C14,B15)</x:f>
        <x:v>21.16</x:v>
      </x:c>
      <x:c r="D15" s="74" t="n">
        <x:f>IF(ISNUMBER(D14),D14,C15)</x:f>
        <x:v>21.072499999999998</x:v>
      </x:c>
      <x:c r="E15" s="74" t="n">
        <x:f>IF(ISNUMBER(E14),E14,D15)</x:f>
        <x:v>21.072499999999998</x:v>
      </x:c>
      <x:c r="F15" s="74" t="n">
        <x:f>IF(ISNUMBER(F14),F14,E15)</x:f>
        <x:v>21.072499999999998</x:v>
      </x:c>
      <x:c r="G15" s="74" t="n">
        <x:f>IF(ISNUMBER(G14),G14,F15)</x:f>
        <x:v>20.985</x:v>
      </x:c>
      <x:c r="H15" s="74" t="n">
        <x:f>IF(ISNUMBER(H14),H14,G15)</x:f>
        <x:v>20.985</x:v>
      </x:c>
      <x:c r="I15" s="74" t="n">
        <x:f>IF(ISNUMBER(I14),I14,H15)</x:f>
        <x:v>20.985</x:v>
      </x:c>
      <x:c r="J15" s="74" t="n">
        <x:f>IF(ISNUMBER(J14),J14,I15)</x:f>
        <x:v>20.8975</x:v>
      </x:c>
      <x:c r="K15" s="74" t="n">
        <x:f>IF(ISNUMBER(K14),K14,J15)</x:f>
        <x:v>20.8975</x:v>
      </x:c>
      <x:c r="L15" s="74" t="n">
        <x:f>IF(ISNUMBER(L14),L14,K15)</x:f>
        <x:v>20.8975</x:v>
      </x:c>
      <x:c r="M15" s="74" t="n">
        <x:f>IF(ISNUMBER(M14),M14,L15)</x:f>
        <x:v>20.810000000000002</x:v>
      </x:c>
      <x:c r="N15" s="74" t="n">
        <x:f>IF(ISNUMBER(N14),N14,M15)</x:f>
        <x:v>20.810000000000002</x:v>
      </x:c>
    </x:row>
    <x:row r="17">
      <x:c r="A17" s="67" t="str">
        <x:v>MODEL CALIBRATION</x:v>
      </x:c>
      <x:c r="B17" s="67"/>
    </x:row>
    <x:row r="18">
      <x:c r="A18" s="20" t="str">
        <x:v>Cash / interest-bearing deposits at Jun-25</x:v>
      </x:c>
      <x:c r="B18" s="48" t="n">
        <x:f>'Monthly EOP Balance'!AF11/'Monthly EOP Balance'!AF15</x:f>
        <x:v>0.13987656480347818</x:v>
      </x:c>
    </x:row>
    <x:row r="19">
      <x:c r="A19" s="20" t="str">
        <x:v>Securitized debt monthly runoff</x:v>
      </x:c>
      <x:c r="B19" s="75" t="n">
        <x:v>0.005</x:v>
      </x:c>
    </x:row>
    <x:row r="20">
      <x:c r="A20" s="20" t="str">
        <x:v>Deposit beta to Fed funds</x:v>
      </x:c>
      <x:c r="B20" s="48" t="n">
        <x:f>'Monthly Rate'!AE15/(B5/100)</x:f>
        <x:v>0.7467151258190905</x:v>
      </x:c>
    </x:row>
    <x:row r="21">
      <x:c r="A21" s="20" t="str">
        <x:v>Credit card yield spread vs card rate</x:v>
      </x:c>
      <x:c r="B21" s="48" t="n">
        <x:f>'Monthly Rate'!AE6-(B15/100)</x:f>
        <x:v>-0.034857580628510076</x:v>
      </x:c>
    </x:row>
    <x:row r="22">
      <x:c r="A22" s="20" t="str">
        <x:v>Consumer yield spread vs mortgage rate</x:v>
      </x:c>
      <x:c r="B22" s="48" t="n">
        <x:f>'Monthly Rate'!AE7-(B10/100)</x:f>
        <x:v>0.027031446303912243</x:v>
      </x:c>
    </x:row>
    <x:row r="23">
      <x:c r="A23" s="20" t="str">
        <x:v>Commercial yield spread vs prime rate</x:v>
      </x:c>
      <x:c r="B23" s="48" t="n">
        <x:f>'Monthly Rate'!AE8-(B8/100)</x:f>
        <x:v>-0.009274929516990674</x:v>
      </x:c>
    </x:row>
    <x:row r="24">
      <x:c r="A24" s="20" t="str">
        <x:v>Securities yield spread vs 5-year Treasury</x:v>
      </x:c>
      <x:c r="B24" s="48" t="n">
        <x:f>'Monthly Rate'!AE10-(B6/100)</x:f>
        <x:v>-0.0067413153951738775</x:v>
      </x:c>
    </x:row>
    <x:row r="25">
      <x:c r="A25" s="20" t="str">
        <x:v>Cash yield spread vs Fed funds</x:v>
      </x:c>
      <x:c r="B25" s="48" t="n">
        <x:f>'Monthly Rate'!AE11-(B5/100)</x:f>
        <x:v>0.0018326007187082216</x:v>
      </x:c>
    </x:row>
    <x:row r="26">
      <x:c r="A26" s="20" t="str">
        <x:v>Securitized debt spread vs 5-year Treasury</x:v>
      </x:c>
      <x:c r="B26" s="48" t="n">
        <x:f>'Monthly Rate'!AE16-(B6/100)</x:f>
        <x:v>0.01168010338770599</x:v>
      </x:c>
    </x:row>
    <x:row r="27">
      <x:c r="A27" s="20" t="str">
        <x:v>Senior note spread vs 5-year Treasury + BBB OAS</x:v>
      </x:c>
      <x:c r="B27" s="48" t="n">
        <x:f>'Monthly Rate'!AE17-(B6/100)-(B13/100)</x:f>
        <x:v>0.014394057687132068</x:v>
      </x:c>
    </x:row>
    <x:row r="28">
      <x:c r="A28" s="20" t="str">
        <x:v>Other borrowing spread vs Fed funds</x:v>
      </x:c>
      <x:c r="B28" s="48" t="n">
        <x:f>'Monthly Rate'!AE18-(B5/100)</x:f>
        <x:v>-0.027357695957487188</x:v>
      </x:c>
    </x:row>
    <x:row r="30" ht="36" customHeight="1">
      <x:c r="A30" s="30" t="str">
        <x:v>Balance mapping: card, commercial and deposits follow payrolls; consumer follows Case-Shiller; investment securities, senior notes and other borrowings remain flat.</x:v>
      </x:c>
    </x:row>
    <x:row r="31" ht="36" customHeight="1">
      <x:c r="A31" s="30" t="str">
        <x:v>Cash preserves its June 2025 share of deposits. Securitized debt runs off at the editable monthly rate above.</x:v>
      </x:c>
    </x:row>
    <x:row r="32" ht="36" customHeight="1">
      <x:c r="A32" s="30" t="str">
        <x:v>Yield mapping: each forecast benchmark keeps its June 2025 product spread; deposit costs retain their June 2025 beta to Fed funds.</x:v>
      </x:c>
    </x:row>
  </x:sheetData>
  <x:pageMargins left="0.7" right="0.7" top="0.75" bottom="0.75" header="0.3" footer="0.3"/>
</x:worksheet>
</file>